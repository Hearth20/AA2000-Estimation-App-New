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LIST" sheetId="1" r:id="rId5"/>
  </sheets>
  <definedNames>
    <definedName hidden="1" localSheetId="0" name="_xlnm._FilterDatabase">PRICELIST!$A$2:$N$17</definedName>
  </definedNames>
  <calcPr/>
</workbook>
</file>

<file path=xl/sharedStrings.xml><?xml version="1.0" encoding="utf-8"?>
<sst xmlns="http://schemas.openxmlformats.org/spreadsheetml/2006/main" count="73" uniqueCount="41">
  <si>
    <t>PRODUCT INFORMATION</t>
  </si>
  <si>
    <t>SRP (End-User)</t>
  </si>
  <si>
    <t>DEALER's PRICE</t>
  </si>
  <si>
    <t>CONTRACTOR's PRICE</t>
  </si>
  <si>
    <t>BRAND</t>
  </si>
  <si>
    <t>CATEGORY</t>
  </si>
  <si>
    <t>TYPE</t>
  </si>
  <si>
    <t>MODEL</t>
  </si>
  <si>
    <t>ITEM DESCRIPTION</t>
  </si>
  <si>
    <t>OTHER DESCRIPTION</t>
  </si>
  <si>
    <t>PURCHASE AMOUNT IN EUR</t>
  </si>
  <si>
    <t>UPDATED PRICE</t>
  </si>
  <si>
    <t xml:space="preserve"> Small Volume
(50% Mark-Up) </t>
  </si>
  <si>
    <t xml:space="preserve"> Big Volume
(30% Mark-Up) </t>
  </si>
  <si>
    <t xml:space="preserve"> Small Volume
(30% Mark-Up) </t>
  </si>
  <si>
    <t xml:space="preserve"> Big Volume
(20% Mark-Up) </t>
  </si>
  <si>
    <t xml:space="preserve"> Small Volume
(15% Mark-Up) </t>
  </si>
  <si>
    <t xml:space="preserve"> Big Volume
(10% Mark-Up) </t>
  </si>
  <si>
    <t>M2M</t>
  </si>
  <si>
    <t>Hardware</t>
  </si>
  <si>
    <t>MN01-LTE-M</t>
  </si>
  <si>
    <t>Universal IoT-ready Alarm Communicator
Multi-band CAT-M1 LTE 700/800/850/900/1700/1900/2100 MHz
GPRS 850/900/1800/1900MHz communicator:
-Dial Capture Interface supporting Contact ID, SIA, Pulse, and FF 4/2
-1 digital input and 1 transistor output
-Dual SIM, Multiple cellular operators per country
-Optional remote UDL for selected panels (requires an add-on device)
-Supply voltage: +12 to +15 VDC
-EN 50131, EN 50136 Certified
-GSM antenna, 1m cable, SMA connector</t>
  </si>
  <si>
    <t>MN01-V3 (2G)</t>
  </si>
  <si>
    <t>Universal 2G Alarm Communicator
Multi-band GPRS 850/900/1800/1900 MHz communicator:
-Dial Capture interface (Contact ID, SIA, Pulse 4+2, FF)
-1 digital input, 1 transistor output
-Multiple cellular operators per country
-GSM antenna, 1m cable, SMA connector</t>
  </si>
  <si>
    <t>MQ03-LTE-M</t>
  </si>
  <si>
    <t>Universal Single-Path Intrusion Communicator
Multi-band CAT-M1 LTE 700/800/850/900/1700/1900/2100 MHz
GPRS 850/900/1800/1900MHz communicator:
-Dial Capture Interface supporting Contact ID, SIA, Pulse, and FF 4/2
-2 digital inputs, 2 transistor outputs
-Supply voltage: +12 to +29 VDC
-Dual SIM, Multiple cellular operators per country
-EN 50130, EN 50131, EN 50136 Certified
-GSM antenna, 1m cable, SMA connector</t>
  </si>
  <si>
    <t>MQ03-LTE-M-LAN</t>
  </si>
  <si>
    <t>Universal Dual-Path Intrusion Communicator
Multi-band CAT-M1 LTE 700/800/850/900/1700/1900/2100 MHz
GPRS 850/900/1800/1900MHz communicator:
-Dial Capture Interface supporting Contact ID, SIA, Pulse, and FF 4/2
-2 digital inputs, 2 transistor outputs
-Dual Path, Dual SIM, Multiple cellular operators per country
-Supply voltage: +12 to +29 VDC
-RJ-45 LAN Port for Internet Connectivity
-EN 50130, EN 50131, EN 50136 Certified
-GSM antenna, 1m cable, SMA connector</t>
  </si>
  <si>
    <t>MX03-LTE-M-LAN-EN54</t>
  </si>
  <si>
    <t>Commercial Dual-Path Fire Communicator
Multi-band CAT-M1 LTE 700/800/850/900/1700/1900/2100 MHz
GPRS 850/900/1800/1900MHz communicator:
-Serial Interface supporting ESPA protocol*
-6 digital inputs, 2 transistor outputs, 1 relay output
-Dual Path, Dual SIM, Multiple cellular operators per country
-LAN Port for Internet Connectivity
-EN54-21, EN 50130, EN 50131, EN 50136 Certified
-GSM antenna, 1m cable, SMA connector</t>
  </si>
  <si>
    <t>Cellular monthly service</t>
  </si>
  <si>
    <t>Monthly Fee for LTE-M Cellular Service</t>
  </si>
  <si>
    <t>Monthly Fee for LTE-M Cellular Service – EN54</t>
  </si>
  <si>
    <t>Monthly Fee for GPRS Cellular Service</t>
  </si>
  <si>
    <t>One-time fee for service deactivation</t>
  </si>
  <si>
    <t>One-time fee for service reactivation</t>
  </si>
  <si>
    <t>Cellular yearly service</t>
  </si>
  <si>
    <t>Yearly Fee for LTE-M</t>
  </si>
  <si>
    <t>* 2 different sim cards from two different independent providers
The Subscription Fee for Cellular Service includes:
•The transmission of all alarm events from a single alarm panel
•The use of the M2M Cloud Infrastructure and Administrative Platform
•The use of the RControl end-user mobile application for iOS and Android
•10 minutes polling of the connection with the device</t>
  </si>
  <si>
    <t>Yearly Fee for LTE-M– EN54 Commercial Fire</t>
  </si>
  <si>
    <t>Yearly Fee for 2G Alarm Communicator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</si>
</sst>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₱]#,##0.00"/>
    <numFmt numFmtId="165" formatCode="[$€]#,##0.00"/>
  </numFmts>
  <fonts count="7">
    <font>
      <sz val="10.0"/>
      <color rgb="FF000000"/>
      <name val="Arial"/>
      <scheme val="minor"/>
    </font>
    <font>
      <b/>
      <sz val="13.0"/>
      <color rgb="FFFFFFFF"/>
      <name val="Arial"/>
    </font>
    <font/>
    <font>
      <b/>
      <color theme="1"/>
      <name val="Arial"/>
    </font>
    <font>
      <color theme="1"/>
      <name val="Arial"/>
      <scheme val="minor"/>
    </font>
    <font>
      <sz val="9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1" numFmtId="164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165" xfId="0" applyAlignment="1" applyBorder="1" applyFont="1" applyNumberFormat="1">
      <alignment horizontal="center" shrinkToFit="0" vertical="center" wrapText="1"/>
    </xf>
    <xf borderId="4" fillId="0" fontId="3" numFmtId="164" xfId="0" applyAlignment="1" applyBorder="1" applyFont="1" applyNumberFormat="1">
      <alignment horizontal="center" readingOrder="0" shrinkToFit="0" vertical="center" wrapText="1"/>
    </xf>
    <xf borderId="4" fillId="0" fontId="3" numFmtId="164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165" xfId="0" applyAlignment="1" applyFont="1" applyNumberFormat="1">
      <alignment horizontal="right" shrinkToFit="0" vertical="center" wrapText="1"/>
    </xf>
    <xf borderId="0" fillId="0" fontId="5" numFmtId="4" xfId="0" applyAlignment="1" applyFont="1" applyNumberFormat="1">
      <alignment horizontal="right" shrinkToFit="0" vertical="center" wrapText="1"/>
    </xf>
    <xf borderId="4" fillId="0" fontId="6" numFmtId="164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 ht="36.0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/>
      <c r="K1" s="4" t="s">
        <v>2</v>
      </c>
      <c r="L1" s="3"/>
      <c r="M1" s="4" t="s">
        <v>3</v>
      </c>
      <c r="N1" s="3"/>
    </row>
    <row r="2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6" t="s">
        <v>10</v>
      </c>
      <c r="H2" s="7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8" t="s">
        <v>16</v>
      </c>
      <c r="N2" s="8" t="s">
        <v>17</v>
      </c>
    </row>
    <row r="3">
      <c r="A3" s="9"/>
      <c r="B3" s="10" t="s">
        <v>18</v>
      </c>
      <c r="C3" s="11" t="s">
        <v>19</v>
      </c>
      <c r="D3" s="11" t="s">
        <v>20</v>
      </c>
      <c r="E3" s="11" t="s">
        <v>21</v>
      </c>
      <c r="F3" s="9"/>
      <c r="G3" s="12">
        <v>75.0</v>
      </c>
      <c r="H3" s="13">
        <f t="shared" ref="H3:H17" si="1">G3*63</f>
        <v>4725</v>
      </c>
      <c r="I3" s="14">
        <f t="shared" ref="I3:I17" si="2">H3*1.5</f>
        <v>7087.5</v>
      </c>
      <c r="J3" s="14">
        <f t="shared" ref="J3:J17" si="3">H3*1.3</f>
        <v>6142.5</v>
      </c>
      <c r="K3" s="14">
        <f t="shared" ref="K3:K17" si="4">H3*1.3</f>
        <v>6142.5</v>
      </c>
      <c r="L3" s="14">
        <f t="shared" ref="L3:L17" si="5">H3*1.2</f>
        <v>5670</v>
      </c>
      <c r="M3" s="14">
        <f t="shared" ref="M3:M17" si="6">H3*1.15</f>
        <v>5433.75</v>
      </c>
      <c r="N3" s="14">
        <f t="shared" ref="N3:N17" si="7">H3*1.1</f>
        <v>5197.5</v>
      </c>
    </row>
    <row r="4">
      <c r="A4" s="9"/>
      <c r="B4" s="10" t="s">
        <v>18</v>
      </c>
      <c r="C4" s="11" t="s">
        <v>19</v>
      </c>
      <c r="D4" s="11" t="s">
        <v>22</v>
      </c>
      <c r="E4" s="11" t="s">
        <v>23</v>
      </c>
      <c r="F4" s="9"/>
      <c r="G4" s="12">
        <v>45.0</v>
      </c>
      <c r="H4" s="13">
        <f t="shared" si="1"/>
        <v>2835</v>
      </c>
      <c r="I4" s="14">
        <f t="shared" si="2"/>
        <v>4252.5</v>
      </c>
      <c r="J4" s="14">
        <f t="shared" si="3"/>
        <v>3685.5</v>
      </c>
      <c r="K4" s="14">
        <f t="shared" si="4"/>
        <v>3685.5</v>
      </c>
      <c r="L4" s="14">
        <f t="shared" si="5"/>
        <v>3402</v>
      </c>
      <c r="M4" s="14">
        <f t="shared" si="6"/>
        <v>3260.25</v>
      </c>
      <c r="N4" s="14">
        <f t="shared" si="7"/>
        <v>3118.5</v>
      </c>
    </row>
    <row r="5">
      <c r="A5" s="9"/>
      <c r="B5" s="10" t="s">
        <v>18</v>
      </c>
      <c r="C5" s="11" t="s">
        <v>19</v>
      </c>
      <c r="D5" s="11" t="s">
        <v>24</v>
      </c>
      <c r="E5" s="11" t="s">
        <v>25</v>
      </c>
      <c r="F5" s="9"/>
      <c r="G5" s="12">
        <v>79.0</v>
      </c>
      <c r="H5" s="13">
        <f t="shared" si="1"/>
        <v>4977</v>
      </c>
      <c r="I5" s="14">
        <f t="shared" si="2"/>
        <v>7465.5</v>
      </c>
      <c r="J5" s="14">
        <f t="shared" si="3"/>
        <v>6470.1</v>
      </c>
      <c r="K5" s="14">
        <f t="shared" si="4"/>
        <v>6470.1</v>
      </c>
      <c r="L5" s="14">
        <f t="shared" si="5"/>
        <v>5972.4</v>
      </c>
      <c r="M5" s="14">
        <f t="shared" si="6"/>
        <v>5723.55</v>
      </c>
      <c r="N5" s="14">
        <f t="shared" si="7"/>
        <v>5474.7</v>
      </c>
    </row>
    <row r="6">
      <c r="A6" s="9"/>
      <c r="B6" s="10" t="s">
        <v>18</v>
      </c>
      <c r="C6" s="11" t="s">
        <v>19</v>
      </c>
      <c r="D6" s="11" t="s">
        <v>26</v>
      </c>
      <c r="E6" s="11" t="s">
        <v>27</v>
      </c>
      <c r="F6" s="9"/>
      <c r="G6" s="12">
        <v>94.0</v>
      </c>
      <c r="H6" s="13">
        <f t="shared" si="1"/>
        <v>5922</v>
      </c>
      <c r="I6" s="14">
        <f t="shared" si="2"/>
        <v>8883</v>
      </c>
      <c r="J6" s="14">
        <f t="shared" si="3"/>
        <v>7698.6</v>
      </c>
      <c r="K6" s="14">
        <f t="shared" si="4"/>
        <v>7698.6</v>
      </c>
      <c r="L6" s="14">
        <f t="shared" si="5"/>
        <v>7106.4</v>
      </c>
      <c r="M6" s="14">
        <f t="shared" si="6"/>
        <v>6810.3</v>
      </c>
      <c r="N6" s="14">
        <f t="shared" si="7"/>
        <v>6514.2</v>
      </c>
    </row>
    <row r="7">
      <c r="A7" s="9"/>
      <c r="B7" s="10" t="s">
        <v>18</v>
      </c>
      <c r="C7" s="11" t="s">
        <v>19</v>
      </c>
      <c r="D7" s="11" t="s">
        <v>28</v>
      </c>
      <c r="E7" s="11" t="s">
        <v>29</v>
      </c>
      <c r="F7" s="9"/>
      <c r="G7" s="12">
        <v>95.0</v>
      </c>
      <c r="H7" s="13">
        <f t="shared" si="1"/>
        <v>5985</v>
      </c>
      <c r="I7" s="14">
        <f t="shared" si="2"/>
        <v>8977.5</v>
      </c>
      <c r="J7" s="14">
        <f t="shared" si="3"/>
        <v>7780.5</v>
      </c>
      <c r="K7" s="14">
        <f t="shared" si="4"/>
        <v>7780.5</v>
      </c>
      <c r="L7" s="14">
        <f t="shared" si="5"/>
        <v>7182</v>
      </c>
      <c r="M7" s="14">
        <f t="shared" si="6"/>
        <v>6882.75</v>
      </c>
      <c r="N7" s="14">
        <f t="shared" si="7"/>
        <v>6583.5</v>
      </c>
    </row>
    <row r="8">
      <c r="A8" s="9"/>
      <c r="B8" s="10" t="s">
        <v>18</v>
      </c>
      <c r="C8" s="11" t="s">
        <v>30</v>
      </c>
      <c r="D8" s="11" t="s">
        <v>31</v>
      </c>
      <c r="E8" s="15"/>
      <c r="F8" s="9"/>
      <c r="G8" s="12">
        <v>2.0</v>
      </c>
      <c r="H8" s="13">
        <f t="shared" si="1"/>
        <v>126</v>
      </c>
      <c r="I8" s="14">
        <f t="shared" si="2"/>
        <v>189</v>
      </c>
      <c r="J8" s="14">
        <f t="shared" si="3"/>
        <v>163.8</v>
      </c>
      <c r="K8" s="14">
        <f t="shared" si="4"/>
        <v>163.8</v>
      </c>
      <c r="L8" s="14">
        <f t="shared" si="5"/>
        <v>151.2</v>
      </c>
      <c r="M8" s="14">
        <f t="shared" si="6"/>
        <v>144.9</v>
      </c>
      <c r="N8" s="14">
        <f t="shared" si="7"/>
        <v>138.6</v>
      </c>
    </row>
    <row r="9">
      <c r="A9" s="9"/>
      <c r="B9" s="10" t="s">
        <v>18</v>
      </c>
      <c r="C9" s="11" t="s">
        <v>30</v>
      </c>
      <c r="D9" s="11" t="s">
        <v>32</v>
      </c>
      <c r="E9" s="15"/>
      <c r="F9" s="9"/>
      <c r="G9" s="12">
        <v>3.0</v>
      </c>
      <c r="H9" s="13">
        <f t="shared" si="1"/>
        <v>189</v>
      </c>
      <c r="I9" s="14">
        <f t="shared" si="2"/>
        <v>283.5</v>
      </c>
      <c r="J9" s="14">
        <f t="shared" si="3"/>
        <v>245.7</v>
      </c>
      <c r="K9" s="14">
        <f t="shared" si="4"/>
        <v>245.7</v>
      </c>
      <c r="L9" s="14">
        <f t="shared" si="5"/>
        <v>226.8</v>
      </c>
      <c r="M9" s="14">
        <f t="shared" si="6"/>
        <v>217.35</v>
      </c>
      <c r="N9" s="14">
        <f t="shared" si="7"/>
        <v>207.9</v>
      </c>
    </row>
    <row r="10">
      <c r="A10" s="9"/>
      <c r="B10" s="10" t="s">
        <v>18</v>
      </c>
      <c r="C10" s="11" t="s">
        <v>30</v>
      </c>
      <c r="D10" s="11" t="s">
        <v>33</v>
      </c>
      <c r="E10" s="15"/>
      <c r="F10" s="9"/>
      <c r="G10" s="12">
        <v>1.5</v>
      </c>
      <c r="H10" s="13">
        <f t="shared" si="1"/>
        <v>94.5</v>
      </c>
      <c r="I10" s="14">
        <f t="shared" si="2"/>
        <v>141.75</v>
      </c>
      <c r="J10" s="14">
        <f t="shared" si="3"/>
        <v>122.85</v>
      </c>
      <c r="K10" s="14">
        <f t="shared" si="4"/>
        <v>122.85</v>
      </c>
      <c r="L10" s="14">
        <f t="shared" si="5"/>
        <v>113.4</v>
      </c>
      <c r="M10" s="14">
        <f t="shared" si="6"/>
        <v>108.675</v>
      </c>
      <c r="N10" s="14">
        <f t="shared" si="7"/>
        <v>103.95</v>
      </c>
    </row>
    <row r="11">
      <c r="A11" s="9"/>
      <c r="B11" s="10" t="s">
        <v>18</v>
      </c>
      <c r="C11" s="11" t="s">
        <v>30</v>
      </c>
      <c r="D11" s="11" t="s">
        <v>34</v>
      </c>
      <c r="E11" s="15"/>
      <c r="F11" s="9"/>
      <c r="G11" s="12">
        <v>0.0</v>
      </c>
      <c r="H11" s="13">
        <f t="shared" si="1"/>
        <v>0</v>
      </c>
      <c r="I11" s="14">
        <f t="shared" si="2"/>
        <v>0</v>
      </c>
      <c r="J11" s="14">
        <f t="shared" si="3"/>
        <v>0</v>
      </c>
      <c r="K11" s="14">
        <f t="shared" si="4"/>
        <v>0</v>
      </c>
      <c r="L11" s="14">
        <f t="shared" si="5"/>
        <v>0</v>
      </c>
      <c r="M11" s="14">
        <f t="shared" si="6"/>
        <v>0</v>
      </c>
      <c r="N11" s="14">
        <f t="shared" si="7"/>
        <v>0</v>
      </c>
    </row>
    <row r="12">
      <c r="A12" s="9"/>
      <c r="B12" s="10" t="s">
        <v>18</v>
      </c>
      <c r="C12" s="11" t="s">
        <v>30</v>
      </c>
      <c r="D12" s="11" t="s">
        <v>35</v>
      </c>
      <c r="E12" s="15"/>
      <c r="F12" s="9"/>
      <c r="G12" s="12">
        <v>10.0</v>
      </c>
      <c r="H12" s="13">
        <f t="shared" si="1"/>
        <v>630</v>
      </c>
      <c r="I12" s="14">
        <f t="shared" si="2"/>
        <v>945</v>
      </c>
      <c r="J12" s="14">
        <f t="shared" si="3"/>
        <v>819</v>
      </c>
      <c r="K12" s="14">
        <f t="shared" si="4"/>
        <v>819</v>
      </c>
      <c r="L12" s="14">
        <f t="shared" si="5"/>
        <v>756</v>
      </c>
      <c r="M12" s="14">
        <f t="shared" si="6"/>
        <v>724.5</v>
      </c>
      <c r="N12" s="14">
        <f t="shared" si="7"/>
        <v>693</v>
      </c>
    </row>
    <row r="13">
      <c r="A13" s="9"/>
      <c r="B13" s="10" t="s">
        <v>18</v>
      </c>
      <c r="C13" s="11" t="s">
        <v>36</v>
      </c>
      <c r="D13" s="11" t="s">
        <v>37</v>
      </c>
      <c r="E13" s="15" t="s">
        <v>38</v>
      </c>
      <c r="F13" s="9"/>
      <c r="G13" s="12">
        <v>24.0</v>
      </c>
      <c r="H13" s="13">
        <f t="shared" si="1"/>
        <v>1512</v>
      </c>
      <c r="I13" s="14">
        <f t="shared" si="2"/>
        <v>2268</v>
      </c>
      <c r="J13" s="14">
        <f t="shared" si="3"/>
        <v>1965.6</v>
      </c>
      <c r="K13" s="14">
        <f t="shared" si="4"/>
        <v>1965.6</v>
      </c>
      <c r="L13" s="14">
        <f t="shared" si="5"/>
        <v>1814.4</v>
      </c>
      <c r="M13" s="14">
        <f t="shared" si="6"/>
        <v>1738.8</v>
      </c>
      <c r="N13" s="14">
        <f t="shared" si="7"/>
        <v>1663.2</v>
      </c>
    </row>
    <row r="14">
      <c r="A14" s="9"/>
      <c r="B14" s="10" t="s">
        <v>18</v>
      </c>
      <c r="C14" s="11" t="s">
        <v>36</v>
      </c>
      <c r="D14" s="11" t="s">
        <v>39</v>
      </c>
      <c r="E14" s="15" t="s">
        <v>38</v>
      </c>
      <c r="F14" s="9"/>
      <c r="G14" s="12">
        <v>36.0</v>
      </c>
      <c r="H14" s="13">
        <f t="shared" si="1"/>
        <v>2268</v>
      </c>
      <c r="I14" s="14">
        <f t="shared" si="2"/>
        <v>3402</v>
      </c>
      <c r="J14" s="14">
        <f t="shared" si="3"/>
        <v>2948.4</v>
      </c>
      <c r="K14" s="14">
        <f t="shared" si="4"/>
        <v>2948.4</v>
      </c>
      <c r="L14" s="14">
        <f t="shared" si="5"/>
        <v>2721.6</v>
      </c>
      <c r="M14" s="14">
        <f t="shared" si="6"/>
        <v>2608.2</v>
      </c>
      <c r="N14" s="14">
        <f t="shared" si="7"/>
        <v>2494.8</v>
      </c>
    </row>
    <row r="15">
      <c r="A15" s="9"/>
      <c r="B15" s="10" t="s">
        <v>18</v>
      </c>
      <c r="C15" s="11" t="s">
        <v>36</v>
      </c>
      <c r="D15" s="11" t="s">
        <v>40</v>
      </c>
      <c r="E15" s="15" t="s">
        <v>38</v>
      </c>
      <c r="F15" s="9"/>
      <c r="G15" s="12">
        <v>18.0</v>
      </c>
      <c r="H15" s="13">
        <f t="shared" si="1"/>
        <v>1134</v>
      </c>
      <c r="I15" s="14">
        <f t="shared" si="2"/>
        <v>1701</v>
      </c>
      <c r="J15" s="14">
        <f t="shared" si="3"/>
        <v>1474.2</v>
      </c>
      <c r="K15" s="14">
        <f t="shared" si="4"/>
        <v>1474.2</v>
      </c>
      <c r="L15" s="14">
        <f t="shared" si="5"/>
        <v>1360.8</v>
      </c>
      <c r="M15" s="14">
        <f t="shared" si="6"/>
        <v>1304.1</v>
      </c>
      <c r="N15" s="14">
        <f t="shared" si="7"/>
        <v>1247.4</v>
      </c>
    </row>
    <row r="16">
      <c r="A16" s="9"/>
      <c r="B16" s="10" t="s">
        <v>18</v>
      </c>
      <c r="C16" s="11" t="s">
        <v>36</v>
      </c>
      <c r="D16" s="11" t="s">
        <v>34</v>
      </c>
      <c r="E16" s="15" t="s">
        <v>38</v>
      </c>
      <c r="F16" s="9"/>
      <c r="G16" s="12">
        <v>0.0</v>
      </c>
      <c r="H16" s="13">
        <f t="shared" si="1"/>
        <v>0</v>
      </c>
      <c r="I16" s="14">
        <f t="shared" si="2"/>
        <v>0</v>
      </c>
      <c r="J16" s="14">
        <f t="shared" si="3"/>
        <v>0</v>
      </c>
      <c r="K16" s="14">
        <f t="shared" si="4"/>
        <v>0</v>
      </c>
      <c r="L16" s="14">
        <f t="shared" si="5"/>
        <v>0</v>
      </c>
      <c r="M16" s="14">
        <f t="shared" si="6"/>
        <v>0</v>
      </c>
      <c r="N16" s="14">
        <f t="shared" si="7"/>
        <v>0</v>
      </c>
    </row>
    <row r="17">
      <c r="A17" s="9"/>
      <c r="B17" s="10" t="s">
        <v>18</v>
      </c>
      <c r="C17" s="11" t="s">
        <v>36</v>
      </c>
      <c r="D17" s="11" t="s">
        <v>35</v>
      </c>
      <c r="E17" s="15" t="s">
        <v>38</v>
      </c>
      <c r="F17" s="9"/>
      <c r="G17" s="12">
        <v>10.0</v>
      </c>
      <c r="H17" s="13">
        <f t="shared" si="1"/>
        <v>630</v>
      </c>
      <c r="I17" s="14">
        <f t="shared" si="2"/>
        <v>945</v>
      </c>
      <c r="J17" s="14">
        <f t="shared" si="3"/>
        <v>819</v>
      </c>
      <c r="K17" s="14">
        <f t="shared" si="4"/>
        <v>819</v>
      </c>
      <c r="L17" s="14">
        <f t="shared" si="5"/>
        <v>756</v>
      </c>
      <c r="M17" s="14">
        <f t="shared" si="6"/>
        <v>724.5</v>
      </c>
      <c r="N17" s="14">
        <f t="shared" si="7"/>
        <v>693</v>
      </c>
    </row>
  </sheetData>
  <autoFilter ref="$A$2:$N$17"/>
  <mergeCells count="4">
    <mergeCell ref="A1:H1"/>
    <mergeCell ref="I1:J1"/>
    <mergeCell ref="K1:L1"/>
    <mergeCell ref="M1:N1"/>
  </mergeCells>
  <drawing r:id="rId1"/>
</worksheet>
</file>