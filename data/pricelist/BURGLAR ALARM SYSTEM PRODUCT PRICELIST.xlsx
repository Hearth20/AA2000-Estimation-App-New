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JAX" sheetId="1" r:id="rId5"/>
    <sheet state="visible" name="PARADOX" sheetId="2" r:id="rId6"/>
    <sheet state="visible" name="PARADOX PACKAGE" sheetId="3" r:id="rId7"/>
  </sheets>
  <definedNames>
    <definedName hidden="1" localSheetId="0" name="_xlnm._FilterDatabase">AJAX!$A$2:$I$55</definedName>
    <definedName hidden="1" localSheetId="1" name="_xlnm._FilterDatabase">PARADOX!$A$2:$M$154</definedName>
  </definedNames>
  <calcPr/>
</workbook>
</file>

<file path=xl/sharedStrings.xml><?xml version="1.0" encoding="utf-8"?>
<sst xmlns="http://schemas.openxmlformats.org/spreadsheetml/2006/main" count="1163" uniqueCount="451">
  <si>
    <t>PRODUCT INFORMATION</t>
  </si>
  <si>
    <t>PRICING FOR ALL TIERS</t>
  </si>
  <si>
    <t>BRAND</t>
  </si>
  <si>
    <t>CATEGORY</t>
  </si>
  <si>
    <t>TYPE</t>
  </si>
  <si>
    <t>MODEL</t>
  </si>
  <si>
    <t>ITEM DESCRIPTION</t>
  </si>
  <si>
    <t>OTHER DESCRIPTION</t>
  </si>
  <si>
    <t>PURCHASE AMOUNT IN USD</t>
  </si>
  <si>
    <t>UPDATED PRICE</t>
  </si>
  <si>
    <t>SRP (10% Mark-Up)</t>
  </si>
  <si>
    <t>AJAX</t>
  </si>
  <si>
    <t>Burglar Alarm Sytem</t>
  </si>
  <si>
    <t>Kits</t>
  </si>
  <si>
    <t>STARTERKIT</t>
  </si>
  <si>
    <t>AJAX Hub + MotionProtect + DoorProtect + SpaceControl</t>
  </si>
  <si>
    <t>STARTERKIT-PLUS</t>
  </si>
  <si>
    <t>AJAX Hub Plus + MotionProtect + DoorProtect + SpaceControl</t>
  </si>
  <si>
    <t>STARTERKIT-CAM</t>
  </si>
  <si>
    <t>AJAX Hub 2 + MotionCam + DoorProtect + SpaceControl</t>
  </si>
  <si>
    <t>STARTERKIT-CAM-PLUS</t>
  </si>
  <si>
    <t>AJAX Hub 2 Plus + MotionCam + DoorProtect + SpaceControl</t>
  </si>
  <si>
    <t>Device</t>
  </si>
  <si>
    <t>HUB</t>
  </si>
  <si>
    <t>AJAX Control panel (SIM 2G, Ethernet)</t>
  </si>
  <si>
    <t>HUB-PLUS</t>
  </si>
  <si>
    <t>AJAX Advanced control panel (2xSIM, 3G/2G, Ethernet, Wi-Fi)</t>
  </si>
  <si>
    <t>HUB-2</t>
  </si>
  <si>
    <t>AJAX Control panel with alarm photo verification support (2xSIM 2G, Ethernet)</t>
  </si>
  <si>
    <t>HUB-2(4G)</t>
  </si>
  <si>
    <t xml:space="preserve">AJAX Security control panel with alarm photo verification support </t>
  </si>
  <si>
    <t>HUB-2-PLUS</t>
  </si>
  <si>
    <t>AJAX Advanced control panel with alarm photo verification support 
 (2xSIM, 4G/3G/2G, Ethernet, Wi-Fi)</t>
  </si>
  <si>
    <t>REX</t>
  </si>
  <si>
    <t>AJAX Radio signal range extender</t>
  </si>
  <si>
    <t>REX 2</t>
  </si>
  <si>
    <t>AJAX Radio signal range extender with alarm photo verification support</t>
  </si>
  <si>
    <t>SPACECONTROL</t>
  </si>
  <si>
    <t>AJAX Two-way wireless key fob with panic button</t>
  </si>
  <si>
    <t>DOORPROTECT</t>
  </si>
  <si>
    <t>AJAX Wireless magnetic opening detector</t>
  </si>
  <si>
    <t>DOORPROTECT-PLUS</t>
  </si>
  <si>
    <t>AJAX Wireless magnetic opening detector with shock and tilt sensor</t>
  </si>
  <si>
    <t>MOTIONPROTECT</t>
  </si>
  <si>
    <t>AJAX Wireless pet immune motion detector</t>
  </si>
  <si>
    <t>MOTIONPROTECT-PLUS</t>
  </si>
  <si>
    <t>AJAX Wireless pet immune motion detector with microwave sensor</t>
  </si>
  <si>
    <t>MOTIONPROTECT-OUTDOOR</t>
  </si>
  <si>
    <t>AJAX Wireless outdoor motion detector with anti-masking and pet immunity</t>
  </si>
  <si>
    <t>HOOD-FOR-MPO</t>
  </si>
  <si>
    <t>AJAX Hood for MotionProtect Outdoor protects sensors of the antimasking system from rain and snow to prevent false alarms</t>
  </si>
  <si>
    <t>MOTIONCAM-OUTDOOR</t>
  </si>
  <si>
    <t>AJAX Wireless outdoor motion detector with visual alarm verification, antimasking, and pet immunity</t>
  </si>
  <si>
    <t>DUALCURTAIN-OUTDOOR</t>
  </si>
  <si>
    <t>AJAX Wireless outdoor dual-side curtain-type motion detector with antimasking and pet immunity</t>
  </si>
  <si>
    <t>MOTIONPROTECT-CURTAIN</t>
  </si>
  <si>
    <t>AJAX Wireless indoor curtain motion detector</t>
  </si>
  <si>
    <t>COMBIPROTECT</t>
  </si>
  <si>
    <t>AJAX Wireless motion and glass break detector with pet immunity</t>
  </si>
  <si>
    <t>GLASSPROTECT</t>
  </si>
  <si>
    <t>AJAX Wireless glass break detector</t>
  </si>
  <si>
    <t>MOTIONCAM</t>
  </si>
  <si>
    <t>AJAX Wireless motion detector with visual alarm verification and pet immunity</t>
  </si>
  <si>
    <t>STREETSIREN</t>
  </si>
  <si>
    <t>AJAX Wireless outdoor siren</t>
  </si>
  <si>
    <t>HOME SIREN</t>
  </si>
  <si>
    <t>AJAX Wireless indoor siren</t>
  </si>
  <si>
    <t>STREETSIREN-DOUBLEDECK</t>
  </si>
  <si>
    <t xml:space="preserve">AJAX Outdoor Siren with a spot for a customizable Brandplate </t>
  </si>
  <si>
    <t>BATCH-OF-SS-DD-BRANDPLATES(10PCS)</t>
  </si>
  <si>
    <t xml:space="preserve">AJAX Cover for StreetSiren DoubleDeck </t>
  </si>
  <si>
    <t>LEAKSPROTECT</t>
  </si>
  <si>
    <t>AJAX Wireless flood detector</t>
  </si>
  <si>
    <t>FIREPROTECT</t>
  </si>
  <si>
    <t>AJAX Wireless smoke and heat detector with sounder</t>
  </si>
  <si>
    <t>FIREPROTECT-PLUS</t>
  </si>
  <si>
    <t>AJAX Wireless smoke, heat, and carbon monoxide detector with sounder</t>
  </si>
  <si>
    <t>KEYPAD</t>
  </si>
  <si>
    <t>AJAX Two-way wireless keypad</t>
  </si>
  <si>
    <t>KEYPAD-PLUS</t>
  </si>
  <si>
    <t>AJAX Wireless touch keypad supporting contactless cards and tags</t>
  </si>
  <si>
    <t>BATCH-OF-PASS(3PCS)</t>
  </si>
  <si>
    <t>AJAX Contactless card</t>
  </si>
  <si>
    <t>BATCH-OF-PASS(10PCS)</t>
  </si>
  <si>
    <t>BATCH-OF-PASS(100PCS)</t>
  </si>
  <si>
    <t>BATCH-OF-TAG(3PCS)</t>
  </si>
  <si>
    <t>AJAX Contactless key fob</t>
  </si>
  <si>
    <t>BATCH-OF-TAG(10PCS)</t>
  </si>
  <si>
    <t>BATCH-OF-TAG(100PCS)</t>
  </si>
  <si>
    <t>BUTTON</t>
  </si>
  <si>
    <t>AJAX Wireless panic button / remote control for scenarios</t>
  </si>
  <si>
    <t>DOUBLE-BUTTON</t>
  </si>
  <si>
    <t>AJAX Wireless hold-up device with advanced protection against accidental activator</t>
  </si>
  <si>
    <t>HOLDER-FOR-BUTTON/DOUBLEBUTTON</t>
  </si>
  <si>
    <t>AJAX Bracket to fix Button or DoubleButton on surfaces</t>
  </si>
  <si>
    <t>SOCKET(TYPE-F)</t>
  </si>
  <si>
    <t>AJAX Wireless smart plug with energy monitor</t>
  </si>
  <si>
    <t>SOCKET(TYPE-G)</t>
  </si>
  <si>
    <t>WALL-SWITCH</t>
  </si>
  <si>
    <t>AJAX Wireless power relay with energy monitor</t>
  </si>
  <si>
    <t>AJAX Wireless low-current dry contact relay</t>
  </si>
  <si>
    <t>VHFBRIDGE(WITH.CASING)</t>
  </si>
  <si>
    <t>AJAX Module to connect Ajax security systems to third-party VHF transmitters</t>
  </si>
  <si>
    <t>VHFBRIDGE(WITHOUT.CASING)</t>
  </si>
  <si>
    <t>TRANSMITTER</t>
  </si>
  <si>
    <t>AJAX Module for third-party detector integration</t>
  </si>
  <si>
    <t>MULTI-TRANSMITTER</t>
  </si>
  <si>
    <t>AJAX Integration module with 18 wired zones for connecting third-party detectors to Ajax security system</t>
  </si>
  <si>
    <t>12V-PSU.FOR.HUB.HUB-PLUS-REX</t>
  </si>
  <si>
    <t>AJAX 6 V Power Supply Unit for Hub 2/Hub 2 Plus</t>
  </si>
  <si>
    <t>12V-PSU.FOR.HUB2</t>
  </si>
  <si>
    <t>AJAX 12 V Power Supply Unit for Hub 2</t>
  </si>
  <si>
    <t>6V-PSU.FOR.HUB 2.HUB2-PLUS</t>
  </si>
  <si>
    <t>SRP (End-User)</t>
  </si>
  <si>
    <t>DEALER's PRICE</t>
  </si>
  <si>
    <t>CONTRACTOR's PRICE</t>
  </si>
  <si>
    <t>Small Volume (200% Mark-Up)</t>
  </si>
  <si>
    <r>
      <rPr>
        <rFont val="Arial"/>
        <b/>
        <color theme="1"/>
        <sz val="10.0"/>
      </rPr>
      <t xml:space="preserve">Big Volume
</t>
    </r>
    <r>
      <rPr>
        <rFont val="Arial"/>
        <b/>
        <color theme="1"/>
        <sz val="10.0"/>
      </rPr>
      <t>(30% Mark-Up)</t>
    </r>
  </si>
  <si>
    <r>
      <rPr>
        <rFont val="Arial"/>
        <color theme="1"/>
        <sz val="10.0"/>
      </rPr>
      <t xml:space="preserve">Small Volume
</t>
    </r>
    <r>
      <rPr>
        <rFont val="Arial"/>
        <color theme="1"/>
        <sz val="10.0"/>
      </rPr>
      <t>(30% Mark-Up)</t>
    </r>
  </si>
  <si>
    <r>
      <rPr>
        <rFont val="Arial"/>
        <color theme="1"/>
        <sz val="10.0"/>
      </rPr>
      <t xml:space="preserve">Big Volume
</t>
    </r>
    <r>
      <rPr>
        <rFont val="Arial"/>
        <color theme="1"/>
        <sz val="10.0"/>
      </rPr>
      <t>(20% Mark-Up)</t>
    </r>
  </si>
  <si>
    <r>
      <rPr>
        <rFont val="Arial"/>
        <color theme="1"/>
        <sz val="10.0"/>
      </rPr>
      <t xml:space="preserve">Small Volume
</t>
    </r>
    <r>
      <rPr>
        <rFont val="Arial"/>
        <color theme="1"/>
        <sz val="10.0"/>
      </rPr>
      <t>(15% Mark-Up)</t>
    </r>
  </si>
  <si>
    <r>
      <rPr>
        <rFont val="Arial"/>
        <color theme="1"/>
        <sz val="10.0"/>
      </rPr>
      <t xml:space="preserve">Big Volume
</t>
    </r>
    <r>
      <rPr>
        <rFont val="Arial"/>
        <color theme="1"/>
        <sz val="10.0"/>
      </rPr>
      <t>(10% Mark-Up)</t>
    </r>
  </si>
  <si>
    <t>PARADOX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</si>
  <si>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</si>
  <si>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SP4000</t>
  </si>
  <si>
    <t>4-ZONE CONTROL (8 WITH ZONE DOUBLING) EXPANDABLE TO 32-ZONE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</si>
  <si>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</si>
  <si>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SP5500</t>
  </si>
  <si>
    <t>5-ZONE CONTROL (10 WITH ZONE DOUBLING) EXPANDABLE TO 32-ZONE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</si>
  <si>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</si>
  <si>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SP6000</t>
  </si>
  <si>
    <t>8-ZONE CONTROL (16 WITH ZONE DOUBLING) EXPANDABLE TO 32-ZONE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</si>
  <si>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</si>
  <si>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SP7000</t>
  </si>
  <si>
    <t>16-ZONE CONTROL (16 WITH ZONE DOUBLING) EXPANDABLE TO 32-ZONE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</si>
  <si>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</si>
  <si>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SP65</t>
  </si>
  <si>
    <t>9-ZONE CONTROL (18 WITH ZONE DOUBLING) EXPANDABLE TO 32-ZONE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</si>
  <si>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</si>
  <si>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MGSPU</t>
  </si>
  <si>
    <t>USER MANUAL MG/SP SERIES</t>
  </si>
  <si>
    <t>FREE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</si>
  <si>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</si>
  <si>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MGSPI</t>
  </si>
  <si>
    <t>INSTALLATION MANUAL MG/SP SERIES</t>
  </si>
  <si>
    <r>
      <rPr>
        <rFont val="Arial"/>
        <color theme="1"/>
        <sz val="10.0"/>
      </rPr>
      <t xml:space="preserve">Spectra SP Series </t>
    </r>
    <r>
      <rPr>
        <rFont val="Arial"/>
        <color theme="1"/>
        <sz val="10.0"/>
      </rPr>
      <t>Panels</t>
    </r>
  </si>
  <si>
    <t>MGSPP</t>
  </si>
  <si>
    <t>PROGRAMMING MANUAL MG/SP SERIES</t>
  </si>
  <si>
    <t>Keypads for Spectra SP Series And Transceiver Panels</t>
  </si>
  <si>
    <t>K636</t>
  </si>
  <si>
    <t>10-ZONE HARDWIRE LED KEYPAD WITH ONE ON-BOARD  ZONE INPUT, SINGLE PARTITION</t>
  </si>
  <si>
    <t>K10H</t>
  </si>
  <si>
    <t>10-ZONE HARDWIRE HORIZONTAL LED KEYPAD WITH ONE ON-BOARD ZONE INPUT</t>
  </si>
  <si>
    <t>K10V</t>
  </si>
  <si>
    <t>10-ZONE HARDWIRE VERTICAL LED KEYPAD WITH ONE ON-BOARD ZONE INPUT</t>
  </si>
  <si>
    <t>K32+</t>
  </si>
  <si>
    <t>32-ZONE HARDWIRED LED VERTICAL KEYPAD WITH ONE ON-BOARD ZONE INPUT</t>
  </si>
  <si>
    <t>K35</t>
  </si>
  <si>
    <t>32-ZONE HARDWIRED FIXED LCD KEYPAD</t>
  </si>
  <si>
    <t>K32LCD+</t>
  </si>
  <si>
    <t>32-ZONE HARDWIRED LCD KEYPAD WITH ONE ON-BOARD ZONE INPUT, NEW BEAUTIFUL DESIGN</t>
  </si>
  <si>
    <t>K32LX</t>
  </si>
  <si>
    <t>32-ZONE HARDWIRED LCD KEYPAD WITH BUILT-IN TRANSCEIVER (FOR SP SERIES ONLY)</t>
  </si>
  <si>
    <t>K37</t>
  </si>
  <si>
    <t>32-ZONE WIRELESS FIXED LCD KEYPAD C/W 2 PIECES AA ALKALINE BATTERIES</t>
  </si>
  <si>
    <t>TM50</t>
  </si>
  <si>
    <t>5" TOUCH INTERFACE MODULE C/W FLOOR PLAN AND ANNUNCIATOR. COLOUR BLACK OR WHITE</t>
  </si>
  <si>
    <t>TM70</t>
  </si>
  <si>
    <r>
      <rPr>
        <rFont val="Arial"/>
        <color rgb="FF000000"/>
        <sz val="10.0"/>
      </rPr>
      <t xml:space="preserve">7" </t>
    </r>
    <r>
      <rPr>
        <rFont val="Arial"/>
        <color rgb="FF000000"/>
        <sz val="10.0"/>
      </rPr>
      <t>TOUCH INTERFACE MODULE C/W FLOOR PLAN AND ANNUNCIATOR. COLOUR WHITE</t>
    </r>
  </si>
  <si>
    <t>TM50WB</t>
  </si>
  <si>
    <t>TM50 IN-WALL BRACKET</t>
  </si>
  <si>
    <t>TM70WB</t>
  </si>
  <si>
    <t>TM70 IN-WALL BRACKET</t>
  </si>
  <si>
    <t>Special Accessories for Spectra SP Series Panels</t>
  </si>
  <si>
    <t>RTX3</t>
  </si>
  <si>
    <t>WIRELESS RECEIVER MODULE ONLY</t>
  </si>
  <si>
    <t>RX1</t>
  </si>
  <si>
    <t>VDMP3</t>
  </si>
  <si>
    <t>PLUG-IN VOICE DIALER; ARM/DISARM SYSTEM REMOTELY VIA TELEPHONE</t>
  </si>
  <si>
    <t>IP150+</t>
  </si>
  <si>
    <t>INTERNET MODULE - LINK TO INSITE GOLD APP</t>
  </si>
  <si>
    <t>PCS250</t>
  </si>
  <si>
    <t>GPRS/GSM COMMUNICATOR MODULE ONLY</t>
  </si>
  <si>
    <t>PCS250G</t>
  </si>
  <si>
    <t>GPRS COMMUNICATOR MODULE ONLY, NO GSM</t>
  </si>
  <si>
    <t>PCS265E</t>
  </si>
  <si>
    <t>LTE/4G/3G/GPRS/GSM COMMUNICATOR MODULE ONLY</t>
  </si>
  <si>
    <t>ANTK4G-LTE</t>
  </si>
  <si>
    <t>ANTENNA EXTENSION FOR PCS265LTE</t>
  </si>
  <si>
    <t>Bus Based  Hardwire Expansion Modules</t>
  </si>
  <si>
    <t>ZX8SP</t>
  </si>
  <si>
    <r>
      <rPr>
        <rFont val="Arial"/>
        <color rgb="FF000000"/>
        <sz val="10.0"/>
      </rPr>
      <t xml:space="preserve">8-ZONE EXPANSION MODULE COMPATIBLE WITH ALL </t>
    </r>
    <r>
      <rPr>
        <rFont val="Arial"/>
        <color rgb="FF000000"/>
        <sz val="10.0"/>
      </rPr>
      <t xml:space="preserve">SPECTRA </t>
    </r>
    <r>
      <rPr>
        <rFont val="Arial"/>
        <color rgb="FF000000"/>
        <sz val="10.0"/>
      </rPr>
      <t>MODELS</t>
    </r>
  </si>
  <si>
    <t>ZX82</t>
  </si>
  <si>
    <r>
      <rPr>
        <rFont val="Arial"/>
        <color rgb="FF000000"/>
        <sz val="10.0"/>
      </rPr>
      <t>8-ZONE EXPANSION MODULE COMPATIBLE WITH ALL SP/MG/EVO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MODELS</t>
    </r>
  </si>
  <si>
    <t>PGM4</t>
  </si>
  <si>
    <t>4-RELAY MODULE (RATED 5A) FOR ACTIVATION/DE-ACTIVATION OF ANY DEVICE</t>
  </si>
  <si>
    <t>PGM82</t>
  </si>
  <si>
    <t>8-PGM EXPANSION MODULE CONNECTS VIA KEYPAD BUS</t>
  </si>
  <si>
    <t>HUB2</t>
  </si>
  <si>
    <t>HUB/BUS ISOLATOR, PROVIDES 2 COMPLETELY ISOLATED BUSES UP TO 75M (250’) EACH</t>
  </si>
  <si>
    <t>PS25</t>
  </si>
  <si>
    <t>2.5A POWER SUPPLY MODULE ONLY</t>
  </si>
  <si>
    <t>Miscellaneous</t>
  </si>
  <si>
    <t>307USB</t>
  </si>
  <si>
    <t>DIRECT-CONNECT INTERFACE TO COMMUNICATE WITH PC AT MAX. 8M (25’)</t>
  </si>
  <si>
    <t>USD-2000</t>
  </si>
  <si>
    <r>
      <rPr>
        <rFont val="Arial"/>
        <color rgb="FF000000"/>
        <sz val="10.0"/>
      </rPr>
      <t xml:space="preserve">WINLOAD </t>
    </r>
    <r>
      <rPr>
        <rFont val="Arial"/>
        <color rgb="FF000000"/>
        <sz val="10.0"/>
      </rPr>
      <t xml:space="preserve"> INSTALLER UPLOAD/DOWNLOAD SOFTWARE (WINDOWS)</t>
    </r>
  </si>
  <si>
    <t>PMC-5</t>
  </si>
  <si>
    <t>HAND-HELD PLUG-IN USB MEMORY KEY FOR UP/DOWNLOAD OF PANEL PROGRAMMING</t>
  </si>
  <si>
    <t>PA6</t>
  </si>
  <si>
    <t>6.0 VDC POWER ADAPTER PLUG FOR WIRELESS KEYPAD</t>
  </si>
  <si>
    <t>All-in-one Wireless Console</t>
  </si>
  <si>
    <t>MG6250</t>
  </si>
  <si>
    <t>64-ZONE, 100% WIRELESS, INTEGRATED CONSOLE WITHOUT GPRS14</t>
  </si>
  <si>
    <t>PA7</t>
  </si>
  <si>
    <t>7.5 VDC POWER ADAPTER PLUG FOR MG6250</t>
  </si>
  <si>
    <t>GPRS14</t>
  </si>
  <si>
    <t>GPRS14 COMMUNICATION PLUG-IN MODULE FOR MG6250</t>
  </si>
  <si>
    <t>ANTKIT</t>
  </si>
  <si>
    <t>ANTENNA EXTENSION FOR GPRS14</t>
  </si>
  <si>
    <t>32-Zone Wireless Transceiver Control Panel</t>
  </si>
  <si>
    <t>MG5050</t>
  </si>
  <si>
    <t>32-ZONE WIRELESS CONTROL PANEL WITH 5-ZONE HARDWIRE ON-BOARD</t>
  </si>
  <si>
    <t>Wireless Motion Detectors</t>
  </si>
  <si>
    <t>PMD2P</t>
  </si>
  <si>
    <t>PET-IMMUNE PIR UP TO 18KG, SUPPLIED WITH 3 “AA” BATTERIES</t>
  </si>
  <si>
    <t>PMD75</t>
  </si>
  <si>
    <t>DUAL-OPTICS PET-IMMUNE PIR, SUPPLIED WITH 3 “AAA BATTERIES</t>
  </si>
  <si>
    <t>PMD85</t>
  </si>
  <si>
    <t>OUTDOOR DIGITAL DUAL OPTICS PET IMMUNE PIR MOTION DETECTOR</t>
  </si>
  <si>
    <t>NV35MR</t>
  </si>
  <si>
    <t>WIRELESS OUTDOOR/INDOOR WINDOW AND SLIDING DOOR DUAL DETECTOR</t>
  </si>
  <si>
    <t>G550</t>
  </si>
  <si>
    <t>WIRELESS GLASS-BREAK DETECTOR</t>
  </si>
  <si>
    <t xml:space="preserve"> Door Transmitters &amp; Remotes</t>
  </si>
  <si>
    <t>DCT10</t>
  </si>
  <si>
    <t>DCTXP2</t>
  </si>
  <si>
    <t>MID-SIZE 2-ZONE DOOR TRANSMITTER C/W MAGNET &amp; 2 “AAA” BATTERIES</t>
  </si>
  <si>
    <t>DCT2</t>
  </si>
  <si>
    <t>ULTRA-SMALL DOOR TRANSMITTER C/W MAGNET &amp; LITHIUM BATTERY</t>
  </si>
  <si>
    <t>DCT6</t>
  </si>
  <si>
    <t>WIRELESS DOOR CONTACT</t>
  </si>
  <si>
    <t>REM15</t>
  </si>
  <si>
    <t>4 BACKLIT BUTTONS REMOTE, SLIM, ERGONOMIC DESIGN, C/W LITHIUM BATTERY</t>
  </si>
  <si>
    <t>REM2</t>
  </si>
  <si>
    <t>BI-DIRECTIONAL REMOTE WITH SOUND AND VISUAL FEEDBACK, C/W LITHIUM BATTERY</t>
  </si>
  <si>
    <t>REM25</t>
  </si>
  <si>
    <t>2-WAY WIRELESS REMOTE CONTROL, BLACK COLOUR. NEW, AVAILABLE IN Q2</t>
  </si>
  <si>
    <t>REM3</t>
  </si>
  <si>
    <t>HAND-HELD 2-WAY REMOTE KEYPAD, C/W LITHIUM BATTERY</t>
  </si>
  <si>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>REM101</t>
    </r>
  </si>
  <si>
    <t>PORTABLE EMERGENCY PANIC BUTTON C/W LANYARD &amp; LITHIUM BATTERY</t>
  </si>
  <si>
    <t>Wireless Reporting Devices</t>
  </si>
  <si>
    <t>RPT1</t>
  </si>
  <si>
    <t>WIRELESS REPEATER MODULE ONLY</t>
  </si>
  <si>
    <t>2WPGM</t>
  </si>
  <si>
    <t>2-WAY WIRELESS PGM TRANSMITTER/RECEIVER WITH ZONE INPUT TERMINALS</t>
  </si>
  <si>
    <t>SD360</t>
  </si>
  <si>
    <t>WIRELESS SMOKE DETECTOR, REPLACING WS588P</t>
  </si>
  <si>
    <t>SR230</t>
  </si>
  <si>
    <t>OUTDOOR WIRELESS SIREN WITH BUILT-IN STROBE LIGHT. LENS COLOUR RED.</t>
  </si>
  <si>
    <t>OUTDOOR WIRELESS SIREN WITH BUILT-IN STROBE LIGHT. LENS COLOUR BLUE.</t>
  </si>
  <si>
    <t>Antenna Extension</t>
  </si>
  <si>
    <t>AE2M</t>
  </si>
  <si>
    <t>GSM/GPRS14 ANTENNA EXTENSION CABLE, 2M (6FT)</t>
  </si>
  <si>
    <t>AE4M</t>
  </si>
  <si>
    <t>GSM/GPRS14 ANTENNA EXTENSION CABLE, 4M (12FT)</t>
  </si>
  <si>
    <t>AE7M</t>
  </si>
  <si>
    <t>GSM/GPRS14 ANTENNA EXTENSION CABLE, 7M (24FT)</t>
  </si>
  <si>
    <t>AE15M</t>
  </si>
  <si>
    <t>GSM/GPRS14 ANTENNA EXTENSION CABLE, 15M (48FT)</t>
  </si>
  <si>
    <t>AE18M</t>
  </si>
  <si>
    <t>GSM/GPRS14 ANTENNA EXTENSION CABLE, 18M (60FT)</t>
  </si>
  <si>
    <t>Accessories for REM101</t>
  </si>
  <si>
    <t>WB101</t>
  </si>
  <si>
    <t>WALL MOUNT BRACKET</t>
  </si>
  <si>
    <t>Accessories for REM102</t>
  </si>
  <si>
    <t>B101</t>
  </si>
  <si>
    <t>BRACELET – MINIMAL STOCK</t>
  </si>
  <si>
    <t>Accessories for REM103</t>
  </si>
  <si>
    <t>BC101</t>
  </si>
  <si>
    <t>BELT CLIP – MINIMAL STOCK</t>
  </si>
  <si>
    <t>5709C</t>
  </si>
  <si>
    <t>ACCOUSTIC GLASS-BREAK SENSOR TESTER FOR WIRELESS GLASS-BREAK</t>
  </si>
  <si>
    <t>EVOHD Control Panel</t>
  </si>
  <si>
    <t>EVOHD</t>
  </si>
  <si>
    <r>
      <rPr>
        <rFont val="Arial"/>
        <color rgb="FF000000"/>
        <sz val="10.0"/>
      </rPr>
      <t xml:space="preserve">HD ENHANCED 8 ZONE CONTROL EXPANDABLE TO 192 </t>
    </r>
    <r>
      <rPr>
        <rFont val="Arial"/>
        <color rgb="FFFF0000"/>
        <sz val="10.0"/>
      </rPr>
      <t>(WHILE STOCK LAST)</t>
    </r>
  </si>
  <si>
    <t>EVOHDU</t>
  </si>
  <si>
    <t>USER MANUAL EVOHD</t>
  </si>
  <si>
    <t>EVOHDI</t>
  </si>
  <si>
    <t>INSTALLATION MANUAL  EVOHD</t>
  </si>
  <si>
    <t>EVOHDP</t>
  </si>
  <si>
    <t>PROGRAMMING MANUAL EVOHD</t>
  </si>
  <si>
    <t>EVO Control Panel</t>
  </si>
  <si>
    <t>EVO192</t>
  </si>
  <si>
    <t>8 ZONE CONTROL EXPANDABLE TO 192</t>
  </si>
  <si>
    <t>EVOU</t>
  </si>
  <si>
    <t>USER MANUAL EVO</t>
  </si>
  <si>
    <t>EVOI</t>
  </si>
  <si>
    <t>INSTALLATION MANUAL EVO</t>
  </si>
  <si>
    <t>EVOP</t>
  </si>
  <si>
    <t>PROGRAMMING MANUAL EVO</t>
  </si>
  <si>
    <t>Keypads &amp; Display Modules</t>
  </si>
  <si>
    <t>K641+</t>
  </si>
  <si>
    <t>32-CHARACTER BLUE LCD KEYPAD WITH ONE PGM OUTPUT, NEW BEAUTIFUL DESIGN</t>
  </si>
  <si>
    <t>K656</t>
  </si>
  <si>
    <t>32-CHARACTER BLUE LCD KEYPAD; TOUCH SENSE KEYS WITH LED BACK LIGHTING</t>
  </si>
  <si>
    <t>K641R</t>
  </si>
  <si>
    <t>32-CHARACTER BLUE LCD KEYPAD MODULE WITH INTEGRATED CARD READER</t>
  </si>
  <si>
    <r>
      <rPr>
        <rFont val="Arial"/>
        <color rgb="FF000000"/>
        <sz val="10.0"/>
      </rPr>
      <t xml:space="preserve">5" </t>
    </r>
    <r>
      <rPr>
        <rFont val="Arial"/>
        <color rgb="FF000000"/>
        <sz val="10.0"/>
      </rPr>
      <t>TOUCH INTERFACE MODULE C/W FLOOR PLAN AND ANNUNCIATOR. COLOUR BLACK OR WHITE</t>
    </r>
  </si>
  <si>
    <r>
      <rPr>
        <rFont val="Arial"/>
        <color rgb="FF000000"/>
        <sz val="10.0"/>
      </rPr>
      <t xml:space="preserve">7" </t>
    </r>
    <r>
      <rPr>
        <rFont val="Arial"/>
        <color rgb="FF000000"/>
        <sz val="10.0"/>
      </rPr>
      <t>TOUCH INTERFACE MODULE C/W FLOOR PLAN AND ANNUNCIATOR. COLOUR WHITE</t>
    </r>
  </si>
  <si>
    <t>Digital Motion Detector Modules</t>
  </si>
  <si>
    <t>DM50</t>
  </si>
  <si>
    <t>DUAL-ELEMENT BUS MOTION DETECTOR</t>
  </si>
  <si>
    <t>DM60</t>
  </si>
  <si>
    <r>
      <rPr>
        <rFont val="Arial"/>
        <color rgb="FF000000"/>
        <sz val="10.0"/>
      </rPr>
      <t xml:space="preserve">QUAD-ELEMENT BUS MOTION DETECTOR, </t>
    </r>
    <r>
      <rPr>
        <rFont val="Arial"/>
        <color rgb="FFFF0000"/>
        <sz val="10.0"/>
      </rPr>
      <t>NON STOCK ITEM</t>
    </r>
  </si>
  <si>
    <t>DM70</t>
  </si>
  <si>
    <t>DUAL OPTICS PET-IMMUNE BUS MOTION DETECTOR (UP TO 40KG)</t>
  </si>
  <si>
    <t>NV780MX</t>
  </si>
  <si>
    <t xml:space="preserve">DUAL SIDE-VIEW OUTDOOR DETECTORS WITH ANTI-MASKING &amp; PET IMMUNITY. BUS CONNECTION. OPTION FOR RAIN COVER. </t>
  </si>
  <si>
    <t>NVX80-RC-B</t>
  </si>
  <si>
    <t>INDOOR/OUTDOOR MOTION DETECTOR FOR HARSH ENVIRONMENTS. SUPPLIED WITH RC80 RAIN COVER &amp; BRACKET. BUS CONNECTION.</t>
  </si>
  <si>
    <t>Hardwire Zone &amp; Wireless Expansion Modules</t>
  </si>
  <si>
    <t>ZC1</t>
  </si>
  <si>
    <t>DOOR CONTACT MODULE, SMALL SIZE: 74MM X 20MM X 30.5MM (2.9” X 0.8” X 1.2”)</t>
  </si>
  <si>
    <t>ZX1</t>
  </si>
  <si>
    <t>1-ZONE EXPANSION MODULE (2 WITH ATZ DOUBLING FEATURE ENABLED)</t>
  </si>
  <si>
    <t>ZX8</t>
  </si>
  <si>
    <t>8-ZONE EXPANSION BOARD ONLY</t>
  </si>
  <si>
    <r>
      <rPr>
        <rFont val="Arial"/>
        <color rgb="FF000000"/>
        <sz val="10.0"/>
      </rPr>
      <t>8-ZONE EXPANSION MODULE COMPATIBLE WITH ALL SP/MG/EVO</t>
    </r>
    <r>
      <rPr>
        <rFont val="Arial"/>
        <color rgb="FF000000"/>
        <sz val="10.0"/>
      </rPr>
      <t xml:space="preserve"> </t>
    </r>
    <r>
      <rPr>
        <rFont val="Arial"/>
        <color rgb="FF000000"/>
        <sz val="10.0"/>
      </rPr>
      <t>MODELS</t>
    </r>
  </si>
  <si>
    <t>System Accessories &amp; Software</t>
  </si>
  <si>
    <t>PRT3</t>
  </si>
  <si>
    <t>PRINTER MODULE WITH USB PORT; FIRMWARE UPGRADEABLE; PRINT UP TO 2048 EVENTS</t>
  </si>
  <si>
    <t>PS45</t>
  </si>
  <si>
    <t>SUPERVISED BACK-UP POWER SUPPLY : 75W AC100-240VAC, MAX 4A</t>
  </si>
  <si>
    <t>CV4USB</t>
  </si>
  <si>
    <t>RS-485/RS-232 CONVERTER KIT</t>
  </si>
  <si>
    <t>USD</t>
  </si>
  <si>
    <r>
      <rPr>
        <rFont val="Arial"/>
        <color rgb="FF000000"/>
        <sz val="10.0"/>
      </rPr>
      <t xml:space="preserve">WINLOAD  </t>
    </r>
    <r>
      <rPr>
        <rFont val="Arial"/>
        <color rgb="FF000000"/>
        <sz val="10.0"/>
      </rPr>
      <t>INSTALLER UPLOAD/DOWNLOAD SOFTWARE (WINDOWS)</t>
    </r>
  </si>
  <si>
    <t>NEWACC</t>
  </si>
  <si>
    <r>
      <rPr>
        <rFont val="Arial"/>
        <color rgb="FF000000"/>
        <sz val="10.0"/>
      </rPr>
      <t xml:space="preserve">END-USER SOFTWARE TO MONITOR AND MANAGE SECURITY AND ACCESS FEATURES OF  </t>
    </r>
    <r>
      <rPr>
        <rFont val="Arial"/>
        <color rgb="FF000000"/>
        <sz val="10.0"/>
      </rPr>
      <t>EVO192</t>
    </r>
  </si>
  <si>
    <t>Access Control Modules &amp; Proximity Readers</t>
  </si>
  <si>
    <t>ACM12</t>
  </si>
  <si>
    <t>ACCESS CONTROL MODULE TO CONNECT PROX READER, DOOR CONTACT AND EM LOCK</t>
  </si>
  <si>
    <t>R910</t>
  </si>
  <si>
    <t>4-WIRE INDOOR/OUTDOOR PROX READER, READ RANGE UP TO 10CM (4”)</t>
  </si>
  <si>
    <t>R915</t>
  </si>
  <si>
    <t>INDOOR/OUTDOOR PROX READER AND KEYPAD; USE AS KEYPAD, READER OR BOTH (BLACK COLOUR)</t>
  </si>
  <si>
    <t>Proximity Keytags and Cards</t>
  </si>
  <si>
    <t>C705</t>
  </si>
  <si>
    <t>TRANSLUCENT PROXIMITY KEYTAG FOR USE WITH ANY PARADOX PROX READER;  BLUE COLOUR</t>
  </si>
  <si>
    <t>C706</t>
  </si>
  <si>
    <t>ISO PROXIMITY CARD (GLOSS) FOR USE WITH ANY PARADOX PROX READER</t>
  </si>
  <si>
    <t>Analog PIR Detectors</t>
  </si>
  <si>
    <t>476+</t>
  </si>
  <si>
    <t>PRO+ MOTION DETECTOR 11M X 11M (35’ X 35’) X 110˚ COVERAGE,</t>
  </si>
  <si>
    <t>476PET</t>
  </si>
  <si>
    <t>PRO+ PET-IMMUNE MOTION DETECTOR UP TO 18KG (40LB),  11M X 11M  (35’ X 35’) X 100˚ COVERAGE</t>
  </si>
  <si>
    <t>460 Paradoor</t>
  </si>
  <si>
    <t>FOR VERTICAL VIEW COVERAGE: 2M X 1.5M (7’ X 5’) OR 6M X 4.5M (20’ X 15’)</t>
  </si>
  <si>
    <t>Digital Detectors</t>
  </si>
  <si>
    <t>DG467</t>
  </si>
  <si>
    <t>360˚ CEILING MOUNT, 7M X 6M (24’ X 20’) AT 2.4M (8’) HEIGHT</t>
  </si>
  <si>
    <t>NV5-SB100</t>
  </si>
  <si>
    <t>HIGH-PERFORMANCE INFRARED MOTION DETECTOR WITH SMALL PET IMMUNITY UP TO 16KG, 12 X 12M (40 X 40 FT), 90°VIEWING ANGLE. SUPPLIED WITH BRACKET.</t>
  </si>
  <si>
    <t>DG55+</t>
  </si>
  <si>
    <t>DIGIGARD DUAL ELEMENT DIGITAL MOTION DETECTOR, 12M X 12M (40’ X 40’) X 110˚</t>
  </si>
  <si>
    <t>DG65+</t>
  </si>
  <si>
    <t>DIGIGARD QUAD ELEMENT DIGITAL MOTION DETECTOR, 12M X 12M (40’ X 40’) X 110˚</t>
  </si>
  <si>
    <t>DG75+</t>
  </si>
  <si>
    <t>DUAL OPTICS DETECTOR WITH PET IMMUNITY UP TO 40KG, 11M X 11M X 90˚</t>
  </si>
  <si>
    <t>DG85+</t>
  </si>
  <si>
    <t>OUTDOOR DUAL OPTICS BUS PIR WITH PET IMMUNITY UP TO 40KG</t>
  </si>
  <si>
    <t>525DM</t>
  </si>
  <si>
    <t>MICROWAVE &amp; INFRARED DIGITAL ANTI-MASK MOTION DETECTOR, 14 X 14M X 90˚</t>
  </si>
  <si>
    <t>NV35M</t>
  </si>
  <si>
    <t>WIRED OUTDOOR/INDOOR WINDOW AND SLIDING DOOR DUAL DETECTOR. ZONE CONNECTION.</t>
  </si>
  <si>
    <t>INDOOR/OUTDOOR MOTION DETECTOR FOR HARSH ENVIRONMENTS. SUPPLIED WITH RC80 RAIN COVER          &amp; BRACKET. BUS CONNECTION.</t>
  </si>
  <si>
    <t xml:space="preserve">Specialized Detectors </t>
  </si>
  <si>
    <t>DG457</t>
  </si>
  <si>
    <t>DIGITAL GLASSBREAK BUS DETECTOR; 9M/4M (30’/15’) COVERAGE</t>
  </si>
  <si>
    <t>459 Testrek</t>
  </si>
  <si>
    <r>
      <rPr>
        <rFont val="Arial"/>
        <color rgb="FF000000"/>
        <sz val="10.0"/>
      </rPr>
      <t xml:space="preserve">HAND-HELD TESTER FOR TESTING OF </t>
    </r>
    <r>
      <rPr>
        <rFont val="Arial"/>
        <color rgb="FF000000"/>
        <sz val="10.0"/>
      </rPr>
      <t>GLASSTREK 457</t>
    </r>
    <r>
      <rPr>
        <rFont val="Arial"/>
        <color rgb="FF000000"/>
        <sz val="10.0"/>
      </rPr>
      <t>; 9V BATTERY OPERATED</t>
    </r>
  </si>
  <si>
    <t>SAFE/VAULT PROTECTOR; HIGH SENSITIVITY PIEZOELECTRIC ELEMENT; 2.5M (8’) COVERAGE</t>
  </si>
  <si>
    <t>WD1</t>
  </si>
  <si>
    <t>TWO-WAY WIRELESS WATER DETECTOR</t>
  </si>
  <si>
    <t>ES1</t>
  </si>
  <si>
    <t>EXTENSION SENSOR FOR USE WITH WD1</t>
  </si>
  <si>
    <t>Accessories For Detectors</t>
  </si>
  <si>
    <t>780MRC</t>
  </si>
  <si>
    <t>RAIN COVER FOR NV780M SERIES</t>
  </si>
  <si>
    <t>B80</t>
  </si>
  <si>
    <t>BRACKET FOR NVX80</t>
  </si>
  <si>
    <t>SB35</t>
  </si>
  <si>
    <t>WALL BRACKET FOR NV35M SERIES</t>
  </si>
  <si>
    <t>SB85W</t>
  </si>
  <si>
    <r>
      <rPr>
        <rFont val="Arial"/>
        <color rgb="FF000000"/>
        <sz val="10.0"/>
      </rPr>
      <t xml:space="preserve">HEAVY DUTY OUTDOOR SWIVEL BRACKET (WHITE) </t>
    </r>
    <r>
      <rPr>
        <rFont val="Arial"/>
        <color rgb="FF000000"/>
        <sz val="10.0"/>
      </rPr>
      <t>FOR DG85 &amp; PMD85</t>
    </r>
  </si>
  <si>
    <t>SB469</t>
  </si>
  <si>
    <t>SWIVEL MOUNT BRACKET (CEILING, WALL OR CORNER MOUNT) COMPATIBLE WITH ALL PIRS</t>
  </si>
  <si>
    <t>PBOX</t>
  </si>
  <si>
    <r>
      <rPr>
        <rFont val="Arial"/>
        <color rgb="FF000000"/>
        <sz val="10.0"/>
      </rPr>
      <t xml:space="preserve">PLASTIC BOX FOR USE WITH </t>
    </r>
    <r>
      <rPr>
        <rFont val="Arial"/>
        <color rgb="FF000000"/>
        <sz val="10.0"/>
      </rPr>
      <t>ZX8SP</t>
    </r>
    <r>
      <rPr>
        <rFont val="Arial"/>
        <color rgb="FF000000"/>
        <sz val="10.0"/>
      </rPr>
      <t xml:space="preserve">, </t>
    </r>
    <r>
      <rPr>
        <rFont val="Arial"/>
        <color rgb="FF000000"/>
        <sz val="10.0"/>
      </rPr>
      <t>ZX8</t>
    </r>
    <r>
      <rPr>
        <rFont val="Arial"/>
        <color rgb="FF000000"/>
        <sz val="10.0"/>
      </rPr>
      <t xml:space="preserve">, </t>
    </r>
    <r>
      <rPr>
        <rFont val="Arial"/>
        <color rgb="FF000000"/>
        <sz val="10.0"/>
      </rPr>
      <t>PRT3</t>
    </r>
    <r>
      <rPr>
        <rFont val="Arial"/>
        <color rgb="FF000000"/>
        <sz val="10.0"/>
      </rPr>
      <t xml:space="preserve">, </t>
    </r>
    <r>
      <rPr>
        <rFont val="Arial"/>
        <color rgb="FF000000"/>
        <sz val="10.0"/>
      </rPr>
      <t>PGM4</t>
    </r>
    <r>
      <rPr>
        <rFont val="Arial"/>
        <color rgb="FF000000"/>
        <sz val="10.0"/>
      </rPr>
      <t>, ETC..</t>
    </r>
  </si>
  <si>
    <t>LENSES FOR MOTION DETECTORS</t>
  </si>
  <si>
    <t>WA-2</t>
  </si>
  <si>
    <t>WIDE ANGLE: PROVIDES COVERAGE OF 16M X 16M (52’ X 52’) X 140˚</t>
  </si>
  <si>
    <t>CU-1</t>
  </si>
  <si>
    <t>CURTAIN LENS: VERTICAL BARRIER COVERAGE OF 13M L (43’) X 6M H (20’) X 5.64˚ WIDE</t>
  </si>
  <si>
    <t>PE-1</t>
  </si>
  <si>
    <t>PET ALLEY: SINGLE PLAN, HORIZONTAL COVERAGE OF 13M MAX.(52’) X 156˚</t>
  </si>
  <si>
    <t>LR-1</t>
  </si>
  <si>
    <t>LONG RANGE FOR CORRIDORS: 35M (115’) RANGE (L) WITH NARROW BEAM 3M THICK (10’)</t>
  </si>
  <si>
    <t>LR-2</t>
  </si>
  <si>
    <t>LONG RANGE: UP TO 27M LONG (89’) WITH MULTIPLE REDUCING ANGLES</t>
  </si>
  <si>
    <t>LR-3</t>
  </si>
  <si>
    <t>LR-4</t>
  </si>
  <si>
    <t>LONG RANGE: UP TO 30.4M LONG (100’) WITH MULTIPLE REDUCING ANGLES</t>
  </si>
  <si>
    <t>CU-4</t>
  </si>
  <si>
    <t>LENS - L2 VERTICAL CURTAIN BEAM FOR DG85</t>
  </si>
  <si>
    <t>PE-4</t>
  </si>
  <si>
    <t>LENS - L1  HORIZONTAL CURTAIN BEAM FOR DG85</t>
  </si>
  <si>
    <t>Batteries</t>
  </si>
  <si>
    <t>Ni-MH4.8V</t>
  </si>
  <si>
    <t>RECHARGEABLE BATTERY OF 4.8V FOR WIRELESS CONSOLE, MG6250</t>
  </si>
  <si>
    <t>Alarm Receiver</t>
  </si>
  <si>
    <t>IPR512-RS7</t>
  </si>
  <si>
    <t xml:space="preserve">HARDWARE - IP MONITORING RECEIVER BUNDLED WITH IPRS7 SOFTWARE RECEIVER </t>
  </si>
  <si>
    <t xml:space="preserve">Non Paradox Accessories </t>
  </si>
  <si>
    <t>Stra-Plasbox</t>
  </si>
  <si>
    <t>STRATEL PLASTIC BOX FOR CONTROL PANEL, SIZE : H30 X W28.3 X D8.8 CM</t>
  </si>
  <si>
    <t>Stra-Met-box</t>
  </si>
  <si>
    <t>METAL BOX FOR CONTROL PANEL, SIZE H11.5 X W11.0 X D3.0 CM</t>
  </si>
  <si>
    <t>SF0639PT</t>
  </si>
  <si>
    <t>TRANSFORMER : 240VAC/16.5 VAC@2.1 AMP FOR USE WITH PARADOX PANELS</t>
  </si>
  <si>
    <t>SF0644PT</t>
  </si>
  <si>
    <t>TRANSFORMER : 240VAC/16.5 VAC@4.5 AMP FOR USE WITH EVO-HD PANEL</t>
  </si>
  <si>
    <t>LO-RVC403KA</t>
  </si>
  <si>
    <t>KEY-LOCK FOR PANEL CABINET</t>
  </si>
  <si>
    <t>PURCHASE AMOUNT IN PHP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</si>
  <si>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</si>
  <si>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</si>
  <si>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</si>
  <si>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</si>
  <si>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</si>
  <si>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</si>
  <si>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MG5050 PARADOX  PACKAGE</t>
  </si>
  <si>
    <t>TELESTAR</t>
  </si>
  <si>
    <t>Outdoor Siren</t>
  </si>
  <si>
    <t>12V 7AH Back up Battery</t>
  </si>
  <si>
    <t>EVO192 PARADOX  PACKAGE</t>
  </si>
  <si>
    <t>SP4000 PARADOX  PACKAGE</t>
  </si>
  <si>
    <t>10-ZONE HARDWIRE LED KEYPAD WITH ONE ON-BOARD ZONE INPUT, SINGLE PARTITION</t>
  </si>
  <si>
    <t>SP6000 PARADOX 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</si>
</sst>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[$₱]#,##0.00"/>
    <numFmt numFmtId="166" formatCode="&quot;₱&quot;#,##0.00"/>
    <numFmt numFmtId="167" formatCode="_(* #,##0.00_);_(* \(#,##0.00\);_(* &quot;-&quot;??_);_(@_)"/>
  </numFmts>
  <fonts count="16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/>
    <font>
      <b/>
      <color theme="1"/>
      <name val="Arial"/>
    </font>
    <font>
      <sz val="10.0"/>
      <color theme="1"/>
      <name val="Arial"/>
      <scheme val="minor"/>
    </font>
    <font>
      <sz val="10.0"/>
      <color rgb="FF999999"/>
      <name val="Arial"/>
      <scheme val="minor"/>
    </font>
    <font>
      <b/>
      <sz val="10.0"/>
      <color theme="1"/>
      <name val="Arial"/>
      <scheme val="minor"/>
    </font>
    <font>
      <sz val="10.0"/>
      <color rgb="FFFF0000"/>
      <name val="Arial"/>
      <scheme val="minor"/>
    </font>
    <font>
      <b/>
      <sz val="13.0"/>
      <color rgb="FFFFFFFF"/>
      <name val="Arial"/>
    </font>
    <font>
      <color theme="1"/>
      <name val="Arial"/>
      <scheme val="minor"/>
    </font>
    <font>
      <b/>
      <color theme="1"/>
      <name val="Calibri"/>
    </font>
    <font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color rgb="FF98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shrinkToFit="0" wrapText="1"/>
    </xf>
    <xf borderId="4" fillId="3" fontId="4" numFmtId="0" xfId="0" applyAlignment="1" applyBorder="1" applyFill="1" applyFont="1">
      <alignment shrinkToFit="0" wrapText="1"/>
    </xf>
    <xf borderId="4" fillId="0" fontId="4" numFmtId="0" xfId="0" applyBorder="1" applyFont="1"/>
    <xf borderId="4" fillId="0" fontId="4" numFmtId="164" xfId="0" applyAlignment="1" applyBorder="1" applyFont="1" applyNumberFormat="1">
      <alignment shrinkToFit="0" wrapText="1"/>
    </xf>
    <xf borderId="4" fillId="0" fontId="5" numFmtId="165" xfId="0" applyAlignment="1" applyBorder="1" applyFont="1" applyNumberFormat="1">
      <alignment shrinkToFit="0" wrapText="1"/>
    </xf>
    <xf borderId="4" fillId="4" fontId="4" numFmtId="166" xfId="0" applyAlignment="1" applyBorder="1" applyFill="1" applyFont="1" applyNumberFormat="1">
      <alignment horizontal="right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7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4" fontId="6" numFmtId="167" xfId="0" applyAlignment="1" applyBorder="1" applyFont="1" applyNumberFormat="1">
      <alignment horizontal="center" shrinkToFit="0" vertical="center" wrapText="1"/>
    </xf>
    <xf borderId="4" fillId="5" fontId="4" numFmtId="167" xfId="0" applyAlignment="1" applyBorder="1" applyFill="1" applyFont="1" applyNumberFormat="1">
      <alignment horizontal="center" shrinkToFit="0" vertical="center" wrapText="1"/>
    </xf>
    <xf borderId="4" fillId="6" fontId="4" numFmtId="167" xfId="0" applyAlignment="1" applyBorder="1" applyFill="1" applyFont="1" applyNumberFormat="1">
      <alignment horizontal="center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shrinkToFit="0" vertical="center" wrapText="1"/>
    </xf>
    <xf borderId="4" fillId="0" fontId="4" numFmtId="164" xfId="0" applyAlignment="1" applyBorder="1" applyFont="1" applyNumberFormat="1">
      <alignment shrinkToFit="0" vertical="center" wrapText="1"/>
    </xf>
    <xf borderId="4" fillId="0" fontId="4" numFmtId="167" xfId="0" applyAlignment="1" applyBorder="1" applyFont="1" applyNumberFormat="1">
      <alignment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4" fillId="4" fontId="6" numFmtId="167" xfId="0" applyAlignment="1" applyBorder="1" applyFont="1" applyNumberFormat="1">
      <alignment horizontal="center" readingOrder="0" shrinkToFit="0" vertical="center" wrapText="1"/>
    </xf>
    <xf borderId="4" fillId="3" fontId="4" numFmtId="164" xfId="0" applyAlignment="1" applyBorder="1" applyFont="1" applyNumberForma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1" fillId="2" fontId="8" numFmtId="0" xfId="0" applyAlignment="1" applyBorder="1" applyFont="1">
      <alignment horizontal="center" shrinkToFit="0" vertical="bottom" wrapText="1"/>
    </xf>
    <xf borderId="1" fillId="2" fontId="8" numFmtId="167" xfId="0" applyAlignment="1" applyBorder="1" applyFont="1" applyNumberFormat="1">
      <alignment horizontal="center" shrinkToFit="0" vertical="bottom" wrapText="1"/>
    </xf>
    <xf borderId="4" fillId="4" fontId="6" numFmtId="167" xfId="0" applyAlignment="1" applyBorder="1" applyFont="1" applyNumberFormat="1">
      <alignment horizontal="center" readingOrder="0" shrinkToFit="0" wrapText="1"/>
    </xf>
    <xf borderId="4" fillId="5" fontId="4" numFmtId="167" xfId="0" applyAlignment="1" applyBorder="1" applyFont="1" applyNumberFormat="1">
      <alignment horizontal="center" readingOrder="0" shrinkToFit="0" wrapText="1"/>
    </xf>
    <xf borderId="4" fillId="6" fontId="4" numFmtId="167" xfId="0" applyAlignment="1" applyBorder="1" applyFont="1" applyNumberFormat="1">
      <alignment horizontal="center" readingOrder="0" shrinkToFit="0" wrapText="1"/>
    </xf>
    <xf borderId="4" fillId="0" fontId="9" numFmtId="0" xfId="0" applyAlignment="1" applyBorder="1" applyFont="1">
      <alignment readingOrder="0"/>
    </xf>
    <xf borderId="5" fillId="0" fontId="10" numFmtId="0" xfId="0" applyAlignment="1" applyBorder="1" applyFont="1">
      <alignment shrinkToFit="0" wrapText="1"/>
    </xf>
    <xf borderId="4" fillId="3" fontId="11" numFmtId="0" xfId="0" applyAlignment="1" applyBorder="1" applyFont="1">
      <alignment horizontal="center"/>
    </xf>
    <xf borderId="4" fillId="3" fontId="11" numFmtId="0" xfId="0" applyBorder="1" applyFont="1"/>
    <xf borderId="4" fillId="0" fontId="11" numFmtId="164" xfId="0" applyBorder="1" applyFont="1" applyNumberFormat="1"/>
    <xf borderId="4" fillId="0" fontId="11" numFmtId="167" xfId="0" applyAlignment="1" applyBorder="1" applyFont="1" applyNumberFormat="1">
      <alignment vertical="bottom"/>
    </xf>
    <xf borderId="4" fillId="4" fontId="12" numFmtId="167" xfId="0" applyAlignment="1" applyBorder="1" applyFont="1" applyNumberFormat="1">
      <alignment horizontal="center"/>
    </xf>
    <xf borderId="4" fillId="0" fontId="13" numFmtId="167" xfId="0" applyAlignment="1" applyBorder="1" applyFont="1" applyNumberFormat="1">
      <alignment horizontal="center"/>
    </xf>
    <xf borderId="6" fillId="0" fontId="2" numFmtId="0" xfId="0" applyBorder="1" applyFont="1"/>
    <xf borderId="4" fillId="0" fontId="11" numFmtId="0" xfId="0" applyAlignment="1" applyBorder="1" applyFont="1">
      <alignment horizontal="center"/>
    </xf>
    <xf borderId="4" fillId="0" fontId="11" numFmtId="0" xfId="0" applyBorder="1" applyFont="1"/>
    <xf borderId="4" fillId="0" fontId="14" numFmtId="164" xfId="0" applyBorder="1" applyFont="1" applyNumberFormat="1"/>
    <xf borderId="4" fillId="0" fontId="14" numFmtId="167" xfId="0" applyAlignment="1" applyBorder="1" applyFont="1" applyNumberFormat="1">
      <alignment vertical="bottom"/>
    </xf>
    <xf borderId="7" fillId="0" fontId="2" numFmtId="0" xfId="0" applyBorder="1" applyFont="1"/>
    <xf borderId="4" fillId="3" fontId="14" numFmtId="0" xfId="0" applyBorder="1" applyFont="1"/>
    <xf borderId="4" fillId="3" fontId="15" numFmtId="0" xfId="0" applyBorder="1" applyFont="1"/>
    <xf borderId="4" fillId="3" fontId="11" numFmtId="0" xfId="0" applyAlignment="1" applyBorder="1" applyFont="1">
      <alignment horizontal="center" vertical="bottom"/>
    </xf>
    <xf borderId="4" fillId="3" fontId="11" numFmtId="0" xfId="0" applyAlignment="1" applyBorder="1" applyFont="1">
      <alignment vertical="bottom"/>
    </xf>
    <xf borderId="4" fillId="0" fontId="11" numFmtId="164" xfId="0" applyAlignment="1" applyBorder="1" applyFont="1" applyNumberFormat="1">
      <alignment vertical="bottom"/>
    </xf>
    <xf borderId="4" fillId="0" fontId="14" numFmtId="0" xfId="0" applyBorder="1" applyFont="1"/>
    <xf borderId="4" fillId="3" fontId="1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9" max="9" width="28.3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6" t="s">
        <v>10</v>
      </c>
    </row>
    <row r="3">
      <c r="A3" s="7" t="s">
        <v>11</v>
      </c>
      <c r="B3" s="8" t="s">
        <v>12</v>
      </c>
      <c r="C3" s="9" t="s">
        <v>13</v>
      </c>
      <c r="D3" s="9" t="s">
        <v>14</v>
      </c>
      <c r="E3" s="8" t="s">
        <v>15</v>
      </c>
      <c r="F3" s="10"/>
      <c r="G3" s="11">
        <v>144.0</v>
      </c>
      <c r="H3" s="12">
        <f t="shared" ref="H3:H55" si="1">G3*62</f>
        <v>8928</v>
      </c>
      <c r="I3" s="13">
        <f t="shared" ref="I3:I55" si="2">H3*0.1+H3</f>
        <v>9820.8</v>
      </c>
    </row>
    <row r="4">
      <c r="A4" s="7" t="s">
        <v>11</v>
      </c>
      <c r="B4" s="8" t="s">
        <v>12</v>
      </c>
      <c r="C4" s="9" t="s">
        <v>13</v>
      </c>
      <c r="D4" s="9" t="s">
        <v>16</v>
      </c>
      <c r="E4" s="8" t="s">
        <v>17</v>
      </c>
      <c r="F4" s="10"/>
      <c r="G4" s="11">
        <v>228.0</v>
      </c>
      <c r="H4" s="12">
        <f t="shared" si="1"/>
        <v>14136</v>
      </c>
      <c r="I4" s="13">
        <f t="shared" si="2"/>
        <v>15549.6</v>
      </c>
    </row>
    <row r="5">
      <c r="A5" s="7" t="s">
        <v>11</v>
      </c>
      <c r="B5" s="8" t="s">
        <v>12</v>
      </c>
      <c r="C5" s="9" t="s">
        <v>13</v>
      </c>
      <c r="D5" s="9" t="s">
        <v>18</v>
      </c>
      <c r="E5" s="8" t="s">
        <v>19</v>
      </c>
      <c r="F5" s="10"/>
      <c r="G5" s="11">
        <v>216.0</v>
      </c>
      <c r="H5" s="12">
        <f t="shared" si="1"/>
        <v>13392</v>
      </c>
      <c r="I5" s="13">
        <f t="shared" si="2"/>
        <v>14731.2</v>
      </c>
    </row>
    <row r="6">
      <c r="A6" s="7" t="s">
        <v>11</v>
      </c>
      <c r="B6" s="8" t="s">
        <v>12</v>
      </c>
      <c r="C6" s="9" t="s">
        <v>13</v>
      </c>
      <c r="D6" s="9" t="s">
        <v>20</v>
      </c>
      <c r="E6" s="8" t="s">
        <v>21</v>
      </c>
      <c r="F6" s="10"/>
      <c r="G6" s="11">
        <v>297.0</v>
      </c>
      <c r="H6" s="12">
        <f t="shared" si="1"/>
        <v>18414</v>
      </c>
      <c r="I6" s="13">
        <f t="shared" si="2"/>
        <v>20255.4</v>
      </c>
    </row>
    <row r="7">
      <c r="A7" s="7" t="s">
        <v>11</v>
      </c>
      <c r="B7" s="8" t="s">
        <v>12</v>
      </c>
      <c r="C7" s="9" t="s">
        <v>22</v>
      </c>
      <c r="D7" s="9" t="s">
        <v>23</v>
      </c>
      <c r="E7" s="8" t="s">
        <v>24</v>
      </c>
      <c r="F7" s="10"/>
      <c r="G7" s="11">
        <v>81.0</v>
      </c>
      <c r="H7" s="12">
        <f t="shared" si="1"/>
        <v>5022</v>
      </c>
      <c r="I7" s="13">
        <f t="shared" si="2"/>
        <v>5524.2</v>
      </c>
    </row>
    <row r="8">
      <c r="A8" s="7" t="s">
        <v>11</v>
      </c>
      <c r="B8" s="8" t="s">
        <v>12</v>
      </c>
      <c r="C8" s="9" t="s">
        <v>22</v>
      </c>
      <c r="D8" s="9" t="s">
        <v>25</v>
      </c>
      <c r="E8" s="8" t="s">
        <v>26</v>
      </c>
      <c r="F8" s="10"/>
      <c r="G8" s="11">
        <v>165.0</v>
      </c>
      <c r="H8" s="12">
        <f t="shared" si="1"/>
        <v>10230</v>
      </c>
      <c r="I8" s="13">
        <f t="shared" si="2"/>
        <v>11253</v>
      </c>
    </row>
    <row r="9">
      <c r="A9" s="7" t="s">
        <v>11</v>
      </c>
      <c r="B9" s="8" t="s">
        <v>12</v>
      </c>
      <c r="C9" s="9" t="s">
        <v>22</v>
      </c>
      <c r="D9" s="8" t="s">
        <v>27</v>
      </c>
      <c r="E9" s="8" t="s">
        <v>28</v>
      </c>
      <c r="F9" s="10"/>
      <c r="G9" s="11">
        <v>114.0</v>
      </c>
      <c r="H9" s="12">
        <f t="shared" si="1"/>
        <v>7068</v>
      </c>
      <c r="I9" s="13">
        <f t="shared" si="2"/>
        <v>7774.8</v>
      </c>
    </row>
    <row r="10">
      <c r="A10" s="7" t="s">
        <v>11</v>
      </c>
      <c r="B10" s="8" t="s">
        <v>12</v>
      </c>
      <c r="C10" s="9" t="s">
        <v>22</v>
      </c>
      <c r="D10" s="8" t="s">
        <v>29</v>
      </c>
      <c r="E10" s="8" t="s">
        <v>30</v>
      </c>
      <c r="F10" s="10"/>
      <c r="G10" s="11">
        <v>165.6</v>
      </c>
      <c r="H10" s="12">
        <f t="shared" si="1"/>
        <v>10267.2</v>
      </c>
      <c r="I10" s="13">
        <f t="shared" si="2"/>
        <v>11293.92</v>
      </c>
    </row>
    <row r="11">
      <c r="A11" s="7" t="s">
        <v>11</v>
      </c>
      <c r="B11" s="8" t="s">
        <v>12</v>
      </c>
      <c r="C11" s="9" t="s">
        <v>22</v>
      </c>
      <c r="D11" s="9" t="s">
        <v>31</v>
      </c>
      <c r="E11" s="8" t="s">
        <v>32</v>
      </c>
      <c r="F11" s="10"/>
      <c r="G11" s="11">
        <v>195.0</v>
      </c>
      <c r="H11" s="12">
        <f t="shared" si="1"/>
        <v>12090</v>
      </c>
      <c r="I11" s="13">
        <f t="shared" si="2"/>
        <v>13299</v>
      </c>
    </row>
    <row r="12">
      <c r="A12" s="7" t="s">
        <v>11</v>
      </c>
      <c r="B12" s="8" t="s">
        <v>12</v>
      </c>
      <c r="C12" s="9" t="s">
        <v>22</v>
      </c>
      <c r="D12" s="8" t="s">
        <v>33</v>
      </c>
      <c r="E12" s="8" t="s">
        <v>34</v>
      </c>
      <c r="F12" s="10"/>
      <c r="G12" s="11">
        <v>60.0</v>
      </c>
      <c r="H12" s="12">
        <f t="shared" si="1"/>
        <v>3720</v>
      </c>
      <c r="I12" s="13">
        <f t="shared" si="2"/>
        <v>4092</v>
      </c>
    </row>
    <row r="13">
      <c r="A13" s="7" t="s">
        <v>11</v>
      </c>
      <c r="B13" s="8" t="s">
        <v>12</v>
      </c>
      <c r="C13" s="9" t="s">
        <v>22</v>
      </c>
      <c r="D13" s="8" t="s">
        <v>35</v>
      </c>
      <c r="E13" s="8" t="s">
        <v>36</v>
      </c>
      <c r="F13" s="10"/>
      <c r="G13" s="11">
        <v>84.0</v>
      </c>
      <c r="H13" s="12">
        <f t="shared" si="1"/>
        <v>5208</v>
      </c>
      <c r="I13" s="13">
        <f t="shared" si="2"/>
        <v>5728.8</v>
      </c>
    </row>
    <row r="14">
      <c r="A14" s="7" t="s">
        <v>11</v>
      </c>
      <c r="B14" s="8" t="s">
        <v>12</v>
      </c>
      <c r="C14" s="9" t="s">
        <v>22</v>
      </c>
      <c r="D14" s="8" t="s">
        <v>37</v>
      </c>
      <c r="E14" s="8" t="s">
        <v>38</v>
      </c>
      <c r="F14" s="10"/>
      <c r="G14" s="11">
        <v>15.0</v>
      </c>
      <c r="H14" s="12">
        <f t="shared" si="1"/>
        <v>930</v>
      </c>
      <c r="I14" s="13">
        <f t="shared" si="2"/>
        <v>1023</v>
      </c>
    </row>
    <row r="15">
      <c r="A15" s="7" t="s">
        <v>11</v>
      </c>
      <c r="B15" s="8" t="s">
        <v>12</v>
      </c>
      <c r="C15" s="9" t="s">
        <v>22</v>
      </c>
      <c r="D15" s="8" t="s">
        <v>39</v>
      </c>
      <c r="E15" s="8" t="s">
        <v>40</v>
      </c>
      <c r="F15" s="10"/>
      <c r="G15" s="11">
        <v>18.0</v>
      </c>
      <c r="H15" s="12">
        <f t="shared" si="1"/>
        <v>1116</v>
      </c>
      <c r="I15" s="13">
        <f t="shared" si="2"/>
        <v>1227.6</v>
      </c>
    </row>
    <row r="16">
      <c r="A16" s="7" t="s">
        <v>11</v>
      </c>
      <c r="B16" s="8" t="s">
        <v>12</v>
      </c>
      <c r="C16" s="9" t="s">
        <v>22</v>
      </c>
      <c r="D16" s="8" t="s">
        <v>41</v>
      </c>
      <c r="E16" s="8" t="s">
        <v>42</v>
      </c>
      <c r="F16" s="10"/>
      <c r="G16" s="11">
        <v>27.0</v>
      </c>
      <c r="H16" s="12">
        <f t="shared" si="1"/>
        <v>1674</v>
      </c>
      <c r="I16" s="13">
        <f t="shared" si="2"/>
        <v>1841.4</v>
      </c>
    </row>
    <row r="17">
      <c r="A17" s="7" t="s">
        <v>11</v>
      </c>
      <c r="B17" s="8" t="s">
        <v>12</v>
      </c>
      <c r="C17" s="9" t="s">
        <v>22</v>
      </c>
      <c r="D17" s="9" t="s">
        <v>43</v>
      </c>
      <c r="E17" s="8" t="s">
        <v>44</v>
      </c>
      <c r="F17" s="10"/>
      <c r="G17" s="11">
        <v>30.0</v>
      </c>
      <c r="H17" s="12">
        <f t="shared" si="1"/>
        <v>1860</v>
      </c>
      <c r="I17" s="13">
        <f t="shared" si="2"/>
        <v>2046</v>
      </c>
    </row>
    <row r="18">
      <c r="A18" s="7" t="s">
        <v>11</v>
      </c>
      <c r="B18" s="8" t="s">
        <v>12</v>
      </c>
      <c r="C18" s="9" t="s">
        <v>22</v>
      </c>
      <c r="D18" s="8" t="s">
        <v>45</v>
      </c>
      <c r="E18" s="8" t="s">
        <v>46</v>
      </c>
      <c r="F18" s="10"/>
      <c r="G18" s="11">
        <v>42.0</v>
      </c>
      <c r="H18" s="12">
        <f t="shared" si="1"/>
        <v>2604</v>
      </c>
      <c r="I18" s="13">
        <f t="shared" si="2"/>
        <v>2864.4</v>
      </c>
    </row>
    <row r="19">
      <c r="A19" s="7" t="s">
        <v>11</v>
      </c>
      <c r="B19" s="8" t="s">
        <v>12</v>
      </c>
      <c r="C19" s="9" t="s">
        <v>22</v>
      </c>
      <c r="D19" s="8" t="s">
        <v>47</v>
      </c>
      <c r="E19" s="8" t="s">
        <v>48</v>
      </c>
      <c r="F19" s="10"/>
      <c r="G19" s="11">
        <v>105.0</v>
      </c>
      <c r="H19" s="12">
        <f t="shared" si="1"/>
        <v>6510</v>
      </c>
      <c r="I19" s="13">
        <f t="shared" si="2"/>
        <v>7161</v>
      </c>
    </row>
    <row r="20">
      <c r="A20" s="7" t="s">
        <v>11</v>
      </c>
      <c r="B20" s="8" t="s">
        <v>12</v>
      </c>
      <c r="C20" s="9" t="s">
        <v>22</v>
      </c>
      <c r="D20" s="8" t="s">
        <v>49</v>
      </c>
      <c r="E20" s="8" t="s">
        <v>50</v>
      </c>
      <c r="F20" s="10"/>
      <c r="G20" s="11">
        <v>6.0</v>
      </c>
      <c r="H20" s="12">
        <f t="shared" si="1"/>
        <v>372</v>
      </c>
      <c r="I20" s="13">
        <f t="shared" si="2"/>
        <v>409.2</v>
      </c>
    </row>
    <row r="21">
      <c r="A21" s="7" t="s">
        <v>11</v>
      </c>
      <c r="B21" s="8" t="s">
        <v>12</v>
      </c>
      <c r="C21" s="9" t="s">
        <v>22</v>
      </c>
      <c r="D21" s="9" t="s">
        <v>51</v>
      </c>
      <c r="E21" s="8" t="s">
        <v>52</v>
      </c>
      <c r="F21" s="10"/>
      <c r="G21" s="11">
        <v>141.6</v>
      </c>
      <c r="H21" s="12">
        <f t="shared" si="1"/>
        <v>8779.2</v>
      </c>
      <c r="I21" s="13">
        <f t="shared" si="2"/>
        <v>9657.12</v>
      </c>
    </row>
    <row r="22">
      <c r="A22" s="7" t="s">
        <v>11</v>
      </c>
      <c r="B22" s="8" t="s">
        <v>12</v>
      </c>
      <c r="C22" s="9" t="s">
        <v>22</v>
      </c>
      <c r="D22" s="9" t="s">
        <v>53</v>
      </c>
      <c r="E22" s="8" t="s">
        <v>54</v>
      </c>
      <c r="F22" s="10"/>
      <c r="G22" s="11">
        <v>105.0</v>
      </c>
      <c r="H22" s="12">
        <f t="shared" si="1"/>
        <v>6510</v>
      </c>
      <c r="I22" s="13">
        <f t="shared" si="2"/>
        <v>7161</v>
      </c>
    </row>
    <row r="23">
      <c r="A23" s="7" t="s">
        <v>11</v>
      </c>
      <c r="B23" s="8" t="s">
        <v>12</v>
      </c>
      <c r="C23" s="9" t="s">
        <v>22</v>
      </c>
      <c r="D23" s="9" t="s">
        <v>55</v>
      </c>
      <c r="E23" s="8" t="s">
        <v>56</v>
      </c>
      <c r="F23" s="10"/>
      <c r="G23" s="11">
        <v>36.0</v>
      </c>
      <c r="H23" s="12">
        <f t="shared" si="1"/>
        <v>2232</v>
      </c>
      <c r="I23" s="13">
        <f t="shared" si="2"/>
        <v>2455.2</v>
      </c>
    </row>
    <row r="24">
      <c r="A24" s="7" t="s">
        <v>11</v>
      </c>
      <c r="B24" s="8" t="s">
        <v>12</v>
      </c>
      <c r="C24" s="9" t="s">
        <v>22</v>
      </c>
      <c r="D24" s="9" t="s">
        <v>57</v>
      </c>
      <c r="E24" s="8" t="s">
        <v>58</v>
      </c>
      <c r="F24" s="10"/>
      <c r="G24" s="11">
        <v>42.0</v>
      </c>
      <c r="H24" s="12">
        <f t="shared" si="1"/>
        <v>2604</v>
      </c>
      <c r="I24" s="13">
        <f t="shared" si="2"/>
        <v>2864.4</v>
      </c>
    </row>
    <row r="25">
      <c r="A25" s="7" t="s">
        <v>11</v>
      </c>
      <c r="B25" s="8" t="s">
        <v>12</v>
      </c>
      <c r="C25" s="9" t="s">
        <v>22</v>
      </c>
      <c r="D25" s="9" t="s">
        <v>59</v>
      </c>
      <c r="E25" s="8" t="s">
        <v>60</v>
      </c>
      <c r="F25" s="10"/>
      <c r="G25" s="11">
        <v>30.0</v>
      </c>
      <c r="H25" s="12">
        <f t="shared" si="1"/>
        <v>1860</v>
      </c>
      <c r="I25" s="13">
        <f t="shared" si="2"/>
        <v>2046</v>
      </c>
    </row>
    <row r="26">
      <c r="A26" s="7" t="s">
        <v>11</v>
      </c>
      <c r="B26" s="8" t="s">
        <v>12</v>
      </c>
      <c r="C26" s="9" t="s">
        <v>22</v>
      </c>
      <c r="D26" s="9" t="s">
        <v>61</v>
      </c>
      <c r="E26" s="8" t="s">
        <v>62</v>
      </c>
      <c r="F26" s="10"/>
      <c r="G26" s="11">
        <v>69.0</v>
      </c>
      <c r="H26" s="12">
        <f t="shared" si="1"/>
        <v>4278</v>
      </c>
      <c r="I26" s="13">
        <f t="shared" si="2"/>
        <v>4705.8</v>
      </c>
    </row>
    <row r="27">
      <c r="A27" s="7" t="s">
        <v>11</v>
      </c>
      <c r="B27" s="8" t="s">
        <v>12</v>
      </c>
      <c r="C27" s="9" t="s">
        <v>22</v>
      </c>
      <c r="D27" s="9" t="s">
        <v>63</v>
      </c>
      <c r="E27" s="8" t="s">
        <v>64</v>
      </c>
      <c r="F27" s="10"/>
      <c r="G27" s="11">
        <v>60.0</v>
      </c>
      <c r="H27" s="12">
        <f t="shared" si="1"/>
        <v>3720</v>
      </c>
      <c r="I27" s="13">
        <f t="shared" si="2"/>
        <v>4092</v>
      </c>
    </row>
    <row r="28">
      <c r="A28" s="7" t="s">
        <v>11</v>
      </c>
      <c r="B28" s="8" t="s">
        <v>12</v>
      </c>
      <c r="C28" s="9" t="s">
        <v>22</v>
      </c>
      <c r="D28" s="9" t="s">
        <v>65</v>
      </c>
      <c r="E28" s="8" t="s">
        <v>66</v>
      </c>
      <c r="F28" s="10"/>
      <c r="G28" s="11">
        <v>30.0</v>
      </c>
      <c r="H28" s="12">
        <f t="shared" si="1"/>
        <v>1860</v>
      </c>
      <c r="I28" s="13">
        <f t="shared" si="2"/>
        <v>2046</v>
      </c>
    </row>
    <row r="29">
      <c r="A29" s="7" t="s">
        <v>11</v>
      </c>
      <c r="B29" s="8" t="s">
        <v>12</v>
      </c>
      <c r="C29" s="9" t="s">
        <v>22</v>
      </c>
      <c r="D29" s="9" t="s">
        <v>67</v>
      </c>
      <c r="E29" s="8" t="s">
        <v>68</v>
      </c>
      <c r="F29" s="10"/>
      <c r="G29" s="11">
        <v>60.0</v>
      </c>
      <c r="H29" s="12">
        <f t="shared" si="1"/>
        <v>3720</v>
      </c>
      <c r="I29" s="13">
        <f t="shared" si="2"/>
        <v>4092</v>
      </c>
    </row>
    <row r="30">
      <c r="A30" s="7" t="s">
        <v>11</v>
      </c>
      <c r="B30" s="8" t="s">
        <v>12</v>
      </c>
      <c r="C30" s="9" t="s">
        <v>22</v>
      </c>
      <c r="D30" s="9" t="s">
        <v>69</v>
      </c>
      <c r="E30" s="8" t="s">
        <v>70</v>
      </c>
      <c r="F30" s="10"/>
      <c r="G30" s="11">
        <v>39.0</v>
      </c>
      <c r="H30" s="12">
        <f t="shared" si="1"/>
        <v>2418</v>
      </c>
      <c r="I30" s="13">
        <f t="shared" si="2"/>
        <v>2659.8</v>
      </c>
    </row>
    <row r="31">
      <c r="A31" s="7" t="s">
        <v>11</v>
      </c>
      <c r="B31" s="8" t="s">
        <v>12</v>
      </c>
      <c r="C31" s="9" t="s">
        <v>22</v>
      </c>
      <c r="D31" s="9" t="s">
        <v>71</v>
      </c>
      <c r="E31" s="8" t="s">
        <v>72</v>
      </c>
      <c r="F31" s="10"/>
      <c r="G31" s="11">
        <v>24.0</v>
      </c>
      <c r="H31" s="12">
        <f t="shared" si="1"/>
        <v>1488</v>
      </c>
      <c r="I31" s="13">
        <f t="shared" si="2"/>
        <v>1636.8</v>
      </c>
    </row>
    <row r="32">
      <c r="A32" s="7" t="s">
        <v>11</v>
      </c>
      <c r="B32" s="8" t="s">
        <v>12</v>
      </c>
      <c r="C32" s="9" t="s">
        <v>22</v>
      </c>
      <c r="D32" s="9" t="s">
        <v>73</v>
      </c>
      <c r="E32" s="8" t="s">
        <v>74</v>
      </c>
      <c r="F32" s="10"/>
      <c r="G32" s="11">
        <v>36.0</v>
      </c>
      <c r="H32" s="12">
        <f t="shared" si="1"/>
        <v>2232</v>
      </c>
      <c r="I32" s="13">
        <f t="shared" si="2"/>
        <v>2455.2</v>
      </c>
    </row>
    <row r="33">
      <c r="A33" s="7" t="s">
        <v>11</v>
      </c>
      <c r="B33" s="8" t="s">
        <v>12</v>
      </c>
      <c r="C33" s="9" t="s">
        <v>22</v>
      </c>
      <c r="D33" s="9" t="s">
        <v>75</v>
      </c>
      <c r="E33" s="8" t="s">
        <v>76</v>
      </c>
      <c r="F33" s="10"/>
      <c r="G33" s="11">
        <v>54.0</v>
      </c>
      <c r="H33" s="12">
        <f t="shared" si="1"/>
        <v>3348</v>
      </c>
      <c r="I33" s="13">
        <f t="shared" si="2"/>
        <v>3682.8</v>
      </c>
    </row>
    <row r="34">
      <c r="A34" s="7" t="s">
        <v>11</v>
      </c>
      <c r="B34" s="8" t="s">
        <v>12</v>
      </c>
      <c r="C34" s="9" t="s">
        <v>22</v>
      </c>
      <c r="D34" s="9" t="s">
        <v>77</v>
      </c>
      <c r="E34" s="8" t="s">
        <v>78</v>
      </c>
      <c r="F34" s="10"/>
      <c r="G34" s="11">
        <v>48.0</v>
      </c>
      <c r="H34" s="12">
        <f t="shared" si="1"/>
        <v>2976</v>
      </c>
      <c r="I34" s="13">
        <f t="shared" si="2"/>
        <v>3273.6</v>
      </c>
    </row>
    <row r="35">
      <c r="A35" s="7" t="s">
        <v>11</v>
      </c>
      <c r="B35" s="8" t="s">
        <v>12</v>
      </c>
      <c r="C35" s="9" t="s">
        <v>22</v>
      </c>
      <c r="D35" s="9" t="s">
        <v>79</v>
      </c>
      <c r="E35" s="8" t="s">
        <v>80</v>
      </c>
      <c r="F35" s="10"/>
      <c r="G35" s="11">
        <v>60.0</v>
      </c>
      <c r="H35" s="12">
        <f t="shared" si="1"/>
        <v>3720</v>
      </c>
      <c r="I35" s="13">
        <f t="shared" si="2"/>
        <v>4092</v>
      </c>
    </row>
    <row r="36">
      <c r="A36" s="7" t="s">
        <v>11</v>
      </c>
      <c r="B36" s="8" t="s">
        <v>12</v>
      </c>
      <c r="C36" s="9" t="s">
        <v>22</v>
      </c>
      <c r="D36" s="9" t="s">
        <v>81</v>
      </c>
      <c r="E36" s="8" t="s">
        <v>82</v>
      </c>
      <c r="F36" s="10"/>
      <c r="G36" s="11">
        <v>9.0</v>
      </c>
      <c r="H36" s="12">
        <f t="shared" si="1"/>
        <v>558</v>
      </c>
      <c r="I36" s="13">
        <f t="shared" si="2"/>
        <v>613.8</v>
      </c>
    </row>
    <row r="37">
      <c r="A37" s="7" t="s">
        <v>11</v>
      </c>
      <c r="B37" s="8" t="s">
        <v>12</v>
      </c>
      <c r="C37" s="9" t="s">
        <v>22</v>
      </c>
      <c r="D37" s="8" t="s">
        <v>83</v>
      </c>
      <c r="E37" s="8" t="s">
        <v>82</v>
      </c>
      <c r="F37" s="10"/>
      <c r="G37" s="11">
        <v>27.6</v>
      </c>
      <c r="H37" s="12">
        <f t="shared" si="1"/>
        <v>1711.2</v>
      </c>
      <c r="I37" s="13">
        <f t="shared" si="2"/>
        <v>1882.32</v>
      </c>
    </row>
    <row r="38">
      <c r="A38" s="7" t="s">
        <v>11</v>
      </c>
      <c r="B38" s="8" t="s">
        <v>12</v>
      </c>
      <c r="C38" s="9" t="s">
        <v>22</v>
      </c>
      <c r="D38" s="8" t="s">
        <v>84</v>
      </c>
      <c r="E38" s="8" t="s">
        <v>82</v>
      </c>
      <c r="F38" s="10"/>
      <c r="G38" s="11">
        <v>243.6</v>
      </c>
      <c r="H38" s="12">
        <f t="shared" si="1"/>
        <v>15103.2</v>
      </c>
      <c r="I38" s="13">
        <f t="shared" si="2"/>
        <v>16613.52</v>
      </c>
    </row>
    <row r="39">
      <c r="A39" s="7" t="s">
        <v>11</v>
      </c>
      <c r="B39" s="8" t="s">
        <v>12</v>
      </c>
      <c r="C39" s="9" t="s">
        <v>22</v>
      </c>
      <c r="D39" s="8" t="s">
        <v>85</v>
      </c>
      <c r="E39" s="8" t="s">
        <v>86</v>
      </c>
      <c r="F39" s="10"/>
      <c r="G39" s="11">
        <v>9.0</v>
      </c>
      <c r="H39" s="12">
        <f t="shared" si="1"/>
        <v>558</v>
      </c>
      <c r="I39" s="13">
        <f t="shared" si="2"/>
        <v>613.8</v>
      </c>
    </row>
    <row r="40">
      <c r="A40" s="7" t="s">
        <v>11</v>
      </c>
      <c r="B40" s="8" t="s">
        <v>12</v>
      </c>
      <c r="C40" s="9" t="s">
        <v>22</v>
      </c>
      <c r="D40" s="8" t="s">
        <v>87</v>
      </c>
      <c r="E40" s="8" t="s">
        <v>86</v>
      </c>
      <c r="F40" s="10"/>
      <c r="G40" s="11">
        <v>30.0</v>
      </c>
      <c r="H40" s="12">
        <f t="shared" si="1"/>
        <v>1860</v>
      </c>
      <c r="I40" s="13">
        <f t="shared" si="2"/>
        <v>2046</v>
      </c>
    </row>
    <row r="41">
      <c r="A41" s="7" t="s">
        <v>11</v>
      </c>
      <c r="B41" s="8" t="s">
        <v>12</v>
      </c>
      <c r="C41" s="9" t="s">
        <v>22</v>
      </c>
      <c r="D41" s="8" t="s">
        <v>88</v>
      </c>
      <c r="E41" s="8" t="s">
        <v>86</v>
      </c>
      <c r="F41" s="10"/>
      <c r="G41" s="11">
        <v>276.0</v>
      </c>
      <c r="H41" s="12">
        <f t="shared" si="1"/>
        <v>17112</v>
      </c>
      <c r="I41" s="13">
        <f t="shared" si="2"/>
        <v>18823.2</v>
      </c>
    </row>
    <row r="42">
      <c r="A42" s="7" t="s">
        <v>11</v>
      </c>
      <c r="B42" s="8" t="s">
        <v>12</v>
      </c>
      <c r="C42" s="9" t="s">
        <v>22</v>
      </c>
      <c r="D42" s="8" t="s">
        <v>89</v>
      </c>
      <c r="E42" s="8" t="s">
        <v>90</v>
      </c>
      <c r="F42" s="10"/>
      <c r="G42" s="11">
        <v>15.0</v>
      </c>
      <c r="H42" s="12">
        <f t="shared" si="1"/>
        <v>930</v>
      </c>
      <c r="I42" s="13">
        <f t="shared" si="2"/>
        <v>1023</v>
      </c>
    </row>
    <row r="43">
      <c r="A43" s="7" t="s">
        <v>11</v>
      </c>
      <c r="B43" s="8" t="s">
        <v>12</v>
      </c>
      <c r="C43" s="9" t="s">
        <v>22</v>
      </c>
      <c r="D43" s="9" t="s">
        <v>91</v>
      </c>
      <c r="E43" s="8" t="s">
        <v>92</v>
      </c>
      <c r="F43" s="10"/>
      <c r="G43" s="11">
        <v>15.0</v>
      </c>
      <c r="H43" s="12">
        <f t="shared" si="1"/>
        <v>930</v>
      </c>
      <c r="I43" s="13">
        <f t="shared" si="2"/>
        <v>1023</v>
      </c>
    </row>
    <row r="44">
      <c r="A44" s="7" t="s">
        <v>11</v>
      </c>
      <c r="B44" s="8" t="s">
        <v>12</v>
      </c>
      <c r="C44" s="9" t="s">
        <v>22</v>
      </c>
      <c r="D44" s="9" t="s">
        <v>93</v>
      </c>
      <c r="E44" s="8" t="s">
        <v>94</v>
      </c>
      <c r="F44" s="10"/>
      <c r="G44" s="11">
        <v>2.4</v>
      </c>
      <c r="H44" s="12">
        <f t="shared" si="1"/>
        <v>148.8</v>
      </c>
      <c r="I44" s="13">
        <f t="shared" si="2"/>
        <v>163.68</v>
      </c>
    </row>
    <row r="45">
      <c r="A45" s="7" t="s">
        <v>11</v>
      </c>
      <c r="B45" s="8" t="s">
        <v>12</v>
      </c>
      <c r="C45" s="9" t="s">
        <v>22</v>
      </c>
      <c r="D45" s="9" t="s">
        <v>95</v>
      </c>
      <c r="E45" s="8" t="s">
        <v>96</v>
      </c>
      <c r="F45" s="10"/>
      <c r="G45" s="11">
        <v>36.0</v>
      </c>
      <c r="H45" s="12">
        <f t="shared" si="1"/>
        <v>2232</v>
      </c>
      <c r="I45" s="13">
        <f t="shared" si="2"/>
        <v>2455.2</v>
      </c>
    </row>
    <row r="46">
      <c r="A46" s="7" t="s">
        <v>11</v>
      </c>
      <c r="B46" s="8" t="s">
        <v>12</v>
      </c>
      <c r="C46" s="9" t="s">
        <v>22</v>
      </c>
      <c r="D46" s="9" t="s">
        <v>97</v>
      </c>
      <c r="E46" s="8" t="s">
        <v>96</v>
      </c>
      <c r="F46" s="10"/>
      <c r="G46" s="11">
        <v>27.0</v>
      </c>
      <c r="H46" s="12">
        <f t="shared" si="1"/>
        <v>1674</v>
      </c>
      <c r="I46" s="13">
        <f t="shared" si="2"/>
        <v>1841.4</v>
      </c>
    </row>
    <row r="47">
      <c r="A47" s="7" t="s">
        <v>11</v>
      </c>
      <c r="B47" s="8" t="s">
        <v>12</v>
      </c>
      <c r="C47" s="9" t="s">
        <v>22</v>
      </c>
      <c r="D47" s="9" t="s">
        <v>98</v>
      </c>
      <c r="E47" s="8" t="s">
        <v>99</v>
      </c>
      <c r="F47" s="10"/>
      <c r="G47" s="11">
        <v>21.0</v>
      </c>
      <c r="H47" s="12">
        <f t="shared" si="1"/>
        <v>1302</v>
      </c>
      <c r="I47" s="13">
        <f t="shared" si="2"/>
        <v>1432.2</v>
      </c>
    </row>
    <row r="48">
      <c r="A48" s="7" t="s">
        <v>11</v>
      </c>
      <c r="B48" s="8" t="s">
        <v>12</v>
      </c>
      <c r="C48" s="9" t="s">
        <v>22</v>
      </c>
      <c r="D48" s="9" t="s">
        <v>98</v>
      </c>
      <c r="E48" s="8" t="s">
        <v>100</v>
      </c>
      <c r="F48" s="10"/>
      <c r="G48" s="11">
        <v>21.0</v>
      </c>
      <c r="H48" s="12">
        <f t="shared" si="1"/>
        <v>1302</v>
      </c>
      <c r="I48" s="13">
        <f t="shared" si="2"/>
        <v>1432.2</v>
      </c>
    </row>
    <row r="49">
      <c r="A49" s="7" t="s">
        <v>11</v>
      </c>
      <c r="B49" s="8" t="s">
        <v>12</v>
      </c>
      <c r="C49" s="9" t="s">
        <v>22</v>
      </c>
      <c r="D49" s="9" t="s">
        <v>101</v>
      </c>
      <c r="E49" s="8" t="s">
        <v>102</v>
      </c>
      <c r="F49" s="10"/>
      <c r="G49" s="11">
        <v>63.6</v>
      </c>
      <c r="H49" s="12">
        <f t="shared" si="1"/>
        <v>3943.2</v>
      </c>
      <c r="I49" s="13">
        <f t="shared" si="2"/>
        <v>4337.52</v>
      </c>
    </row>
    <row r="50">
      <c r="A50" s="7" t="s">
        <v>11</v>
      </c>
      <c r="B50" s="8" t="s">
        <v>12</v>
      </c>
      <c r="C50" s="9" t="s">
        <v>22</v>
      </c>
      <c r="D50" s="9" t="s">
        <v>103</v>
      </c>
      <c r="E50" s="8" t="s">
        <v>102</v>
      </c>
      <c r="F50" s="10"/>
      <c r="G50" s="11">
        <v>51.6</v>
      </c>
      <c r="H50" s="12">
        <f t="shared" si="1"/>
        <v>3199.2</v>
      </c>
      <c r="I50" s="13">
        <f t="shared" si="2"/>
        <v>3519.12</v>
      </c>
    </row>
    <row r="51">
      <c r="A51" s="7" t="s">
        <v>11</v>
      </c>
      <c r="B51" s="8" t="s">
        <v>12</v>
      </c>
      <c r="C51" s="9" t="s">
        <v>22</v>
      </c>
      <c r="D51" s="9" t="s">
        <v>104</v>
      </c>
      <c r="E51" s="8" t="s">
        <v>105</v>
      </c>
      <c r="F51" s="10"/>
      <c r="G51" s="11">
        <v>24.0</v>
      </c>
      <c r="H51" s="12">
        <f t="shared" si="1"/>
        <v>1488</v>
      </c>
      <c r="I51" s="13">
        <f t="shared" si="2"/>
        <v>1636.8</v>
      </c>
    </row>
    <row r="52">
      <c r="A52" s="7" t="s">
        <v>11</v>
      </c>
      <c r="B52" s="8" t="s">
        <v>12</v>
      </c>
      <c r="C52" s="9" t="s">
        <v>22</v>
      </c>
      <c r="D52" s="9" t="s">
        <v>106</v>
      </c>
      <c r="E52" s="8" t="s">
        <v>107</v>
      </c>
      <c r="F52" s="10"/>
      <c r="G52" s="11">
        <v>75.0</v>
      </c>
      <c r="H52" s="12">
        <f t="shared" si="1"/>
        <v>4650</v>
      </c>
      <c r="I52" s="13">
        <f t="shared" si="2"/>
        <v>5115</v>
      </c>
    </row>
    <row r="53">
      <c r="A53" s="7" t="s">
        <v>11</v>
      </c>
      <c r="B53" s="8" t="s">
        <v>12</v>
      </c>
      <c r="C53" s="9" t="s">
        <v>22</v>
      </c>
      <c r="D53" s="9" t="s">
        <v>108</v>
      </c>
      <c r="E53" s="8" t="s">
        <v>109</v>
      </c>
      <c r="F53" s="10"/>
      <c r="G53" s="11">
        <v>12.0</v>
      </c>
      <c r="H53" s="12">
        <f t="shared" si="1"/>
        <v>744</v>
      </c>
      <c r="I53" s="13">
        <f t="shared" si="2"/>
        <v>818.4</v>
      </c>
    </row>
    <row r="54">
      <c r="A54" s="7" t="s">
        <v>11</v>
      </c>
      <c r="B54" s="8" t="s">
        <v>12</v>
      </c>
      <c r="C54" s="9" t="s">
        <v>22</v>
      </c>
      <c r="D54" s="9" t="s">
        <v>110</v>
      </c>
      <c r="E54" s="8" t="s">
        <v>111</v>
      </c>
      <c r="F54" s="10"/>
      <c r="G54" s="11">
        <v>12.0</v>
      </c>
      <c r="H54" s="12">
        <f t="shared" si="1"/>
        <v>744</v>
      </c>
      <c r="I54" s="13">
        <f t="shared" si="2"/>
        <v>818.4</v>
      </c>
    </row>
    <row r="55">
      <c r="A55" s="7" t="s">
        <v>11</v>
      </c>
      <c r="B55" s="8" t="s">
        <v>12</v>
      </c>
      <c r="C55" s="9" t="s">
        <v>22</v>
      </c>
      <c r="D55" s="9" t="s">
        <v>112</v>
      </c>
      <c r="E55" s="8" t="s">
        <v>109</v>
      </c>
      <c r="F55" s="10"/>
      <c r="G55" s="11">
        <v>12.0</v>
      </c>
      <c r="H55" s="12">
        <f t="shared" si="1"/>
        <v>744</v>
      </c>
      <c r="I55" s="13">
        <f t="shared" si="2"/>
        <v>818.4</v>
      </c>
    </row>
  </sheetData>
  <autoFilter ref="$A$2:$I$55"/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39.0" customHeight="1">
      <c r="A1" s="14" t="s">
        <v>0</v>
      </c>
      <c r="B1" s="2"/>
      <c r="C1" s="2"/>
      <c r="D1" s="2"/>
      <c r="E1" s="2"/>
      <c r="F1" s="2"/>
      <c r="G1" s="3"/>
      <c r="H1" s="15" t="s">
        <v>113</v>
      </c>
      <c r="I1" s="3"/>
      <c r="J1" s="15" t="s">
        <v>114</v>
      </c>
      <c r="K1" s="3"/>
      <c r="L1" s="15" t="s">
        <v>115</v>
      </c>
      <c r="M1" s="3"/>
    </row>
    <row r="2">
      <c r="A2" s="16" t="s">
        <v>2</v>
      </c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7" t="s">
        <v>116</v>
      </c>
      <c r="I2" s="17" t="s">
        <v>117</v>
      </c>
      <c r="J2" s="18" t="s">
        <v>118</v>
      </c>
      <c r="K2" s="18" t="s">
        <v>119</v>
      </c>
      <c r="L2" s="19" t="s">
        <v>120</v>
      </c>
      <c r="M2" s="19" t="s">
        <v>121</v>
      </c>
    </row>
    <row r="3">
      <c r="A3" s="20" t="s">
        <v>122</v>
      </c>
      <c r="B3" s="21" t="s">
        <v>12</v>
      </c>
      <c r="C3" s="22" t="s">
        <v>123</v>
      </c>
      <c r="D3" s="22" t="s">
        <v>124</v>
      </c>
      <c r="E3" s="22" t="s">
        <v>125</v>
      </c>
      <c r="F3" s="23">
        <v>45.0</v>
      </c>
      <c r="G3" s="24">
        <f t="shared" ref="G3:G7" si="1">F3*60</f>
        <v>2700</v>
      </c>
      <c r="H3" s="17">
        <f t="shared" ref="H3:H7" si="2">G3*2</f>
        <v>5400</v>
      </c>
      <c r="I3" s="17">
        <f>G3*1.3</f>
        <v>3510</v>
      </c>
      <c r="J3" s="25">
        <f t="shared" ref="J3:J7" si="3">G3*1.3</f>
        <v>3510</v>
      </c>
      <c r="K3" s="25">
        <f t="shared" ref="K3:K7" si="4">G3*1.2</f>
        <v>3240</v>
      </c>
      <c r="L3" s="25">
        <f t="shared" ref="L3:L7" si="5">G3*1.15</f>
        <v>3105</v>
      </c>
      <c r="M3" s="25">
        <f t="shared" ref="M3:M7" si="6">G3*1.1</f>
        <v>2970</v>
      </c>
    </row>
    <row r="4">
      <c r="A4" s="20" t="s">
        <v>122</v>
      </c>
      <c r="B4" s="21" t="s">
        <v>12</v>
      </c>
      <c r="C4" s="22" t="s">
        <v>126</v>
      </c>
      <c r="D4" s="22" t="s">
        <v>127</v>
      </c>
      <c r="E4" s="22" t="s">
        <v>128</v>
      </c>
      <c r="F4" s="23">
        <v>54.0</v>
      </c>
      <c r="G4" s="24">
        <f t="shared" si="1"/>
        <v>3240</v>
      </c>
      <c r="H4" s="17">
        <f t="shared" si="2"/>
        <v>6480</v>
      </c>
      <c r="I4" s="17">
        <f t="shared" ref="I4:I7" si="7">G4*0.3</f>
        <v>972</v>
      </c>
      <c r="J4" s="25">
        <f t="shared" si="3"/>
        <v>4212</v>
      </c>
      <c r="K4" s="25">
        <f t="shared" si="4"/>
        <v>3888</v>
      </c>
      <c r="L4" s="25">
        <f t="shared" si="5"/>
        <v>3726</v>
      </c>
      <c r="M4" s="25">
        <f t="shared" si="6"/>
        <v>3564</v>
      </c>
    </row>
    <row r="5">
      <c r="A5" s="20" t="s">
        <v>122</v>
      </c>
      <c r="B5" s="21" t="s">
        <v>12</v>
      </c>
      <c r="C5" s="22" t="s">
        <v>129</v>
      </c>
      <c r="D5" s="22" t="s">
        <v>130</v>
      </c>
      <c r="E5" s="22" t="s">
        <v>131</v>
      </c>
      <c r="F5" s="23">
        <v>69.5</v>
      </c>
      <c r="G5" s="24">
        <f t="shared" si="1"/>
        <v>4170</v>
      </c>
      <c r="H5" s="17">
        <f t="shared" si="2"/>
        <v>8340</v>
      </c>
      <c r="I5" s="17">
        <f t="shared" si="7"/>
        <v>1251</v>
      </c>
      <c r="J5" s="25">
        <f t="shared" si="3"/>
        <v>5421</v>
      </c>
      <c r="K5" s="25">
        <f t="shared" si="4"/>
        <v>5004</v>
      </c>
      <c r="L5" s="25">
        <f t="shared" si="5"/>
        <v>4795.5</v>
      </c>
      <c r="M5" s="25">
        <f t="shared" si="6"/>
        <v>4587</v>
      </c>
    </row>
    <row r="6">
      <c r="A6" s="20" t="s">
        <v>122</v>
      </c>
      <c r="B6" s="21" t="s">
        <v>12</v>
      </c>
      <c r="C6" s="22" t="s">
        <v>132</v>
      </c>
      <c r="D6" s="22" t="s">
        <v>133</v>
      </c>
      <c r="E6" s="22" t="s">
        <v>134</v>
      </c>
      <c r="F6" s="23">
        <v>94.5</v>
      </c>
      <c r="G6" s="24">
        <f t="shared" si="1"/>
        <v>5670</v>
      </c>
      <c r="H6" s="17">
        <f t="shared" si="2"/>
        <v>11340</v>
      </c>
      <c r="I6" s="17">
        <f t="shared" si="7"/>
        <v>1701</v>
      </c>
      <c r="J6" s="25">
        <f t="shared" si="3"/>
        <v>7371</v>
      </c>
      <c r="K6" s="25">
        <f t="shared" si="4"/>
        <v>6804</v>
      </c>
      <c r="L6" s="25">
        <f t="shared" si="5"/>
        <v>6520.5</v>
      </c>
      <c r="M6" s="25">
        <f t="shared" si="6"/>
        <v>6237</v>
      </c>
    </row>
    <row r="7">
      <c r="A7" s="20" t="s">
        <v>122</v>
      </c>
      <c r="B7" s="21" t="s">
        <v>12</v>
      </c>
      <c r="C7" s="22" t="s">
        <v>135</v>
      </c>
      <c r="D7" s="22" t="s">
        <v>136</v>
      </c>
      <c r="E7" s="22" t="s">
        <v>137</v>
      </c>
      <c r="F7" s="23">
        <v>48.0</v>
      </c>
      <c r="G7" s="24">
        <f t="shared" si="1"/>
        <v>2880</v>
      </c>
      <c r="H7" s="17">
        <f t="shared" si="2"/>
        <v>5760</v>
      </c>
      <c r="I7" s="17">
        <f t="shared" si="7"/>
        <v>864</v>
      </c>
      <c r="J7" s="25">
        <f t="shared" si="3"/>
        <v>3744</v>
      </c>
      <c r="K7" s="25">
        <f t="shared" si="4"/>
        <v>3456</v>
      </c>
      <c r="L7" s="25">
        <f t="shared" si="5"/>
        <v>3312</v>
      </c>
      <c r="M7" s="25">
        <f t="shared" si="6"/>
        <v>3168</v>
      </c>
    </row>
    <row r="8">
      <c r="A8" s="20" t="s">
        <v>122</v>
      </c>
      <c r="B8" s="21" t="s">
        <v>12</v>
      </c>
      <c r="C8" s="22" t="s">
        <v>138</v>
      </c>
      <c r="D8" s="22" t="s">
        <v>139</v>
      </c>
      <c r="E8" s="22" t="s">
        <v>140</v>
      </c>
      <c r="F8" s="23" t="s">
        <v>141</v>
      </c>
      <c r="G8" s="23" t="s">
        <v>141</v>
      </c>
      <c r="H8" s="26">
        <v>0.0</v>
      </c>
      <c r="I8" s="26">
        <v>0.0</v>
      </c>
      <c r="J8" s="26">
        <v>0.0</v>
      </c>
      <c r="K8" s="26">
        <v>0.0</v>
      </c>
      <c r="L8" s="26">
        <v>0.0</v>
      </c>
      <c r="M8" s="26">
        <v>0.0</v>
      </c>
    </row>
    <row r="9">
      <c r="A9" s="20" t="s">
        <v>122</v>
      </c>
      <c r="B9" s="21" t="s">
        <v>12</v>
      </c>
      <c r="C9" s="22" t="s">
        <v>142</v>
      </c>
      <c r="D9" s="22" t="s">
        <v>143</v>
      </c>
      <c r="E9" s="22" t="s">
        <v>144</v>
      </c>
      <c r="F9" s="23">
        <v>3.5</v>
      </c>
      <c r="G9" s="24">
        <f t="shared" ref="G9:G37" si="8">F9*60</f>
        <v>210</v>
      </c>
      <c r="H9" s="17">
        <f t="shared" ref="H9:H37" si="9">G9*2</f>
        <v>420</v>
      </c>
      <c r="I9" s="17">
        <f t="shared" ref="I9:I37" si="10">G9*0.3</f>
        <v>63</v>
      </c>
      <c r="J9" s="25">
        <f t="shared" ref="J9:J37" si="11">G9*1.3</f>
        <v>273</v>
      </c>
      <c r="K9" s="25">
        <f t="shared" ref="K9:K37" si="12">G9*1.2</f>
        <v>252</v>
      </c>
      <c r="L9" s="25">
        <f t="shared" ref="L9:L37" si="13">G9*1.15</f>
        <v>241.5</v>
      </c>
      <c r="M9" s="25">
        <f t="shared" ref="M9:M37" si="14">G9*1.1</f>
        <v>231</v>
      </c>
    </row>
    <row r="10">
      <c r="A10" s="20" t="s">
        <v>122</v>
      </c>
      <c r="B10" s="21" t="s">
        <v>12</v>
      </c>
      <c r="C10" s="22" t="s">
        <v>145</v>
      </c>
      <c r="D10" s="22" t="s">
        <v>146</v>
      </c>
      <c r="E10" s="22" t="s">
        <v>147</v>
      </c>
      <c r="F10" s="23">
        <v>1.5</v>
      </c>
      <c r="G10" s="24">
        <f t="shared" si="8"/>
        <v>90</v>
      </c>
      <c r="H10" s="17">
        <f t="shared" si="9"/>
        <v>180</v>
      </c>
      <c r="I10" s="17">
        <f t="shared" si="10"/>
        <v>27</v>
      </c>
      <c r="J10" s="25">
        <f t="shared" si="11"/>
        <v>117</v>
      </c>
      <c r="K10" s="25">
        <f t="shared" si="12"/>
        <v>108</v>
      </c>
      <c r="L10" s="25">
        <f t="shared" si="13"/>
        <v>103.5</v>
      </c>
      <c r="M10" s="25">
        <f t="shared" si="14"/>
        <v>99</v>
      </c>
    </row>
    <row r="11">
      <c r="A11" s="20" t="s">
        <v>122</v>
      </c>
      <c r="B11" s="21" t="s">
        <v>12</v>
      </c>
      <c r="C11" s="22" t="s">
        <v>148</v>
      </c>
      <c r="D11" s="22" t="s">
        <v>149</v>
      </c>
      <c r="E11" s="22" t="s">
        <v>150</v>
      </c>
      <c r="F11" s="27">
        <v>39.5</v>
      </c>
      <c r="G11" s="24">
        <f t="shared" si="8"/>
        <v>2370</v>
      </c>
      <c r="H11" s="17">
        <f t="shared" si="9"/>
        <v>4740</v>
      </c>
      <c r="I11" s="17">
        <f t="shared" si="10"/>
        <v>711</v>
      </c>
      <c r="J11" s="25">
        <f t="shared" si="11"/>
        <v>3081</v>
      </c>
      <c r="K11" s="25">
        <f t="shared" si="12"/>
        <v>2844</v>
      </c>
      <c r="L11" s="25">
        <f t="shared" si="13"/>
        <v>2725.5</v>
      </c>
      <c r="M11" s="25">
        <f t="shared" si="14"/>
        <v>2607</v>
      </c>
    </row>
    <row r="12">
      <c r="A12" s="20" t="s">
        <v>122</v>
      </c>
      <c r="B12" s="21" t="s">
        <v>12</v>
      </c>
      <c r="C12" s="22" t="s">
        <v>148</v>
      </c>
      <c r="D12" s="22" t="s">
        <v>151</v>
      </c>
      <c r="E12" s="22" t="s">
        <v>152</v>
      </c>
      <c r="F12" s="27">
        <v>46.0</v>
      </c>
      <c r="G12" s="24">
        <f t="shared" si="8"/>
        <v>2760</v>
      </c>
      <c r="H12" s="17">
        <f t="shared" si="9"/>
        <v>5520</v>
      </c>
      <c r="I12" s="17">
        <f t="shared" si="10"/>
        <v>828</v>
      </c>
      <c r="J12" s="25">
        <f t="shared" si="11"/>
        <v>3588</v>
      </c>
      <c r="K12" s="25">
        <f t="shared" si="12"/>
        <v>3312</v>
      </c>
      <c r="L12" s="25">
        <f t="shared" si="13"/>
        <v>3174</v>
      </c>
      <c r="M12" s="25">
        <f t="shared" si="14"/>
        <v>3036</v>
      </c>
    </row>
    <row r="13">
      <c r="A13" s="20" t="s">
        <v>122</v>
      </c>
      <c r="B13" s="21" t="s">
        <v>12</v>
      </c>
      <c r="C13" s="22" t="s">
        <v>148</v>
      </c>
      <c r="D13" s="21" t="s">
        <v>153</v>
      </c>
      <c r="E13" s="21" t="s">
        <v>154</v>
      </c>
      <c r="F13" s="23">
        <v>46.0</v>
      </c>
      <c r="G13" s="24">
        <f t="shared" si="8"/>
        <v>2760</v>
      </c>
      <c r="H13" s="17">
        <f t="shared" si="9"/>
        <v>5520</v>
      </c>
      <c r="I13" s="17">
        <f t="shared" si="10"/>
        <v>828</v>
      </c>
      <c r="J13" s="25">
        <f t="shared" si="11"/>
        <v>3588</v>
      </c>
      <c r="K13" s="25">
        <f t="shared" si="12"/>
        <v>3312</v>
      </c>
      <c r="L13" s="25">
        <f t="shared" si="13"/>
        <v>3174</v>
      </c>
      <c r="M13" s="25">
        <f t="shared" si="14"/>
        <v>3036</v>
      </c>
    </row>
    <row r="14">
      <c r="A14" s="20" t="s">
        <v>122</v>
      </c>
      <c r="B14" s="21" t="s">
        <v>12</v>
      </c>
      <c r="C14" s="22" t="s">
        <v>148</v>
      </c>
      <c r="D14" s="21" t="s">
        <v>155</v>
      </c>
      <c r="E14" s="21" t="s">
        <v>156</v>
      </c>
      <c r="F14" s="23">
        <v>66.5</v>
      </c>
      <c r="G14" s="24">
        <f t="shared" si="8"/>
        <v>3990</v>
      </c>
      <c r="H14" s="17">
        <f t="shared" si="9"/>
        <v>7980</v>
      </c>
      <c r="I14" s="17">
        <f t="shared" si="10"/>
        <v>1197</v>
      </c>
      <c r="J14" s="25">
        <f t="shared" si="11"/>
        <v>5187</v>
      </c>
      <c r="K14" s="25">
        <f t="shared" si="12"/>
        <v>4788</v>
      </c>
      <c r="L14" s="25">
        <f t="shared" si="13"/>
        <v>4588.5</v>
      </c>
      <c r="M14" s="25">
        <f t="shared" si="14"/>
        <v>4389</v>
      </c>
    </row>
    <row r="15">
      <c r="A15" s="20" t="s">
        <v>122</v>
      </c>
      <c r="B15" s="21" t="s">
        <v>12</v>
      </c>
      <c r="C15" s="22" t="s">
        <v>148</v>
      </c>
      <c r="D15" s="21" t="s">
        <v>157</v>
      </c>
      <c r="E15" s="21" t="s">
        <v>158</v>
      </c>
      <c r="F15" s="23">
        <v>83.0</v>
      </c>
      <c r="G15" s="24">
        <f t="shared" si="8"/>
        <v>4980</v>
      </c>
      <c r="H15" s="17">
        <f t="shared" si="9"/>
        <v>9960</v>
      </c>
      <c r="I15" s="17">
        <f t="shared" si="10"/>
        <v>1494</v>
      </c>
      <c r="J15" s="25">
        <f t="shared" si="11"/>
        <v>6474</v>
      </c>
      <c r="K15" s="25">
        <f t="shared" si="12"/>
        <v>5976</v>
      </c>
      <c r="L15" s="25">
        <f t="shared" si="13"/>
        <v>5727</v>
      </c>
      <c r="M15" s="25">
        <f t="shared" si="14"/>
        <v>5478</v>
      </c>
    </row>
    <row r="16">
      <c r="A16" s="20" t="s">
        <v>122</v>
      </c>
      <c r="B16" s="21" t="s">
        <v>12</v>
      </c>
      <c r="C16" s="22" t="s">
        <v>148</v>
      </c>
      <c r="D16" s="21" t="s">
        <v>159</v>
      </c>
      <c r="E16" s="21" t="s">
        <v>160</v>
      </c>
      <c r="F16" s="23">
        <v>87.0</v>
      </c>
      <c r="G16" s="24">
        <f t="shared" si="8"/>
        <v>5220</v>
      </c>
      <c r="H16" s="17">
        <f t="shared" si="9"/>
        <v>10440</v>
      </c>
      <c r="I16" s="17">
        <f t="shared" si="10"/>
        <v>1566</v>
      </c>
      <c r="J16" s="25">
        <f t="shared" si="11"/>
        <v>6786</v>
      </c>
      <c r="K16" s="25">
        <f t="shared" si="12"/>
        <v>6264</v>
      </c>
      <c r="L16" s="25">
        <f t="shared" si="13"/>
        <v>6003</v>
      </c>
      <c r="M16" s="25">
        <f t="shared" si="14"/>
        <v>5742</v>
      </c>
    </row>
    <row r="17">
      <c r="A17" s="20" t="s">
        <v>122</v>
      </c>
      <c r="B17" s="21" t="s">
        <v>12</v>
      </c>
      <c r="C17" s="22" t="s">
        <v>148</v>
      </c>
      <c r="D17" s="21" t="s">
        <v>161</v>
      </c>
      <c r="E17" s="21" t="s">
        <v>162</v>
      </c>
      <c r="F17" s="23">
        <v>120.5</v>
      </c>
      <c r="G17" s="24">
        <f t="shared" si="8"/>
        <v>7230</v>
      </c>
      <c r="H17" s="17">
        <f t="shared" si="9"/>
        <v>14460</v>
      </c>
      <c r="I17" s="17">
        <f t="shared" si="10"/>
        <v>2169</v>
      </c>
      <c r="J17" s="25">
        <f t="shared" si="11"/>
        <v>9399</v>
      </c>
      <c r="K17" s="25">
        <f t="shared" si="12"/>
        <v>8676</v>
      </c>
      <c r="L17" s="25">
        <f t="shared" si="13"/>
        <v>8314.5</v>
      </c>
      <c r="M17" s="25">
        <f t="shared" si="14"/>
        <v>7953</v>
      </c>
    </row>
    <row r="18">
      <c r="A18" s="20" t="s">
        <v>122</v>
      </c>
      <c r="B18" s="21" t="s">
        <v>12</v>
      </c>
      <c r="C18" s="22" t="s">
        <v>148</v>
      </c>
      <c r="D18" s="21" t="s">
        <v>163</v>
      </c>
      <c r="E18" s="21" t="s">
        <v>164</v>
      </c>
      <c r="F18" s="23">
        <v>110.5</v>
      </c>
      <c r="G18" s="24">
        <f t="shared" si="8"/>
        <v>6630</v>
      </c>
      <c r="H18" s="17">
        <f t="shared" si="9"/>
        <v>13260</v>
      </c>
      <c r="I18" s="17">
        <f t="shared" si="10"/>
        <v>1989</v>
      </c>
      <c r="J18" s="25">
        <f t="shared" si="11"/>
        <v>8619</v>
      </c>
      <c r="K18" s="25">
        <f t="shared" si="12"/>
        <v>7956</v>
      </c>
      <c r="L18" s="25">
        <f t="shared" si="13"/>
        <v>7624.5</v>
      </c>
      <c r="M18" s="25">
        <f t="shared" si="14"/>
        <v>7293</v>
      </c>
    </row>
    <row r="19">
      <c r="A19" s="20" t="s">
        <v>122</v>
      </c>
      <c r="B19" s="21" t="s">
        <v>12</v>
      </c>
      <c r="C19" s="22" t="s">
        <v>148</v>
      </c>
      <c r="D19" s="21" t="s">
        <v>165</v>
      </c>
      <c r="E19" s="21" t="s">
        <v>166</v>
      </c>
      <c r="F19" s="23">
        <v>161.0</v>
      </c>
      <c r="G19" s="24">
        <f t="shared" si="8"/>
        <v>9660</v>
      </c>
      <c r="H19" s="17">
        <f t="shared" si="9"/>
        <v>19320</v>
      </c>
      <c r="I19" s="17">
        <f t="shared" si="10"/>
        <v>2898</v>
      </c>
      <c r="J19" s="25">
        <f t="shared" si="11"/>
        <v>12558</v>
      </c>
      <c r="K19" s="25">
        <f t="shared" si="12"/>
        <v>11592</v>
      </c>
      <c r="L19" s="25">
        <f t="shared" si="13"/>
        <v>11109</v>
      </c>
      <c r="M19" s="25">
        <f t="shared" si="14"/>
        <v>10626</v>
      </c>
    </row>
    <row r="20">
      <c r="A20" s="20" t="s">
        <v>122</v>
      </c>
      <c r="B20" s="21" t="s">
        <v>12</v>
      </c>
      <c r="C20" s="22" t="s">
        <v>148</v>
      </c>
      <c r="D20" s="21" t="s">
        <v>167</v>
      </c>
      <c r="E20" s="21" t="s">
        <v>168</v>
      </c>
      <c r="F20" s="23">
        <v>177.0</v>
      </c>
      <c r="G20" s="24">
        <f t="shared" si="8"/>
        <v>10620</v>
      </c>
      <c r="H20" s="17">
        <f t="shared" si="9"/>
        <v>21240</v>
      </c>
      <c r="I20" s="17">
        <f t="shared" si="10"/>
        <v>3186</v>
      </c>
      <c r="J20" s="25">
        <f t="shared" si="11"/>
        <v>13806</v>
      </c>
      <c r="K20" s="25">
        <f t="shared" si="12"/>
        <v>12744</v>
      </c>
      <c r="L20" s="25">
        <f t="shared" si="13"/>
        <v>12213</v>
      </c>
      <c r="M20" s="25">
        <f t="shared" si="14"/>
        <v>11682</v>
      </c>
    </row>
    <row r="21">
      <c r="A21" s="20" t="s">
        <v>122</v>
      </c>
      <c r="B21" s="21" t="s">
        <v>12</v>
      </c>
      <c r="C21" s="22" t="s">
        <v>148</v>
      </c>
      <c r="D21" s="21" t="s">
        <v>169</v>
      </c>
      <c r="E21" s="21" t="s">
        <v>170</v>
      </c>
      <c r="F21" s="23">
        <v>19.0</v>
      </c>
      <c r="G21" s="24">
        <f t="shared" si="8"/>
        <v>1140</v>
      </c>
      <c r="H21" s="17">
        <f t="shared" si="9"/>
        <v>2280</v>
      </c>
      <c r="I21" s="17">
        <f t="shared" si="10"/>
        <v>342</v>
      </c>
      <c r="J21" s="25">
        <f t="shared" si="11"/>
        <v>1482</v>
      </c>
      <c r="K21" s="25">
        <f t="shared" si="12"/>
        <v>1368</v>
      </c>
      <c r="L21" s="25">
        <f t="shared" si="13"/>
        <v>1311</v>
      </c>
      <c r="M21" s="25">
        <f t="shared" si="14"/>
        <v>1254</v>
      </c>
    </row>
    <row r="22">
      <c r="A22" s="20" t="s">
        <v>122</v>
      </c>
      <c r="B22" s="21" t="s">
        <v>12</v>
      </c>
      <c r="C22" s="22" t="s">
        <v>148</v>
      </c>
      <c r="D22" s="21" t="s">
        <v>171</v>
      </c>
      <c r="E22" s="21" t="s">
        <v>172</v>
      </c>
      <c r="F22" s="23">
        <v>19.0</v>
      </c>
      <c r="G22" s="24">
        <f t="shared" si="8"/>
        <v>1140</v>
      </c>
      <c r="H22" s="17">
        <f t="shared" si="9"/>
        <v>2280</v>
      </c>
      <c r="I22" s="17">
        <f t="shared" si="10"/>
        <v>342</v>
      </c>
      <c r="J22" s="25">
        <f t="shared" si="11"/>
        <v>1482</v>
      </c>
      <c r="K22" s="25">
        <f t="shared" si="12"/>
        <v>1368</v>
      </c>
      <c r="L22" s="25">
        <f t="shared" si="13"/>
        <v>1311</v>
      </c>
      <c r="M22" s="25">
        <f t="shared" si="14"/>
        <v>1254</v>
      </c>
    </row>
    <row r="23">
      <c r="A23" s="20" t="s">
        <v>122</v>
      </c>
      <c r="B23" s="21" t="s">
        <v>12</v>
      </c>
      <c r="C23" s="22" t="s">
        <v>173</v>
      </c>
      <c r="D23" s="22" t="s">
        <v>174</v>
      </c>
      <c r="E23" s="22" t="s">
        <v>175</v>
      </c>
      <c r="F23" s="23">
        <v>72.0</v>
      </c>
      <c r="G23" s="24">
        <f t="shared" si="8"/>
        <v>4320</v>
      </c>
      <c r="H23" s="17">
        <f t="shared" si="9"/>
        <v>8640</v>
      </c>
      <c r="I23" s="17">
        <f t="shared" si="10"/>
        <v>1296</v>
      </c>
      <c r="J23" s="25">
        <f t="shared" si="11"/>
        <v>5616</v>
      </c>
      <c r="K23" s="25">
        <f t="shared" si="12"/>
        <v>5184</v>
      </c>
      <c r="L23" s="25">
        <f t="shared" si="13"/>
        <v>4968</v>
      </c>
      <c r="M23" s="25">
        <f t="shared" si="14"/>
        <v>4752</v>
      </c>
    </row>
    <row r="24">
      <c r="A24" s="20" t="s">
        <v>122</v>
      </c>
      <c r="B24" s="21" t="s">
        <v>12</v>
      </c>
      <c r="C24" s="22" t="s">
        <v>173</v>
      </c>
      <c r="D24" s="22" t="s">
        <v>176</v>
      </c>
      <c r="E24" s="22" t="s">
        <v>175</v>
      </c>
      <c r="F24" s="23">
        <v>32.5</v>
      </c>
      <c r="G24" s="24">
        <f t="shared" si="8"/>
        <v>1950</v>
      </c>
      <c r="H24" s="17">
        <f t="shared" si="9"/>
        <v>3900</v>
      </c>
      <c r="I24" s="17">
        <f t="shared" si="10"/>
        <v>585</v>
      </c>
      <c r="J24" s="25">
        <f t="shared" si="11"/>
        <v>2535</v>
      </c>
      <c r="K24" s="25">
        <f t="shared" si="12"/>
        <v>2340</v>
      </c>
      <c r="L24" s="25">
        <f t="shared" si="13"/>
        <v>2242.5</v>
      </c>
      <c r="M24" s="25">
        <f t="shared" si="14"/>
        <v>2145</v>
      </c>
    </row>
    <row r="25">
      <c r="A25" s="20" t="s">
        <v>122</v>
      </c>
      <c r="B25" s="21" t="s">
        <v>12</v>
      </c>
      <c r="C25" s="22" t="s">
        <v>173</v>
      </c>
      <c r="D25" s="22" t="s">
        <v>177</v>
      </c>
      <c r="E25" s="22" t="s">
        <v>178</v>
      </c>
      <c r="F25" s="23">
        <v>54.0</v>
      </c>
      <c r="G25" s="24">
        <f t="shared" si="8"/>
        <v>3240</v>
      </c>
      <c r="H25" s="17">
        <f t="shared" si="9"/>
        <v>6480</v>
      </c>
      <c r="I25" s="17">
        <f t="shared" si="10"/>
        <v>972</v>
      </c>
      <c r="J25" s="25">
        <f t="shared" si="11"/>
        <v>4212</v>
      </c>
      <c r="K25" s="25">
        <f t="shared" si="12"/>
        <v>3888</v>
      </c>
      <c r="L25" s="25">
        <f t="shared" si="13"/>
        <v>3726</v>
      </c>
      <c r="M25" s="25">
        <f t="shared" si="14"/>
        <v>3564</v>
      </c>
    </row>
    <row r="26">
      <c r="A26" s="20" t="s">
        <v>122</v>
      </c>
      <c r="B26" s="21" t="s">
        <v>12</v>
      </c>
      <c r="C26" s="22" t="s">
        <v>173</v>
      </c>
      <c r="D26" s="22" t="s">
        <v>179</v>
      </c>
      <c r="E26" s="22" t="s">
        <v>180</v>
      </c>
      <c r="F26" s="23">
        <v>91.0</v>
      </c>
      <c r="G26" s="24">
        <f t="shared" si="8"/>
        <v>5460</v>
      </c>
      <c r="H26" s="17">
        <f t="shared" si="9"/>
        <v>10920</v>
      </c>
      <c r="I26" s="17">
        <f t="shared" si="10"/>
        <v>1638</v>
      </c>
      <c r="J26" s="25">
        <f t="shared" si="11"/>
        <v>7098</v>
      </c>
      <c r="K26" s="25">
        <f t="shared" si="12"/>
        <v>6552</v>
      </c>
      <c r="L26" s="25">
        <f t="shared" si="13"/>
        <v>6279</v>
      </c>
      <c r="M26" s="25">
        <f t="shared" si="14"/>
        <v>6006</v>
      </c>
    </row>
    <row r="27">
      <c r="A27" s="20" t="s">
        <v>122</v>
      </c>
      <c r="B27" s="21" t="s">
        <v>12</v>
      </c>
      <c r="C27" s="22" t="s">
        <v>173</v>
      </c>
      <c r="D27" s="22" t="s">
        <v>181</v>
      </c>
      <c r="E27" s="22" t="s">
        <v>182</v>
      </c>
      <c r="F27" s="23">
        <v>151.5</v>
      </c>
      <c r="G27" s="24">
        <f t="shared" si="8"/>
        <v>9090</v>
      </c>
      <c r="H27" s="17">
        <f t="shared" si="9"/>
        <v>18180</v>
      </c>
      <c r="I27" s="17">
        <f t="shared" si="10"/>
        <v>2727</v>
      </c>
      <c r="J27" s="25">
        <f t="shared" si="11"/>
        <v>11817</v>
      </c>
      <c r="K27" s="25">
        <f t="shared" si="12"/>
        <v>10908</v>
      </c>
      <c r="L27" s="25">
        <f t="shared" si="13"/>
        <v>10453.5</v>
      </c>
      <c r="M27" s="25">
        <f t="shared" si="14"/>
        <v>9999</v>
      </c>
    </row>
    <row r="28">
      <c r="A28" s="20" t="s">
        <v>122</v>
      </c>
      <c r="B28" s="21" t="s">
        <v>12</v>
      </c>
      <c r="C28" s="22" t="s">
        <v>173</v>
      </c>
      <c r="D28" s="22" t="s">
        <v>183</v>
      </c>
      <c r="E28" s="22" t="s">
        <v>184</v>
      </c>
      <c r="F28" s="23">
        <v>105.0</v>
      </c>
      <c r="G28" s="24">
        <f t="shared" si="8"/>
        <v>6300</v>
      </c>
      <c r="H28" s="17">
        <f t="shared" si="9"/>
        <v>12600</v>
      </c>
      <c r="I28" s="17">
        <f t="shared" si="10"/>
        <v>1890</v>
      </c>
      <c r="J28" s="25">
        <f t="shared" si="11"/>
        <v>8190</v>
      </c>
      <c r="K28" s="25">
        <f t="shared" si="12"/>
        <v>7560</v>
      </c>
      <c r="L28" s="25">
        <f t="shared" si="13"/>
        <v>7245</v>
      </c>
      <c r="M28" s="25">
        <f t="shared" si="14"/>
        <v>6930</v>
      </c>
    </row>
    <row r="29">
      <c r="A29" s="20" t="s">
        <v>122</v>
      </c>
      <c r="B29" s="21" t="s">
        <v>12</v>
      </c>
      <c r="C29" s="22" t="s">
        <v>173</v>
      </c>
      <c r="D29" s="21" t="s">
        <v>185</v>
      </c>
      <c r="E29" s="21" t="s">
        <v>186</v>
      </c>
      <c r="F29" s="23">
        <v>208.0</v>
      </c>
      <c r="G29" s="24">
        <f t="shared" si="8"/>
        <v>12480</v>
      </c>
      <c r="H29" s="17">
        <f t="shared" si="9"/>
        <v>24960</v>
      </c>
      <c r="I29" s="17">
        <f t="shared" si="10"/>
        <v>3744</v>
      </c>
      <c r="J29" s="25">
        <f t="shared" si="11"/>
        <v>16224</v>
      </c>
      <c r="K29" s="25">
        <f t="shared" si="12"/>
        <v>14976</v>
      </c>
      <c r="L29" s="25">
        <f t="shared" si="13"/>
        <v>14352</v>
      </c>
      <c r="M29" s="25">
        <f t="shared" si="14"/>
        <v>13728</v>
      </c>
    </row>
    <row r="30">
      <c r="A30" s="20" t="s">
        <v>122</v>
      </c>
      <c r="B30" s="21" t="s">
        <v>12</v>
      </c>
      <c r="C30" s="22" t="s">
        <v>173</v>
      </c>
      <c r="D30" s="21" t="s">
        <v>187</v>
      </c>
      <c r="E30" s="21" t="s">
        <v>188</v>
      </c>
      <c r="F30" s="23">
        <v>35.0</v>
      </c>
      <c r="G30" s="24">
        <f t="shared" si="8"/>
        <v>2100</v>
      </c>
      <c r="H30" s="17">
        <f t="shared" si="9"/>
        <v>4200</v>
      </c>
      <c r="I30" s="17">
        <f t="shared" si="10"/>
        <v>630</v>
      </c>
      <c r="J30" s="25">
        <f t="shared" si="11"/>
        <v>2730</v>
      </c>
      <c r="K30" s="25">
        <f t="shared" si="12"/>
        <v>2520</v>
      </c>
      <c r="L30" s="25">
        <f t="shared" si="13"/>
        <v>2415</v>
      </c>
      <c r="M30" s="25">
        <f t="shared" si="14"/>
        <v>2310</v>
      </c>
    </row>
    <row r="31">
      <c r="A31" s="20" t="s">
        <v>122</v>
      </c>
      <c r="B31" s="21" t="s">
        <v>12</v>
      </c>
      <c r="C31" s="22" t="s">
        <v>189</v>
      </c>
      <c r="D31" s="22" t="s">
        <v>190</v>
      </c>
      <c r="E31" s="22" t="s">
        <v>191</v>
      </c>
      <c r="F31" s="23">
        <v>42.0</v>
      </c>
      <c r="G31" s="24">
        <f t="shared" si="8"/>
        <v>2520</v>
      </c>
      <c r="H31" s="17">
        <f t="shared" si="9"/>
        <v>5040</v>
      </c>
      <c r="I31" s="17">
        <f t="shared" si="10"/>
        <v>756</v>
      </c>
      <c r="J31" s="25">
        <f t="shared" si="11"/>
        <v>3276</v>
      </c>
      <c r="K31" s="25">
        <f t="shared" si="12"/>
        <v>3024</v>
      </c>
      <c r="L31" s="25">
        <f t="shared" si="13"/>
        <v>2898</v>
      </c>
      <c r="M31" s="25">
        <f t="shared" si="14"/>
        <v>2772</v>
      </c>
    </row>
    <row r="32">
      <c r="A32" s="20" t="s">
        <v>122</v>
      </c>
      <c r="B32" s="21" t="s">
        <v>12</v>
      </c>
      <c r="C32" s="22" t="s">
        <v>189</v>
      </c>
      <c r="D32" s="21" t="s">
        <v>192</v>
      </c>
      <c r="E32" s="21" t="s">
        <v>193</v>
      </c>
      <c r="F32" s="23">
        <v>79.0</v>
      </c>
      <c r="G32" s="24">
        <f t="shared" si="8"/>
        <v>4740</v>
      </c>
      <c r="H32" s="17">
        <f t="shared" si="9"/>
        <v>9480</v>
      </c>
      <c r="I32" s="17">
        <f t="shared" si="10"/>
        <v>1422</v>
      </c>
      <c r="J32" s="25">
        <f t="shared" si="11"/>
        <v>6162</v>
      </c>
      <c r="K32" s="25">
        <f t="shared" si="12"/>
        <v>5688</v>
      </c>
      <c r="L32" s="25">
        <f t="shared" si="13"/>
        <v>5451</v>
      </c>
      <c r="M32" s="25">
        <f t="shared" si="14"/>
        <v>5214</v>
      </c>
    </row>
    <row r="33">
      <c r="A33" s="20" t="s">
        <v>122</v>
      </c>
      <c r="B33" s="21" t="s">
        <v>12</v>
      </c>
      <c r="C33" s="22" t="s">
        <v>189</v>
      </c>
      <c r="D33" s="21" t="s">
        <v>194</v>
      </c>
      <c r="E33" s="21" t="s">
        <v>195</v>
      </c>
      <c r="F33" s="23">
        <v>63.5</v>
      </c>
      <c r="G33" s="24">
        <f t="shared" si="8"/>
        <v>3810</v>
      </c>
      <c r="H33" s="17">
        <f t="shared" si="9"/>
        <v>7620</v>
      </c>
      <c r="I33" s="17">
        <f t="shared" si="10"/>
        <v>1143</v>
      </c>
      <c r="J33" s="25">
        <f t="shared" si="11"/>
        <v>4953</v>
      </c>
      <c r="K33" s="25">
        <f t="shared" si="12"/>
        <v>4572</v>
      </c>
      <c r="L33" s="25">
        <f t="shared" si="13"/>
        <v>4381.5</v>
      </c>
      <c r="M33" s="25">
        <f t="shared" si="14"/>
        <v>4191</v>
      </c>
    </row>
    <row r="34">
      <c r="A34" s="20" t="s">
        <v>122</v>
      </c>
      <c r="B34" s="21" t="s">
        <v>12</v>
      </c>
      <c r="C34" s="22" t="s">
        <v>189</v>
      </c>
      <c r="D34" s="21" t="s">
        <v>196</v>
      </c>
      <c r="E34" s="21" t="s">
        <v>197</v>
      </c>
      <c r="F34" s="23">
        <v>88.0</v>
      </c>
      <c r="G34" s="24">
        <f t="shared" si="8"/>
        <v>5280</v>
      </c>
      <c r="H34" s="17">
        <f t="shared" si="9"/>
        <v>10560</v>
      </c>
      <c r="I34" s="17">
        <f t="shared" si="10"/>
        <v>1584</v>
      </c>
      <c r="J34" s="25">
        <f t="shared" si="11"/>
        <v>6864</v>
      </c>
      <c r="K34" s="25">
        <f t="shared" si="12"/>
        <v>6336</v>
      </c>
      <c r="L34" s="25">
        <f t="shared" si="13"/>
        <v>6072</v>
      </c>
      <c r="M34" s="25">
        <f t="shared" si="14"/>
        <v>5808</v>
      </c>
    </row>
    <row r="35">
      <c r="A35" s="20" t="s">
        <v>122</v>
      </c>
      <c r="B35" s="21" t="s">
        <v>12</v>
      </c>
      <c r="C35" s="22" t="s">
        <v>189</v>
      </c>
      <c r="D35" s="21" t="s">
        <v>198</v>
      </c>
      <c r="E35" s="21" t="s">
        <v>199</v>
      </c>
      <c r="F35" s="23">
        <v>78.0</v>
      </c>
      <c r="G35" s="24">
        <f t="shared" si="8"/>
        <v>4680</v>
      </c>
      <c r="H35" s="17">
        <f t="shared" si="9"/>
        <v>9360</v>
      </c>
      <c r="I35" s="17">
        <f t="shared" si="10"/>
        <v>1404</v>
      </c>
      <c r="J35" s="25">
        <f t="shared" si="11"/>
        <v>6084</v>
      </c>
      <c r="K35" s="25">
        <f t="shared" si="12"/>
        <v>5616</v>
      </c>
      <c r="L35" s="25">
        <f t="shared" si="13"/>
        <v>5382</v>
      </c>
      <c r="M35" s="25">
        <f t="shared" si="14"/>
        <v>5148</v>
      </c>
    </row>
    <row r="36">
      <c r="A36" s="20" t="s">
        <v>122</v>
      </c>
      <c r="B36" s="21" t="s">
        <v>12</v>
      </c>
      <c r="C36" s="22" t="s">
        <v>189</v>
      </c>
      <c r="D36" s="21" t="s">
        <v>200</v>
      </c>
      <c r="E36" s="21" t="s">
        <v>201</v>
      </c>
      <c r="F36" s="23">
        <v>77.0</v>
      </c>
      <c r="G36" s="24">
        <f t="shared" si="8"/>
        <v>4620</v>
      </c>
      <c r="H36" s="17">
        <f t="shared" si="9"/>
        <v>9240</v>
      </c>
      <c r="I36" s="17">
        <f t="shared" si="10"/>
        <v>1386</v>
      </c>
      <c r="J36" s="25">
        <f t="shared" si="11"/>
        <v>6006</v>
      </c>
      <c r="K36" s="25">
        <f t="shared" si="12"/>
        <v>5544</v>
      </c>
      <c r="L36" s="25">
        <f t="shared" si="13"/>
        <v>5313</v>
      </c>
      <c r="M36" s="25">
        <f t="shared" si="14"/>
        <v>5082</v>
      </c>
    </row>
    <row r="37">
      <c r="A37" s="20" t="s">
        <v>122</v>
      </c>
      <c r="B37" s="21" t="s">
        <v>12</v>
      </c>
      <c r="C37" s="22" t="s">
        <v>202</v>
      </c>
      <c r="D37" s="22" t="s">
        <v>203</v>
      </c>
      <c r="E37" s="22" t="s">
        <v>204</v>
      </c>
      <c r="F37" s="23">
        <v>60.5</v>
      </c>
      <c r="G37" s="24">
        <f t="shared" si="8"/>
        <v>3630</v>
      </c>
      <c r="H37" s="17">
        <f t="shared" si="9"/>
        <v>7260</v>
      </c>
      <c r="I37" s="17">
        <f t="shared" si="10"/>
        <v>1089</v>
      </c>
      <c r="J37" s="25">
        <f t="shared" si="11"/>
        <v>4719</v>
      </c>
      <c r="K37" s="25">
        <f t="shared" si="12"/>
        <v>4356</v>
      </c>
      <c r="L37" s="25">
        <f t="shared" si="13"/>
        <v>4174.5</v>
      </c>
      <c r="M37" s="25">
        <f t="shared" si="14"/>
        <v>3993</v>
      </c>
    </row>
    <row r="38">
      <c r="A38" s="20" t="s">
        <v>122</v>
      </c>
      <c r="B38" s="21" t="s">
        <v>12</v>
      </c>
      <c r="C38" s="22" t="s">
        <v>202</v>
      </c>
      <c r="D38" s="21" t="s">
        <v>205</v>
      </c>
      <c r="E38" s="21" t="s">
        <v>206</v>
      </c>
      <c r="F38" s="23" t="s">
        <v>141</v>
      </c>
      <c r="G38" s="23" t="s">
        <v>141</v>
      </c>
      <c r="H38" s="26">
        <v>0.0</v>
      </c>
      <c r="I38" s="26">
        <v>0.0</v>
      </c>
      <c r="J38" s="26">
        <v>0.0</v>
      </c>
      <c r="K38" s="26">
        <v>0.0</v>
      </c>
      <c r="L38" s="26">
        <v>0.0</v>
      </c>
      <c r="M38" s="26">
        <v>0.0</v>
      </c>
    </row>
    <row r="39">
      <c r="A39" s="20" t="s">
        <v>122</v>
      </c>
      <c r="B39" s="21" t="s">
        <v>12</v>
      </c>
      <c r="C39" s="22" t="s">
        <v>202</v>
      </c>
      <c r="D39" s="21" t="s">
        <v>207</v>
      </c>
      <c r="E39" s="21" t="s">
        <v>208</v>
      </c>
      <c r="F39" s="23">
        <v>45.5</v>
      </c>
      <c r="G39" s="24">
        <f t="shared" ref="G39:G45" si="15">F39*60</f>
        <v>2730</v>
      </c>
      <c r="H39" s="17">
        <f t="shared" ref="H39:H45" si="16">G39*2</f>
        <v>5460</v>
      </c>
      <c r="I39" s="17">
        <f t="shared" ref="I39:I45" si="17">G39*0.3</f>
        <v>819</v>
      </c>
      <c r="J39" s="25">
        <f t="shared" ref="J39:J45" si="18">G39*1.3</f>
        <v>3549</v>
      </c>
      <c r="K39" s="25">
        <f t="shared" ref="K39:K45" si="19">G39*1.2</f>
        <v>3276</v>
      </c>
      <c r="L39" s="25">
        <f t="shared" ref="L39:L45" si="20">G39*1.15</f>
        <v>3139.5</v>
      </c>
      <c r="M39" s="25">
        <f t="shared" ref="M39:M45" si="21">G39*1.1</f>
        <v>3003</v>
      </c>
    </row>
    <row r="40">
      <c r="A40" s="20" t="s">
        <v>122</v>
      </c>
      <c r="B40" s="21" t="s">
        <v>12</v>
      </c>
      <c r="C40" s="22" t="s">
        <v>202</v>
      </c>
      <c r="D40" s="21" t="s">
        <v>209</v>
      </c>
      <c r="E40" s="21" t="s">
        <v>210</v>
      </c>
      <c r="F40" s="23">
        <v>17.0</v>
      </c>
      <c r="G40" s="24">
        <f t="shared" si="15"/>
        <v>1020</v>
      </c>
      <c r="H40" s="17">
        <f t="shared" si="16"/>
        <v>2040</v>
      </c>
      <c r="I40" s="17">
        <f t="shared" si="17"/>
        <v>306</v>
      </c>
      <c r="J40" s="25">
        <f t="shared" si="18"/>
        <v>1326</v>
      </c>
      <c r="K40" s="25">
        <f t="shared" si="19"/>
        <v>1224</v>
      </c>
      <c r="L40" s="25">
        <f t="shared" si="20"/>
        <v>1173</v>
      </c>
      <c r="M40" s="25">
        <f t="shared" si="21"/>
        <v>1122</v>
      </c>
    </row>
    <row r="41">
      <c r="A41" s="20" t="s">
        <v>122</v>
      </c>
      <c r="B41" s="21" t="s">
        <v>12</v>
      </c>
      <c r="C41" s="22" t="s">
        <v>211</v>
      </c>
      <c r="D41" s="22" t="s">
        <v>212</v>
      </c>
      <c r="E41" s="22" t="s">
        <v>213</v>
      </c>
      <c r="F41" s="23">
        <v>177.5</v>
      </c>
      <c r="G41" s="24">
        <f t="shared" si="15"/>
        <v>10650</v>
      </c>
      <c r="H41" s="17">
        <f t="shared" si="16"/>
        <v>21300</v>
      </c>
      <c r="I41" s="17">
        <f t="shared" si="17"/>
        <v>3195</v>
      </c>
      <c r="J41" s="25">
        <f t="shared" si="18"/>
        <v>13845</v>
      </c>
      <c r="K41" s="25">
        <f t="shared" si="19"/>
        <v>12780</v>
      </c>
      <c r="L41" s="25">
        <f t="shared" si="20"/>
        <v>12247.5</v>
      </c>
      <c r="M41" s="25">
        <f t="shared" si="21"/>
        <v>11715</v>
      </c>
    </row>
    <row r="42">
      <c r="A42" s="20" t="s">
        <v>122</v>
      </c>
      <c r="B42" s="21" t="s">
        <v>12</v>
      </c>
      <c r="C42" s="22" t="s">
        <v>211</v>
      </c>
      <c r="D42" s="22" t="s">
        <v>214</v>
      </c>
      <c r="E42" s="22" t="s">
        <v>215</v>
      </c>
      <c r="F42" s="23">
        <v>17.0</v>
      </c>
      <c r="G42" s="24">
        <f t="shared" si="15"/>
        <v>1020</v>
      </c>
      <c r="H42" s="17">
        <f t="shared" si="16"/>
        <v>2040</v>
      </c>
      <c r="I42" s="17">
        <f t="shared" si="17"/>
        <v>306</v>
      </c>
      <c r="J42" s="25">
        <f t="shared" si="18"/>
        <v>1326</v>
      </c>
      <c r="K42" s="25">
        <f t="shared" si="19"/>
        <v>1224</v>
      </c>
      <c r="L42" s="25">
        <f t="shared" si="20"/>
        <v>1173</v>
      </c>
      <c r="M42" s="25">
        <f t="shared" si="21"/>
        <v>1122</v>
      </c>
    </row>
    <row r="43">
      <c r="A43" s="20" t="s">
        <v>122</v>
      </c>
      <c r="B43" s="21" t="s">
        <v>12</v>
      </c>
      <c r="C43" s="22" t="s">
        <v>211</v>
      </c>
      <c r="D43" s="22" t="s">
        <v>216</v>
      </c>
      <c r="E43" s="22" t="s">
        <v>217</v>
      </c>
      <c r="F43" s="23">
        <v>92.0</v>
      </c>
      <c r="G43" s="24">
        <f t="shared" si="15"/>
        <v>5520</v>
      </c>
      <c r="H43" s="17">
        <f t="shared" si="16"/>
        <v>11040</v>
      </c>
      <c r="I43" s="17">
        <f t="shared" si="17"/>
        <v>1656</v>
      </c>
      <c r="J43" s="25">
        <f t="shared" si="18"/>
        <v>7176</v>
      </c>
      <c r="K43" s="25">
        <f t="shared" si="19"/>
        <v>6624</v>
      </c>
      <c r="L43" s="25">
        <f t="shared" si="20"/>
        <v>6348</v>
      </c>
      <c r="M43" s="25">
        <f t="shared" si="21"/>
        <v>6072</v>
      </c>
    </row>
    <row r="44">
      <c r="A44" s="20" t="s">
        <v>122</v>
      </c>
      <c r="B44" s="21" t="s">
        <v>12</v>
      </c>
      <c r="C44" s="22" t="s">
        <v>211</v>
      </c>
      <c r="D44" s="22" t="s">
        <v>218</v>
      </c>
      <c r="E44" s="22" t="s">
        <v>219</v>
      </c>
      <c r="F44" s="23">
        <v>23.0</v>
      </c>
      <c r="G44" s="24">
        <f t="shared" si="15"/>
        <v>1380</v>
      </c>
      <c r="H44" s="17">
        <f t="shared" si="16"/>
        <v>2760</v>
      </c>
      <c r="I44" s="17">
        <f t="shared" si="17"/>
        <v>414</v>
      </c>
      <c r="J44" s="25">
        <f t="shared" si="18"/>
        <v>1794</v>
      </c>
      <c r="K44" s="25">
        <f t="shared" si="19"/>
        <v>1656</v>
      </c>
      <c r="L44" s="25">
        <f t="shared" si="20"/>
        <v>1587</v>
      </c>
      <c r="M44" s="25">
        <f t="shared" si="21"/>
        <v>1518</v>
      </c>
    </row>
    <row r="45">
      <c r="A45" s="20" t="s">
        <v>122</v>
      </c>
      <c r="B45" s="21" t="s">
        <v>12</v>
      </c>
      <c r="C45" s="22" t="s">
        <v>220</v>
      </c>
      <c r="D45" s="22" t="s">
        <v>221</v>
      </c>
      <c r="E45" s="22" t="s">
        <v>222</v>
      </c>
      <c r="F45" s="23">
        <v>94.0</v>
      </c>
      <c r="G45" s="24">
        <f t="shared" si="15"/>
        <v>5640</v>
      </c>
      <c r="H45" s="17">
        <f t="shared" si="16"/>
        <v>11280</v>
      </c>
      <c r="I45" s="17">
        <f t="shared" si="17"/>
        <v>1692</v>
      </c>
      <c r="J45" s="25">
        <f t="shared" si="18"/>
        <v>7332</v>
      </c>
      <c r="K45" s="25">
        <f t="shared" si="19"/>
        <v>6768</v>
      </c>
      <c r="L45" s="25">
        <f t="shared" si="20"/>
        <v>6486</v>
      </c>
      <c r="M45" s="25">
        <f t="shared" si="21"/>
        <v>6204</v>
      </c>
    </row>
    <row r="46">
      <c r="A46" s="20" t="s">
        <v>122</v>
      </c>
      <c r="B46" s="21" t="s">
        <v>12</v>
      </c>
      <c r="C46" s="22" t="s">
        <v>220</v>
      </c>
      <c r="D46" s="22" t="s">
        <v>139</v>
      </c>
      <c r="E46" s="22" t="s">
        <v>140</v>
      </c>
      <c r="F46" s="23" t="s">
        <v>141</v>
      </c>
      <c r="G46" s="23" t="s">
        <v>141</v>
      </c>
      <c r="H46" s="26">
        <v>0.0</v>
      </c>
      <c r="I46" s="26">
        <v>0.0</v>
      </c>
      <c r="J46" s="26">
        <v>0.0</v>
      </c>
      <c r="K46" s="26">
        <v>0.0</v>
      </c>
      <c r="L46" s="26">
        <v>0.0</v>
      </c>
      <c r="M46" s="26">
        <v>0.0</v>
      </c>
    </row>
    <row r="47">
      <c r="A47" s="20" t="s">
        <v>122</v>
      </c>
      <c r="B47" s="21" t="s">
        <v>12</v>
      </c>
      <c r="C47" s="22" t="s">
        <v>220</v>
      </c>
      <c r="D47" s="22" t="s">
        <v>143</v>
      </c>
      <c r="E47" s="22" t="s">
        <v>144</v>
      </c>
      <c r="F47" s="23">
        <v>4.0</v>
      </c>
      <c r="G47" s="24">
        <f t="shared" ref="G47:G66" si="22">F47*60</f>
        <v>240</v>
      </c>
      <c r="H47" s="17">
        <f t="shared" ref="H47:H77" si="23">G47*2</f>
        <v>480</v>
      </c>
      <c r="I47" s="17">
        <f t="shared" ref="I47:I77" si="24">G47*0.3</f>
        <v>72</v>
      </c>
      <c r="J47" s="25">
        <f t="shared" ref="J47:J77" si="25">G47*1.3</f>
        <v>312</v>
      </c>
      <c r="K47" s="25">
        <f t="shared" ref="K47:K77" si="26">G47*1.2</f>
        <v>288</v>
      </c>
      <c r="L47" s="25">
        <f t="shared" ref="L47:L77" si="27">G47*1.15</f>
        <v>276</v>
      </c>
      <c r="M47" s="25">
        <f t="shared" ref="M47:M77" si="28">G47*1.1</f>
        <v>264</v>
      </c>
    </row>
    <row r="48">
      <c r="A48" s="20" t="s">
        <v>122</v>
      </c>
      <c r="B48" s="21" t="s">
        <v>12</v>
      </c>
      <c r="C48" s="22" t="s">
        <v>220</v>
      </c>
      <c r="D48" s="22" t="s">
        <v>146</v>
      </c>
      <c r="E48" s="22" t="s">
        <v>147</v>
      </c>
      <c r="F48" s="23">
        <v>2.0</v>
      </c>
      <c r="G48" s="24">
        <f t="shared" si="22"/>
        <v>120</v>
      </c>
      <c r="H48" s="17">
        <f t="shared" si="23"/>
        <v>240</v>
      </c>
      <c r="I48" s="17">
        <f t="shared" si="24"/>
        <v>36</v>
      </c>
      <c r="J48" s="25">
        <f t="shared" si="25"/>
        <v>156</v>
      </c>
      <c r="K48" s="25">
        <f t="shared" si="26"/>
        <v>144</v>
      </c>
      <c r="L48" s="25">
        <f t="shared" si="27"/>
        <v>138</v>
      </c>
      <c r="M48" s="25">
        <f t="shared" si="28"/>
        <v>132</v>
      </c>
    </row>
    <row r="49">
      <c r="A49" s="20" t="s">
        <v>122</v>
      </c>
      <c r="B49" s="21" t="s">
        <v>12</v>
      </c>
      <c r="C49" s="22" t="s">
        <v>223</v>
      </c>
      <c r="D49" s="22" t="s">
        <v>224</v>
      </c>
      <c r="E49" s="22" t="s">
        <v>225</v>
      </c>
      <c r="F49" s="23">
        <v>44.0</v>
      </c>
      <c r="G49" s="24">
        <f t="shared" si="22"/>
        <v>2640</v>
      </c>
      <c r="H49" s="17">
        <f t="shared" si="23"/>
        <v>5280</v>
      </c>
      <c r="I49" s="17">
        <f t="shared" si="24"/>
        <v>792</v>
      </c>
      <c r="J49" s="25">
        <f t="shared" si="25"/>
        <v>3432</v>
      </c>
      <c r="K49" s="25">
        <f t="shared" si="26"/>
        <v>3168</v>
      </c>
      <c r="L49" s="25">
        <f t="shared" si="27"/>
        <v>3036</v>
      </c>
      <c r="M49" s="25">
        <f t="shared" si="28"/>
        <v>2904</v>
      </c>
    </row>
    <row r="50">
      <c r="A50" s="20" t="s">
        <v>122</v>
      </c>
      <c r="B50" s="21" t="s">
        <v>12</v>
      </c>
      <c r="C50" s="22" t="s">
        <v>223</v>
      </c>
      <c r="D50" s="22" t="s">
        <v>226</v>
      </c>
      <c r="E50" s="22" t="s">
        <v>227</v>
      </c>
      <c r="F50" s="23">
        <v>73.5</v>
      </c>
      <c r="G50" s="24">
        <f t="shared" si="22"/>
        <v>4410</v>
      </c>
      <c r="H50" s="17">
        <f t="shared" si="23"/>
        <v>8820</v>
      </c>
      <c r="I50" s="17">
        <f t="shared" si="24"/>
        <v>1323</v>
      </c>
      <c r="J50" s="25">
        <f t="shared" si="25"/>
        <v>5733</v>
      </c>
      <c r="K50" s="25">
        <f t="shared" si="26"/>
        <v>5292</v>
      </c>
      <c r="L50" s="25">
        <f t="shared" si="27"/>
        <v>5071.5</v>
      </c>
      <c r="M50" s="25">
        <f t="shared" si="28"/>
        <v>4851</v>
      </c>
    </row>
    <row r="51">
      <c r="A51" s="20" t="s">
        <v>122</v>
      </c>
      <c r="B51" s="21" t="s">
        <v>12</v>
      </c>
      <c r="C51" s="22" t="s">
        <v>223</v>
      </c>
      <c r="D51" s="22" t="s">
        <v>228</v>
      </c>
      <c r="E51" s="22" t="s">
        <v>229</v>
      </c>
      <c r="F51" s="23">
        <v>106.5</v>
      </c>
      <c r="G51" s="24">
        <f t="shared" si="22"/>
        <v>6390</v>
      </c>
      <c r="H51" s="17">
        <f t="shared" si="23"/>
        <v>12780</v>
      </c>
      <c r="I51" s="17">
        <f t="shared" si="24"/>
        <v>1917</v>
      </c>
      <c r="J51" s="25">
        <f t="shared" si="25"/>
        <v>8307</v>
      </c>
      <c r="K51" s="25">
        <f t="shared" si="26"/>
        <v>7668</v>
      </c>
      <c r="L51" s="25">
        <f t="shared" si="27"/>
        <v>7348.5</v>
      </c>
      <c r="M51" s="25">
        <f t="shared" si="28"/>
        <v>7029</v>
      </c>
    </row>
    <row r="52">
      <c r="A52" s="20" t="s">
        <v>122</v>
      </c>
      <c r="B52" s="21" t="s">
        <v>12</v>
      </c>
      <c r="C52" s="22" t="s">
        <v>223</v>
      </c>
      <c r="D52" s="22" t="s">
        <v>230</v>
      </c>
      <c r="E52" s="22" t="s">
        <v>231</v>
      </c>
      <c r="F52" s="23">
        <v>90.5</v>
      </c>
      <c r="G52" s="24">
        <f t="shared" si="22"/>
        <v>5430</v>
      </c>
      <c r="H52" s="17">
        <f t="shared" si="23"/>
        <v>10860</v>
      </c>
      <c r="I52" s="17">
        <f t="shared" si="24"/>
        <v>1629</v>
      </c>
      <c r="J52" s="25">
        <f t="shared" si="25"/>
        <v>7059</v>
      </c>
      <c r="K52" s="25">
        <f t="shared" si="26"/>
        <v>6516</v>
      </c>
      <c r="L52" s="25">
        <f t="shared" si="27"/>
        <v>6244.5</v>
      </c>
      <c r="M52" s="25">
        <f t="shared" si="28"/>
        <v>5973</v>
      </c>
    </row>
    <row r="53">
      <c r="A53" s="20" t="s">
        <v>122</v>
      </c>
      <c r="B53" s="21" t="s">
        <v>12</v>
      </c>
      <c r="C53" s="22" t="s">
        <v>223</v>
      </c>
      <c r="D53" s="22" t="s">
        <v>232</v>
      </c>
      <c r="E53" s="22" t="s">
        <v>233</v>
      </c>
      <c r="F53" s="23">
        <v>144.5</v>
      </c>
      <c r="G53" s="24">
        <f t="shared" si="22"/>
        <v>8670</v>
      </c>
      <c r="H53" s="17">
        <f t="shared" si="23"/>
        <v>17340</v>
      </c>
      <c r="I53" s="17">
        <f t="shared" si="24"/>
        <v>2601</v>
      </c>
      <c r="J53" s="25">
        <f t="shared" si="25"/>
        <v>11271</v>
      </c>
      <c r="K53" s="25">
        <f t="shared" si="26"/>
        <v>10404</v>
      </c>
      <c r="L53" s="25">
        <f t="shared" si="27"/>
        <v>9970.5</v>
      </c>
      <c r="M53" s="25">
        <f t="shared" si="28"/>
        <v>9537</v>
      </c>
    </row>
    <row r="54">
      <c r="A54" s="20" t="s">
        <v>122</v>
      </c>
      <c r="B54" s="21" t="s">
        <v>12</v>
      </c>
      <c r="C54" s="22" t="s">
        <v>234</v>
      </c>
      <c r="D54" s="22" t="s">
        <v>235</v>
      </c>
      <c r="E54" s="22" t="s">
        <v>233</v>
      </c>
      <c r="F54" s="23">
        <v>49.0</v>
      </c>
      <c r="G54" s="24">
        <f t="shared" si="22"/>
        <v>2940</v>
      </c>
      <c r="H54" s="17">
        <f t="shared" si="23"/>
        <v>5880</v>
      </c>
      <c r="I54" s="17">
        <f t="shared" si="24"/>
        <v>882</v>
      </c>
      <c r="J54" s="25">
        <f t="shared" si="25"/>
        <v>3822</v>
      </c>
      <c r="K54" s="25">
        <f t="shared" si="26"/>
        <v>3528</v>
      </c>
      <c r="L54" s="25">
        <f t="shared" si="27"/>
        <v>3381</v>
      </c>
      <c r="M54" s="25">
        <f t="shared" si="28"/>
        <v>3234</v>
      </c>
    </row>
    <row r="55">
      <c r="A55" s="20" t="s">
        <v>122</v>
      </c>
      <c r="B55" s="21" t="s">
        <v>12</v>
      </c>
      <c r="C55" s="22" t="s">
        <v>234</v>
      </c>
      <c r="D55" s="22" t="s">
        <v>236</v>
      </c>
      <c r="E55" s="22" t="s">
        <v>237</v>
      </c>
      <c r="F55" s="23">
        <v>40.5</v>
      </c>
      <c r="G55" s="24">
        <f t="shared" si="22"/>
        <v>2430</v>
      </c>
      <c r="H55" s="17">
        <f t="shared" si="23"/>
        <v>4860</v>
      </c>
      <c r="I55" s="17">
        <f t="shared" si="24"/>
        <v>729</v>
      </c>
      <c r="J55" s="25">
        <f t="shared" si="25"/>
        <v>3159</v>
      </c>
      <c r="K55" s="25">
        <f t="shared" si="26"/>
        <v>2916</v>
      </c>
      <c r="L55" s="25">
        <f t="shared" si="27"/>
        <v>2794.5</v>
      </c>
      <c r="M55" s="25">
        <f t="shared" si="28"/>
        <v>2673</v>
      </c>
    </row>
    <row r="56">
      <c r="A56" s="20" t="s">
        <v>122</v>
      </c>
      <c r="B56" s="21" t="s">
        <v>12</v>
      </c>
      <c r="C56" s="22" t="s">
        <v>234</v>
      </c>
      <c r="D56" s="22" t="s">
        <v>238</v>
      </c>
      <c r="E56" s="22" t="s">
        <v>239</v>
      </c>
      <c r="F56" s="23">
        <v>45.0</v>
      </c>
      <c r="G56" s="24">
        <f t="shared" si="22"/>
        <v>2700</v>
      </c>
      <c r="H56" s="17">
        <f t="shared" si="23"/>
        <v>5400</v>
      </c>
      <c r="I56" s="17">
        <f t="shared" si="24"/>
        <v>810</v>
      </c>
      <c r="J56" s="25">
        <f t="shared" si="25"/>
        <v>3510</v>
      </c>
      <c r="K56" s="25">
        <f t="shared" si="26"/>
        <v>3240</v>
      </c>
      <c r="L56" s="25">
        <f t="shared" si="27"/>
        <v>3105</v>
      </c>
      <c r="M56" s="25">
        <f t="shared" si="28"/>
        <v>2970</v>
      </c>
    </row>
    <row r="57">
      <c r="A57" s="20" t="s">
        <v>122</v>
      </c>
      <c r="B57" s="21" t="s">
        <v>12</v>
      </c>
      <c r="C57" s="22" t="s">
        <v>234</v>
      </c>
      <c r="D57" s="21" t="s">
        <v>240</v>
      </c>
      <c r="E57" s="21" t="s">
        <v>241</v>
      </c>
      <c r="F57" s="23">
        <v>48.0</v>
      </c>
      <c r="G57" s="24">
        <f t="shared" si="22"/>
        <v>2880</v>
      </c>
      <c r="H57" s="17">
        <f t="shared" si="23"/>
        <v>5760</v>
      </c>
      <c r="I57" s="17">
        <f t="shared" si="24"/>
        <v>864</v>
      </c>
      <c r="J57" s="25">
        <f t="shared" si="25"/>
        <v>3744</v>
      </c>
      <c r="K57" s="25">
        <f t="shared" si="26"/>
        <v>3456</v>
      </c>
      <c r="L57" s="25">
        <f t="shared" si="27"/>
        <v>3312</v>
      </c>
      <c r="M57" s="25">
        <f t="shared" si="28"/>
        <v>3168</v>
      </c>
    </row>
    <row r="58">
      <c r="A58" s="20" t="s">
        <v>122</v>
      </c>
      <c r="B58" s="21" t="s">
        <v>12</v>
      </c>
      <c r="C58" s="22" t="s">
        <v>234</v>
      </c>
      <c r="D58" s="21" t="s">
        <v>242</v>
      </c>
      <c r="E58" s="21" t="s">
        <v>243</v>
      </c>
      <c r="F58" s="23">
        <v>26.5</v>
      </c>
      <c r="G58" s="24">
        <f t="shared" si="22"/>
        <v>1590</v>
      </c>
      <c r="H58" s="17">
        <f t="shared" si="23"/>
        <v>3180</v>
      </c>
      <c r="I58" s="17">
        <f t="shared" si="24"/>
        <v>477</v>
      </c>
      <c r="J58" s="25">
        <f t="shared" si="25"/>
        <v>2067</v>
      </c>
      <c r="K58" s="25">
        <f t="shared" si="26"/>
        <v>1908</v>
      </c>
      <c r="L58" s="25">
        <f t="shared" si="27"/>
        <v>1828.5</v>
      </c>
      <c r="M58" s="25">
        <f t="shared" si="28"/>
        <v>1749</v>
      </c>
    </row>
    <row r="59">
      <c r="A59" s="20" t="s">
        <v>122</v>
      </c>
      <c r="B59" s="21" t="s">
        <v>12</v>
      </c>
      <c r="C59" s="22" t="s">
        <v>234</v>
      </c>
      <c r="D59" s="21" t="s">
        <v>244</v>
      </c>
      <c r="E59" s="21" t="s">
        <v>245</v>
      </c>
      <c r="F59" s="23">
        <v>42.0</v>
      </c>
      <c r="G59" s="24">
        <f t="shared" si="22"/>
        <v>2520</v>
      </c>
      <c r="H59" s="17">
        <f t="shared" si="23"/>
        <v>5040</v>
      </c>
      <c r="I59" s="17">
        <f t="shared" si="24"/>
        <v>756</v>
      </c>
      <c r="J59" s="25">
        <f t="shared" si="25"/>
        <v>3276</v>
      </c>
      <c r="K59" s="25">
        <f t="shared" si="26"/>
        <v>3024</v>
      </c>
      <c r="L59" s="25">
        <f t="shared" si="27"/>
        <v>2898</v>
      </c>
      <c r="M59" s="25">
        <f t="shared" si="28"/>
        <v>2772</v>
      </c>
    </row>
    <row r="60">
      <c r="A60" s="20" t="s">
        <v>122</v>
      </c>
      <c r="B60" s="21" t="s">
        <v>12</v>
      </c>
      <c r="C60" s="22" t="s">
        <v>234</v>
      </c>
      <c r="D60" s="21" t="s">
        <v>246</v>
      </c>
      <c r="E60" s="21" t="s">
        <v>247</v>
      </c>
      <c r="F60" s="23">
        <v>45.0</v>
      </c>
      <c r="G60" s="24">
        <f t="shared" si="22"/>
        <v>2700</v>
      </c>
      <c r="H60" s="17">
        <f t="shared" si="23"/>
        <v>5400</v>
      </c>
      <c r="I60" s="17">
        <f t="shared" si="24"/>
        <v>810</v>
      </c>
      <c r="J60" s="25">
        <f t="shared" si="25"/>
        <v>3510</v>
      </c>
      <c r="K60" s="25">
        <f t="shared" si="26"/>
        <v>3240</v>
      </c>
      <c r="L60" s="25">
        <f t="shared" si="27"/>
        <v>3105</v>
      </c>
      <c r="M60" s="25">
        <f t="shared" si="28"/>
        <v>2970</v>
      </c>
    </row>
    <row r="61">
      <c r="A61" s="20" t="s">
        <v>122</v>
      </c>
      <c r="B61" s="21" t="s">
        <v>12</v>
      </c>
      <c r="C61" s="22" t="s">
        <v>234</v>
      </c>
      <c r="D61" s="21" t="s">
        <v>248</v>
      </c>
      <c r="E61" s="21" t="s">
        <v>249</v>
      </c>
      <c r="F61" s="23">
        <v>63.5</v>
      </c>
      <c r="G61" s="24">
        <f t="shared" si="22"/>
        <v>3810</v>
      </c>
      <c r="H61" s="17">
        <f t="shared" si="23"/>
        <v>7620</v>
      </c>
      <c r="I61" s="17">
        <f t="shared" si="24"/>
        <v>1143</v>
      </c>
      <c r="J61" s="25">
        <f t="shared" si="25"/>
        <v>4953</v>
      </c>
      <c r="K61" s="25">
        <f t="shared" si="26"/>
        <v>4572</v>
      </c>
      <c r="L61" s="25">
        <f t="shared" si="27"/>
        <v>4381.5</v>
      </c>
      <c r="M61" s="25">
        <f t="shared" si="28"/>
        <v>4191</v>
      </c>
    </row>
    <row r="62">
      <c r="A62" s="20" t="s">
        <v>122</v>
      </c>
      <c r="B62" s="21" t="s">
        <v>12</v>
      </c>
      <c r="C62" s="22" t="s">
        <v>234</v>
      </c>
      <c r="D62" s="28" t="s">
        <v>250</v>
      </c>
      <c r="E62" s="21" t="s">
        <v>251</v>
      </c>
      <c r="F62" s="23">
        <v>27.0</v>
      </c>
      <c r="G62" s="24">
        <f t="shared" si="22"/>
        <v>1620</v>
      </c>
      <c r="H62" s="17">
        <f t="shared" si="23"/>
        <v>3240</v>
      </c>
      <c r="I62" s="17">
        <f t="shared" si="24"/>
        <v>486</v>
      </c>
      <c r="J62" s="25">
        <f t="shared" si="25"/>
        <v>2106</v>
      </c>
      <c r="K62" s="25">
        <f t="shared" si="26"/>
        <v>1944</v>
      </c>
      <c r="L62" s="25">
        <f t="shared" si="27"/>
        <v>1863</v>
      </c>
      <c r="M62" s="25">
        <f t="shared" si="28"/>
        <v>1782</v>
      </c>
    </row>
    <row r="63">
      <c r="A63" s="20" t="s">
        <v>122</v>
      </c>
      <c r="B63" s="21" t="s">
        <v>12</v>
      </c>
      <c r="C63" s="22" t="s">
        <v>252</v>
      </c>
      <c r="D63" s="22" t="s">
        <v>253</v>
      </c>
      <c r="E63" s="22" t="s">
        <v>254</v>
      </c>
      <c r="F63" s="23">
        <v>112.5</v>
      </c>
      <c r="G63" s="24">
        <f t="shared" si="22"/>
        <v>6750</v>
      </c>
      <c r="H63" s="17">
        <f t="shared" si="23"/>
        <v>13500</v>
      </c>
      <c r="I63" s="17">
        <f t="shared" si="24"/>
        <v>2025</v>
      </c>
      <c r="J63" s="25">
        <f t="shared" si="25"/>
        <v>8775</v>
      </c>
      <c r="K63" s="25">
        <f t="shared" si="26"/>
        <v>8100</v>
      </c>
      <c r="L63" s="25">
        <f t="shared" si="27"/>
        <v>7762.5</v>
      </c>
      <c r="M63" s="25">
        <f t="shared" si="28"/>
        <v>7425</v>
      </c>
    </row>
    <row r="64">
      <c r="A64" s="20" t="s">
        <v>122</v>
      </c>
      <c r="B64" s="21" t="s">
        <v>12</v>
      </c>
      <c r="C64" s="22" t="s">
        <v>252</v>
      </c>
      <c r="D64" s="22" t="s">
        <v>255</v>
      </c>
      <c r="E64" s="22" t="s">
        <v>256</v>
      </c>
      <c r="F64" s="23">
        <v>74.5</v>
      </c>
      <c r="G64" s="24">
        <f t="shared" si="22"/>
        <v>4470</v>
      </c>
      <c r="H64" s="17">
        <f t="shared" si="23"/>
        <v>8940</v>
      </c>
      <c r="I64" s="17">
        <f t="shared" si="24"/>
        <v>1341</v>
      </c>
      <c r="J64" s="25">
        <f t="shared" si="25"/>
        <v>5811</v>
      </c>
      <c r="K64" s="25">
        <f t="shared" si="26"/>
        <v>5364</v>
      </c>
      <c r="L64" s="25">
        <f t="shared" si="27"/>
        <v>5140.5</v>
      </c>
      <c r="M64" s="25">
        <f t="shared" si="28"/>
        <v>4917</v>
      </c>
    </row>
    <row r="65">
      <c r="A65" s="20" t="s">
        <v>122</v>
      </c>
      <c r="B65" s="21" t="s">
        <v>12</v>
      </c>
      <c r="C65" s="22" t="s">
        <v>252</v>
      </c>
      <c r="D65" s="22" t="s">
        <v>257</v>
      </c>
      <c r="E65" s="22" t="s">
        <v>258</v>
      </c>
      <c r="F65" s="23">
        <v>109.0</v>
      </c>
      <c r="G65" s="24">
        <f t="shared" si="22"/>
        <v>6540</v>
      </c>
      <c r="H65" s="17">
        <f t="shared" si="23"/>
        <v>13080</v>
      </c>
      <c r="I65" s="17">
        <f t="shared" si="24"/>
        <v>1962</v>
      </c>
      <c r="J65" s="25">
        <f t="shared" si="25"/>
        <v>8502</v>
      </c>
      <c r="K65" s="25">
        <f t="shared" si="26"/>
        <v>7848</v>
      </c>
      <c r="L65" s="25">
        <f t="shared" si="27"/>
        <v>7521</v>
      </c>
      <c r="M65" s="25">
        <f t="shared" si="28"/>
        <v>7194</v>
      </c>
    </row>
    <row r="66">
      <c r="A66" s="20" t="s">
        <v>122</v>
      </c>
      <c r="B66" s="21" t="s">
        <v>12</v>
      </c>
      <c r="C66" s="22" t="s">
        <v>252</v>
      </c>
      <c r="D66" s="22" t="s">
        <v>259</v>
      </c>
      <c r="E66" s="22" t="s">
        <v>260</v>
      </c>
      <c r="F66" s="23">
        <v>98.5</v>
      </c>
      <c r="G66" s="24">
        <f t="shared" si="22"/>
        <v>5910</v>
      </c>
      <c r="H66" s="17">
        <f t="shared" si="23"/>
        <v>11820</v>
      </c>
      <c r="I66" s="17">
        <f t="shared" si="24"/>
        <v>1773</v>
      </c>
      <c r="J66" s="25">
        <f t="shared" si="25"/>
        <v>7683</v>
      </c>
      <c r="K66" s="25">
        <f t="shared" si="26"/>
        <v>7092</v>
      </c>
      <c r="L66" s="25">
        <f t="shared" si="27"/>
        <v>6796.5</v>
      </c>
      <c r="M66" s="25">
        <f t="shared" si="28"/>
        <v>6501</v>
      </c>
    </row>
    <row r="67">
      <c r="A67" s="20" t="s">
        <v>122</v>
      </c>
      <c r="B67" s="21" t="s">
        <v>12</v>
      </c>
      <c r="C67" s="22" t="s">
        <v>252</v>
      </c>
      <c r="D67" s="22"/>
      <c r="E67" s="22" t="s">
        <v>261</v>
      </c>
      <c r="F67" s="23"/>
      <c r="G67" s="24"/>
      <c r="H67" s="17">
        <f t="shared" si="23"/>
        <v>0</v>
      </c>
      <c r="I67" s="17">
        <f t="shared" si="24"/>
        <v>0</v>
      </c>
      <c r="J67" s="25">
        <f t="shared" si="25"/>
        <v>0</v>
      </c>
      <c r="K67" s="25">
        <f t="shared" si="26"/>
        <v>0</v>
      </c>
      <c r="L67" s="25">
        <f t="shared" si="27"/>
        <v>0</v>
      </c>
      <c r="M67" s="25">
        <f t="shared" si="28"/>
        <v>0</v>
      </c>
    </row>
    <row r="68">
      <c r="A68" s="20" t="s">
        <v>122</v>
      </c>
      <c r="B68" s="21" t="s">
        <v>12</v>
      </c>
      <c r="C68" s="22" t="s">
        <v>262</v>
      </c>
      <c r="D68" s="22" t="s">
        <v>263</v>
      </c>
      <c r="E68" s="22" t="s">
        <v>264</v>
      </c>
      <c r="F68" s="23">
        <v>14.0</v>
      </c>
      <c r="G68" s="24">
        <f t="shared" ref="G68:G77" si="29">F68*60</f>
        <v>840</v>
      </c>
      <c r="H68" s="17">
        <f t="shared" si="23"/>
        <v>1680</v>
      </c>
      <c r="I68" s="17">
        <f t="shared" si="24"/>
        <v>252</v>
      </c>
      <c r="J68" s="25">
        <f t="shared" si="25"/>
        <v>1092</v>
      </c>
      <c r="K68" s="25">
        <f t="shared" si="26"/>
        <v>1008</v>
      </c>
      <c r="L68" s="25">
        <f t="shared" si="27"/>
        <v>966</v>
      </c>
      <c r="M68" s="25">
        <f t="shared" si="28"/>
        <v>924</v>
      </c>
    </row>
    <row r="69">
      <c r="A69" s="20" t="s">
        <v>122</v>
      </c>
      <c r="B69" s="21" t="s">
        <v>12</v>
      </c>
      <c r="C69" s="22" t="s">
        <v>262</v>
      </c>
      <c r="D69" s="22" t="s">
        <v>265</v>
      </c>
      <c r="E69" s="22" t="s">
        <v>266</v>
      </c>
      <c r="F69" s="23">
        <v>22.0</v>
      </c>
      <c r="G69" s="24">
        <f t="shared" si="29"/>
        <v>1320</v>
      </c>
      <c r="H69" s="17">
        <f t="shared" si="23"/>
        <v>2640</v>
      </c>
      <c r="I69" s="17">
        <f t="shared" si="24"/>
        <v>396</v>
      </c>
      <c r="J69" s="25">
        <f t="shared" si="25"/>
        <v>1716</v>
      </c>
      <c r="K69" s="25">
        <f t="shared" si="26"/>
        <v>1584</v>
      </c>
      <c r="L69" s="25">
        <f t="shared" si="27"/>
        <v>1518</v>
      </c>
      <c r="M69" s="25">
        <f t="shared" si="28"/>
        <v>1452</v>
      </c>
    </row>
    <row r="70">
      <c r="A70" s="20" t="s">
        <v>122</v>
      </c>
      <c r="B70" s="21" t="s">
        <v>12</v>
      </c>
      <c r="C70" s="22" t="s">
        <v>262</v>
      </c>
      <c r="D70" s="22" t="s">
        <v>267</v>
      </c>
      <c r="E70" s="22" t="s">
        <v>268</v>
      </c>
      <c r="F70" s="23">
        <v>33.0</v>
      </c>
      <c r="G70" s="24">
        <f t="shared" si="29"/>
        <v>1980</v>
      </c>
      <c r="H70" s="17">
        <f t="shared" si="23"/>
        <v>3960</v>
      </c>
      <c r="I70" s="17">
        <f t="shared" si="24"/>
        <v>594</v>
      </c>
      <c r="J70" s="25">
        <f t="shared" si="25"/>
        <v>2574</v>
      </c>
      <c r="K70" s="25">
        <f t="shared" si="26"/>
        <v>2376</v>
      </c>
      <c r="L70" s="25">
        <f t="shared" si="27"/>
        <v>2277</v>
      </c>
      <c r="M70" s="25">
        <f t="shared" si="28"/>
        <v>2178</v>
      </c>
    </row>
    <row r="71">
      <c r="A71" s="20" t="s">
        <v>122</v>
      </c>
      <c r="B71" s="21" t="s">
        <v>12</v>
      </c>
      <c r="C71" s="22" t="s">
        <v>262</v>
      </c>
      <c r="D71" s="22" t="s">
        <v>269</v>
      </c>
      <c r="E71" s="22" t="s">
        <v>270</v>
      </c>
      <c r="F71" s="23">
        <v>43.0</v>
      </c>
      <c r="G71" s="24">
        <f t="shared" si="29"/>
        <v>2580</v>
      </c>
      <c r="H71" s="17">
        <f t="shared" si="23"/>
        <v>5160</v>
      </c>
      <c r="I71" s="17">
        <f t="shared" si="24"/>
        <v>774</v>
      </c>
      <c r="J71" s="25">
        <f t="shared" si="25"/>
        <v>3354</v>
      </c>
      <c r="K71" s="25">
        <f t="shared" si="26"/>
        <v>3096</v>
      </c>
      <c r="L71" s="25">
        <f t="shared" si="27"/>
        <v>2967</v>
      </c>
      <c r="M71" s="25">
        <f t="shared" si="28"/>
        <v>2838</v>
      </c>
    </row>
    <row r="72">
      <c r="A72" s="20" t="s">
        <v>122</v>
      </c>
      <c r="B72" s="21" t="s">
        <v>12</v>
      </c>
      <c r="C72" s="22" t="s">
        <v>262</v>
      </c>
      <c r="D72" s="22" t="s">
        <v>271</v>
      </c>
      <c r="E72" s="22" t="s">
        <v>272</v>
      </c>
      <c r="F72" s="23">
        <v>59.0</v>
      </c>
      <c r="G72" s="24">
        <f t="shared" si="29"/>
        <v>3540</v>
      </c>
      <c r="H72" s="17">
        <f t="shared" si="23"/>
        <v>7080</v>
      </c>
      <c r="I72" s="17">
        <f t="shared" si="24"/>
        <v>1062</v>
      </c>
      <c r="J72" s="25">
        <f t="shared" si="25"/>
        <v>4602</v>
      </c>
      <c r="K72" s="25">
        <f t="shared" si="26"/>
        <v>4248</v>
      </c>
      <c r="L72" s="25">
        <f t="shared" si="27"/>
        <v>4071</v>
      </c>
      <c r="M72" s="25">
        <f t="shared" si="28"/>
        <v>3894</v>
      </c>
    </row>
    <row r="73">
      <c r="A73" s="20" t="s">
        <v>122</v>
      </c>
      <c r="B73" s="21" t="s">
        <v>12</v>
      </c>
      <c r="C73" s="22" t="s">
        <v>273</v>
      </c>
      <c r="D73" s="22" t="s">
        <v>274</v>
      </c>
      <c r="E73" s="22" t="s">
        <v>275</v>
      </c>
      <c r="F73" s="23">
        <v>2.0</v>
      </c>
      <c r="G73" s="24">
        <f t="shared" si="29"/>
        <v>120</v>
      </c>
      <c r="H73" s="17">
        <f t="shared" si="23"/>
        <v>240</v>
      </c>
      <c r="I73" s="17">
        <f t="shared" si="24"/>
        <v>36</v>
      </c>
      <c r="J73" s="25">
        <f t="shared" si="25"/>
        <v>156</v>
      </c>
      <c r="K73" s="25">
        <f t="shared" si="26"/>
        <v>144</v>
      </c>
      <c r="L73" s="25">
        <f t="shared" si="27"/>
        <v>138</v>
      </c>
      <c r="M73" s="25">
        <f t="shared" si="28"/>
        <v>132</v>
      </c>
    </row>
    <row r="74">
      <c r="A74" s="20" t="s">
        <v>122</v>
      </c>
      <c r="B74" s="21" t="s">
        <v>12</v>
      </c>
      <c r="C74" s="22" t="s">
        <v>276</v>
      </c>
      <c r="D74" s="22" t="s">
        <v>277</v>
      </c>
      <c r="E74" s="22" t="s">
        <v>278</v>
      </c>
      <c r="F74" s="23">
        <v>8.0</v>
      </c>
      <c r="G74" s="24">
        <f t="shared" si="29"/>
        <v>480</v>
      </c>
      <c r="H74" s="17">
        <f t="shared" si="23"/>
        <v>960</v>
      </c>
      <c r="I74" s="17">
        <f t="shared" si="24"/>
        <v>144</v>
      </c>
      <c r="J74" s="25">
        <f t="shared" si="25"/>
        <v>624</v>
      </c>
      <c r="K74" s="25">
        <f t="shared" si="26"/>
        <v>576</v>
      </c>
      <c r="L74" s="25">
        <f t="shared" si="27"/>
        <v>552</v>
      </c>
      <c r="M74" s="25">
        <f t="shared" si="28"/>
        <v>528</v>
      </c>
    </row>
    <row r="75">
      <c r="A75" s="20" t="s">
        <v>122</v>
      </c>
      <c r="B75" s="21" t="s">
        <v>12</v>
      </c>
      <c r="C75" s="22" t="s">
        <v>279</v>
      </c>
      <c r="D75" s="22" t="s">
        <v>280</v>
      </c>
      <c r="E75" s="22" t="s">
        <v>281</v>
      </c>
      <c r="F75" s="23">
        <v>2.0</v>
      </c>
      <c r="G75" s="24">
        <f t="shared" si="29"/>
        <v>120</v>
      </c>
      <c r="H75" s="17">
        <f t="shared" si="23"/>
        <v>240</v>
      </c>
      <c r="I75" s="17">
        <f t="shared" si="24"/>
        <v>36</v>
      </c>
      <c r="J75" s="25">
        <f t="shared" si="25"/>
        <v>156</v>
      </c>
      <c r="K75" s="25">
        <f t="shared" si="26"/>
        <v>144</v>
      </c>
      <c r="L75" s="25">
        <f t="shared" si="27"/>
        <v>138</v>
      </c>
      <c r="M75" s="25">
        <f t="shared" si="28"/>
        <v>132</v>
      </c>
    </row>
    <row r="76">
      <c r="A76" s="20" t="s">
        <v>122</v>
      </c>
      <c r="B76" s="21" t="s">
        <v>12</v>
      </c>
      <c r="C76" s="22" t="s">
        <v>202</v>
      </c>
      <c r="D76" s="22" t="s">
        <v>282</v>
      </c>
      <c r="E76" s="22" t="s">
        <v>283</v>
      </c>
      <c r="F76" s="23">
        <v>168.5</v>
      </c>
      <c r="G76" s="24">
        <f t="shared" si="29"/>
        <v>10110</v>
      </c>
      <c r="H76" s="17">
        <f t="shared" si="23"/>
        <v>20220</v>
      </c>
      <c r="I76" s="17">
        <f t="shared" si="24"/>
        <v>3033</v>
      </c>
      <c r="J76" s="25">
        <f t="shared" si="25"/>
        <v>13143</v>
      </c>
      <c r="K76" s="25">
        <f t="shared" si="26"/>
        <v>12132</v>
      </c>
      <c r="L76" s="25">
        <f t="shared" si="27"/>
        <v>11626.5</v>
      </c>
      <c r="M76" s="25">
        <f t="shared" si="28"/>
        <v>11121</v>
      </c>
    </row>
    <row r="77">
      <c r="A77" s="20" t="s">
        <v>122</v>
      </c>
      <c r="B77" s="21" t="s">
        <v>12</v>
      </c>
      <c r="C77" s="22" t="s">
        <v>284</v>
      </c>
      <c r="D77" s="21" t="s">
        <v>285</v>
      </c>
      <c r="E77" s="21" t="s">
        <v>286</v>
      </c>
      <c r="F77" s="23">
        <v>98.0</v>
      </c>
      <c r="G77" s="24">
        <f t="shared" si="29"/>
        <v>5880</v>
      </c>
      <c r="H77" s="17">
        <f t="shared" si="23"/>
        <v>11760</v>
      </c>
      <c r="I77" s="17">
        <f t="shared" si="24"/>
        <v>1764</v>
      </c>
      <c r="J77" s="25">
        <f t="shared" si="25"/>
        <v>7644</v>
      </c>
      <c r="K77" s="25">
        <f t="shared" si="26"/>
        <v>7056</v>
      </c>
      <c r="L77" s="25">
        <f t="shared" si="27"/>
        <v>6762</v>
      </c>
      <c r="M77" s="25">
        <f t="shared" si="28"/>
        <v>6468</v>
      </c>
    </row>
    <row r="78">
      <c r="A78" s="20" t="s">
        <v>122</v>
      </c>
      <c r="B78" s="21" t="s">
        <v>12</v>
      </c>
      <c r="C78" s="22" t="s">
        <v>284</v>
      </c>
      <c r="D78" s="21" t="s">
        <v>287</v>
      </c>
      <c r="E78" s="21" t="s">
        <v>288</v>
      </c>
      <c r="F78" s="23" t="s">
        <v>141</v>
      </c>
      <c r="G78" s="23" t="s">
        <v>141</v>
      </c>
      <c r="H78" s="26">
        <v>0.0</v>
      </c>
      <c r="I78" s="26">
        <v>0.0</v>
      </c>
      <c r="J78" s="26">
        <v>0.0</v>
      </c>
      <c r="K78" s="26">
        <v>0.0</v>
      </c>
      <c r="L78" s="26">
        <v>0.0</v>
      </c>
      <c r="M78" s="26">
        <v>0.0</v>
      </c>
    </row>
    <row r="79">
      <c r="A79" s="20" t="s">
        <v>122</v>
      </c>
      <c r="B79" s="21" t="s">
        <v>12</v>
      </c>
      <c r="C79" s="22" t="s">
        <v>284</v>
      </c>
      <c r="D79" s="21" t="s">
        <v>289</v>
      </c>
      <c r="E79" s="21" t="s">
        <v>290</v>
      </c>
      <c r="F79" s="23">
        <v>4.0</v>
      </c>
      <c r="G79" s="24">
        <f t="shared" ref="G79:G81" si="30">F79*60</f>
        <v>240</v>
      </c>
      <c r="H79" s="17">
        <f t="shared" ref="H79:H81" si="31">G79*2</f>
        <v>480</v>
      </c>
      <c r="I79" s="17">
        <f t="shared" ref="I79:I81" si="32">G79*0.3</f>
        <v>72</v>
      </c>
      <c r="J79" s="25">
        <f t="shared" ref="J79:J81" si="33">G79*1.3</f>
        <v>312</v>
      </c>
      <c r="K79" s="25">
        <f t="shared" ref="K79:K81" si="34">G79*1.2</f>
        <v>288</v>
      </c>
      <c r="L79" s="25">
        <f t="shared" ref="L79:L81" si="35">G79*1.15</f>
        <v>276</v>
      </c>
      <c r="M79" s="25">
        <f t="shared" ref="M79:M81" si="36">G79*1.1</f>
        <v>264</v>
      </c>
    </row>
    <row r="80">
      <c r="A80" s="20" t="s">
        <v>122</v>
      </c>
      <c r="B80" s="21" t="s">
        <v>12</v>
      </c>
      <c r="C80" s="22" t="s">
        <v>284</v>
      </c>
      <c r="D80" s="21" t="s">
        <v>291</v>
      </c>
      <c r="E80" s="21" t="s">
        <v>292</v>
      </c>
      <c r="F80" s="23">
        <v>2.0</v>
      </c>
      <c r="G80" s="24">
        <f t="shared" si="30"/>
        <v>120</v>
      </c>
      <c r="H80" s="17">
        <f t="shared" si="31"/>
        <v>240</v>
      </c>
      <c r="I80" s="17">
        <f t="shared" si="32"/>
        <v>36</v>
      </c>
      <c r="J80" s="25">
        <f t="shared" si="33"/>
        <v>156</v>
      </c>
      <c r="K80" s="25">
        <f t="shared" si="34"/>
        <v>144</v>
      </c>
      <c r="L80" s="25">
        <f t="shared" si="35"/>
        <v>138</v>
      </c>
      <c r="M80" s="25">
        <f t="shared" si="36"/>
        <v>132</v>
      </c>
    </row>
    <row r="81">
      <c r="A81" s="20" t="s">
        <v>122</v>
      </c>
      <c r="B81" s="21" t="s">
        <v>12</v>
      </c>
      <c r="C81" s="22" t="s">
        <v>293</v>
      </c>
      <c r="D81" s="22" t="s">
        <v>294</v>
      </c>
      <c r="E81" s="22" t="s">
        <v>295</v>
      </c>
      <c r="F81" s="23">
        <v>74.5</v>
      </c>
      <c r="G81" s="24">
        <f t="shared" si="30"/>
        <v>4470</v>
      </c>
      <c r="H81" s="17">
        <f t="shared" si="31"/>
        <v>8940</v>
      </c>
      <c r="I81" s="17">
        <f t="shared" si="32"/>
        <v>1341</v>
      </c>
      <c r="J81" s="25">
        <f t="shared" si="33"/>
        <v>5811</v>
      </c>
      <c r="K81" s="25">
        <f t="shared" si="34"/>
        <v>5364</v>
      </c>
      <c r="L81" s="25">
        <f t="shared" si="35"/>
        <v>5140.5</v>
      </c>
      <c r="M81" s="25">
        <f t="shared" si="36"/>
        <v>4917</v>
      </c>
    </row>
    <row r="82">
      <c r="A82" s="20" t="s">
        <v>122</v>
      </c>
      <c r="B82" s="21" t="s">
        <v>12</v>
      </c>
      <c r="C82" s="22" t="s">
        <v>293</v>
      </c>
      <c r="D82" s="21" t="s">
        <v>296</v>
      </c>
      <c r="E82" s="21" t="s">
        <v>297</v>
      </c>
      <c r="F82" s="23" t="s">
        <v>141</v>
      </c>
      <c r="G82" s="23" t="s">
        <v>141</v>
      </c>
      <c r="H82" s="26">
        <v>0.0</v>
      </c>
      <c r="I82" s="26">
        <v>0.0</v>
      </c>
      <c r="J82" s="26">
        <v>0.0</v>
      </c>
      <c r="K82" s="26">
        <v>0.0</v>
      </c>
      <c r="L82" s="26">
        <v>0.0</v>
      </c>
      <c r="M82" s="26">
        <v>0.0</v>
      </c>
    </row>
    <row r="83">
      <c r="A83" s="20" t="s">
        <v>122</v>
      </c>
      <c r="B83" s="21" t="s">
        <v>12</v>
      </c>
      <c r="C83" s="22" t="s">
        <v>293</v>
      </c>
      <c r="D83" s="21" t="s">
        <v>298</v>
      </c>
      <c r="E83" s="21" t="s">
        <v>299</v>
      </c>
      <c r="F83" s="23">
        <v>4.0</v>
      </c>
      <c r="G83" s="24">
        <f t="shared" ref="G83:G107" si="37">F83*60</f>
        <v>240</v>
      </c>
      <c r="H83" s="17">
        <f t="shared" ref="H83:H107" si="38">G83*2</f>
        <v>480</v>
      </c>
      <c r="I83" s="17">
        <f t="shared" ref="I83:I107" si="39">G83*0.3</f>
        <v>72</v>
      </c>
      <c r="J83" s="25">
        <f t="shared" ref="J83:J107" si="40">G83*1.3</f>
        <v>312</v>
      </c>
      <c r="K83" s="25">
        <f t="shared" ref="K83:K107" si="41">G83*1.2</f>
        <v>288</v>
      </c>
      <c r="L83" s="25">
        <f t="shared" ref="L83:L107" si="42">G83*1.15</f>
        <v>276</v>
      </c>
      <c r="M83" s="25">
        <f t="shared" ref="M83:M107" si="43">G83*1.1</f>
        <v>264</v>
      </c>
    </row>
    <row r="84">
      <c r="A84" s="20" t="s">
        <v>122</v>
      </c>
      <c r="B84" s="21" t="s">
        <v>12</v>
      </c>
      <c r="C84" s="22" t="s">
        <v>293</v>
      </c>
      <c r="D84" s="21" t="s">
        <v>300</v>
      </c>
      <c r="E84" s="21" t="s">
        <v>301</v>
      </c>
      <c r="F84" s="23">
        <v>2.0</v>
      </c>
      <c r="G84" s="24">
        <f t="shared" si="37"/>
        <v>120</v>
      </c>
      <c r="H84" s="17">
        <f t="shared" si="38"/>
        <v>240</v>
      </c>
      <c r="I84" s="17">
        <f t="shared" si="39"/>
        <v>36</v>
      </c>
      <c r="J84" s="25">
        <f t="shared" si="40"/>
        <v>156</v>
      </c>
      <c r="K84" s="25">
        <f t="shared" si="41"/>
        <v>144</v>
      </c>
      <c r="L84" s="25">
        <f t="shared" si="42"/>
        <v>138</v>
      </c>
      <c r="M84" s="25">
        <f t="shared" si="43"/>
        <v>132</v>
      </c>
    </row>
    <row r="85">
      <c r="A85" s="20" t="s">
        <v>122</v>
      </c>
      <c r="B85" s="21" t="s">
        <v>12</v>
      </c>
      <c r="C85" s="22" t="s">
        <v>302</v>
      </c>
      <c r="D85" s="22" t="s">
        <v>303</v>
      </c>
      <c r="E85" s="22" t="s">
        <v>304</v>
      </c>
      <c r="F85" s="23">
        <v>111.0</v>
      </c>
      <c r="G85" s="24">
        <f t="shared" si="37"/>
        <v>6660</v>
      </c>
      <c r="H85" s="17">
        <f t="shared" si="38"/>
        <v>13320</v>
      </c>
      <c r="I85" s="17">
        <f t="shared" si="39"/>
        <v>1998</v>
      </c>
      <c r="J85" s="25">
        <f t="shared" si="40"/>
        <v>8658</v>
      </c>
      <c r="K85" s="25">
        <f t="shared" si="41"/>
        <v>7992</v>
      </c>
      <c r="L85" s="25">
        <f t="shared" si="42"/>
        <v>7659</v>
      </c>
      <c r="M85" s="25">
        <f t="shared" si="43"/>
        <v>7326</v>
      </c>
    </row>
    <row r="86">
      <c r="A86" s="20" t="s">
        <v>122</v>
      </c>
      <c r="B86" s="21" t="s">
        <v>12</v>
      </c>
      <c r="C86" s="22" t="s">
        <v>302</v>
      </c>
      <c r="D86" s="22" t="s">
        <v>305</v>
      </c>
      <c r="E86" s="22" t="s">
        <v>306</v>
      </c>
      <c r="F86" s="23">
        <v>126.0</v>
      </c>
      <c r="G86" s="24">
        <f t="shared" si="37"/>
        <v>7560</v>
      </c>
      <c r="H86" s="17">
        <f t="shared" si="38"/>
        <v>15120</v>
      </c>
      <c r="I86" s="17">
        <f t="shared" si="39"/>
        <v>2268</v>
      </c>
      <c r="J86" s="25">
        <f t="shared" si="40"/>
        <v>9828</v>
      </c>
      <c r="K86" s="25">
        <f t="shared" si="41"/>
        <v>9072</v>
      </c>
      <c r="L86" s="25">
        <f t="shared" si="42"/>
        <v>8694</v>
      </c>
      <c r="M86" s="25">
        <f t="shared" si="43"/>
        <v>8316</v>
      </c>
    </row>
    <row r="87">
      <c r="A87" s="20" t="s">
        <v>122</v>
      </c>
      <c r="B87" s="21" t="s">
        <v>12</v>
      </c>
      <c r="C87" s="22" t="s">
        <v>302</v>
      </c>
      <c r="D87" s="22" t="s">
        <v>307</v>
      </c>
      <c r="E87" s="22" t="s">
        <v>308</v>
      </c>
      <c r="F87" s="23">
        <v>156.0</v>
      </c>
      <c r="G87" s="24">
        <f t="shared" si="37"/>
        <v>9360</v>
      </c>
      <c r="H87" s="17">
        <f t="shared" si="38"/>
        <v>18720</v>
      </c>
      <c r="I87" s="17">
        <f t="shared" si="39"/>
        <v>2808</v>
      </c>
      <c r="J87" s="25">
        <f t="shared" si="40"/>
        <v>12168</v>
      </c>
      <c r="K87" s="25">
        <f t="shared" si="41"/>
        <v>11232</v>
      </c>
      <c r="L87" s="25">
        <f t="shared" si="42"/>
        <v>10764</v>
      </c>
      <c r="M87" s="25">
        <f t="shared" si="43"/>
        <v>10296</v>
      </c>
    </row>
    <row r="88">
      <c r="A88" s="20" t="s">
        <v>122</v>
      </c>
      <c r="B88" s="21" t="s">
        <v>12</v>
      </c>
      <c r="C88" s="22" t="s">
        <v>302</v>
      </c>
      <c r="D88" s="22" t="s">
        <v>165</v>
      </c>
      <c r="E88" s="22" t="s">
        <v>309</v>
      </c>
      <c r="F88" s="23">
        <v>161.0</v>
      </c>
      <c r="G88" s="24">
        <f t="shared" si="37"/>
        <v>9660</v>
      </c>
      <c r="H88" s="17">
        <f t="shared" si="38"/>
        <v>19320</v>
      </c>
      <c r="I88" s="17">
        <f t="shared" si="39"/>
        <v>2898</v>
      </c>
      <c r="J88" s="25">
        <f t="shared" si="40"/>
        <v>12558</v>
      </c>
      <c r="K88" s="25">
        <f t="shared" si="41"/>
        <v>11592</v>
      </c>
      <c r="L88" s="25">
        <f t="shared" si="42"/>
        <v>11109</v>
      </c>
      <c r="M88" s="25">
        <f t="shared" si="43"/>
        <v>10626</v>
      </c>
    </row>
    <row r="89">
      <c r="A89" s="20" t="s">
        <v>122</v>
      </c>
      <c r="B89" s="21" t="s">
        <v>12</v>
      </c>
      <c r="C89" s="22" t="s">
        <v>302</v>
      </c>
      <c r="D89" s="22" t="s">
        <v>167</v>
      </c>
      <c r="E89" s="22" t="s">
        <v>310</v>
      </c>
      <c r="F89" s="23">
        <v>177.0</v>
      </c>
      <c r="G89" s="24">
        <f t="shared" si="37"/>
        <v>10620</v>
      </c>
      <c r="H89" s="17">
        <f t="shared" si="38"/>
        <v>21240</v>
      </c>
      <c r="I89" s="17">
        <f t="shared" si="39"/>
        <v>3186</v>
      </c>
      <c r="J89" s="25">
        <f t="shared" si="40"/>
        <v>13806</v>
      </c>
      <c r="K89" s="25">
        <f t="shared" si="41"/>
        <v>12744</v>
      </c>
      <c r="L89" s="25">
        <f t="shared" si="42"/>
        <v>12213</v>
      </c>
      <c r="M89" s="25">
        <f t="shared" si="43"/>
        <v>11682</v>
      </c>
    </row>
    <row r="90">
      <c r="A90" s="20" t="s">
        <v>122</v>
      </c>
      <c r="B90" s="21" t="s">
        <v>12</v>
      </c>
      <c r="C90" s="22" t="s">
        <v>302</v>
      </c>
      <c r="D90" s="21" t="s">
        <v>169</v>
      </c>
      <c r="E90" s="21" t="s">
        <v>170</v>
      </c>
      <c r="F90" s="23">
        <v>19.0</v>
      </c>
      <c r="G90" s="24">
        <f t="shared" si="37"/>
        <v>1140</v>
      </c>
      <c r="H90" s="17">
        <f t="shared" si="38"/>
        <v>2280</v>
      </c>
      <c r="I90" s="17">
        <f t="shared" si="39"/>
        <v>342</v>
      </c>
      <c r="J90" s="25">
        <f t="shared" si="40"/>
        <v>1482</v>
      </c>
      <c r="K90" s="25">
        <f t="shared" si="41"/>
        <v>1368</v>
      </c>
      <c r="L90" s="25">
        <f t="shared" si="42"/>
        <v>1311</v>
      </c>
      <c r="M90" s="25">
        <f t="shared" si="43"/>
        <v>1254</v>
      </c>
    </row>
    <row r="91">
      <c r="A91" s="20" t="s">
        <v>122</v>
      </c>
      <c r="B91" s="21" t="s">
        <v>12</v>
      </c>
      <c r="C91" s="22" t="s">
        <v>302</v>
      </c>
      <c r="D91" s="21" t="s">
        <v>171</v>
      </c>
      <c r="E91" s="21" t="s">
        <v>172</v>
      </c>
      <c r="F91" s="23">
        <v>19.0</v>
      </c>
      <c r="G91" s="24">
        <f t="shared" si="37"/>
        <v>1140</v>
      </c>
      <c r="H91" s="17">
        <f t="shared" si="38"/>
        <v>2280</v>
      </c>
      <c r="I91" s="17">
        <f t="shared" si="39"/>
        <v>342</v>
      </c>
      <c r="J91" s="25">
        <f t="shared" si="40"/>
        <v>1482</v>
      </c>
      <c r="K91" s="25">
        <f t="shared" si="41"/>
        <v>1368</v>
      </c>
      <c r="L91" s="25">
        <f t="shared" si="42"/>
        <v>1311</v>
      </c>
      <c r="M91" s="25">
        <f t="shared" si="43"/>
        <v>1254</v>
      </c>
    </row>
    <row r="92">
      <c r="A92" s="20" t="s">
        <v>122</v>
      </c>
      <c r="B92" s="21" t="s">
        <v>12</v>
      </c>
      <c r="C92" s="22" t="s">
        <v>311</v>
      </c>
      <c r="D92" s="22" t="s">
        <v>312</v>
      </c>
      <c r="E92" s="22" t="s">
        <v>313</v>
      </c>
      <c r="F92" s="23">
        <v>31.0</v>
      </c>
      <c r="G92" s="24">
        <f t="shared" si="37"/>
        <v>1860</v>
      </c>
      <c r="H92" s="17">
        <f t="shared" si="38"/>
        <v>3720</v>
      </c>
      <c r="I92" s="17">
        <f t="shared" si="39"/>
        <v>558</v>
      </c>
      <c r="J92" s="25">
        <f t="shared" si="40"/>
        <v>2418</v>
      </c>
      <c r="K92" s="25">
        <f t="shared" si="41"/>
        <v>2232</v>
      </c>
      <c r="L92" s="25">
        <f t="shared" si="42"/>
        <v>2139</v>
      </c>
      <c r="M92" s="25">
        <f t="shared" si="43"/>
        <v>2046</v>
      </c>
    </row>
    <row r="93">
      <c r="A93" s="20" t="s">
        <v>122</v>
      </c>
      <c r="B93" s="21" t="s">
        <v>12</v>
      </c>
      <c r="C93" s="22" t="s">
        <v>311</v>
      </c>
      <c r="D93" s="22" t="s">
        <v>314</v>
      </c>
      <c r="E93" s="22" t="s">
        <v>315</v>
      </c>
      <c r="F93" s="23">
        <v>35.5</v>
      </c>
      <c r="G93" s="24">
        <f t="shared" si="37"/>
        <v>2130</v>
      </c>
      <c r="H93" s="17">
        <f t="shared" si="38"/>
        <v>4260</v>
      </c>
      <c r="I93" s="17">
        <f t="shared" si="39"/>
        <v>639</v>
      </c>
      <c r="J93" s="25">
        <f t="shared" si="40"/>
        <v>2769</v>
      </c>
      <c r="K93" s="25">
        <f t="shared" si="41"/>
        <v>2556</v>
      </c>
      <c r="L93" s="25">
        <f t="shared" si="42"/>
        <v>2449.5</v>
      </c>
      <c r="M93" s="25">
        <f t="shared" si="43"/>
        <v>2343</v>
      </c>
    </row>
    <row r="94">
      <c r="A94" s="20" t="s">
        <v>122</v>
      </c>
      <c r="B94" s="21" t="s">
        <v>12</v>
      </c>
      <c r="C94" s="22" t="s">
        <v>311</v>
      </c>
      <c r="D94" s="22" t="s">
        <v>316</v>
      </c>
      <c r="E94" s="22" t="s">
        <v>317</v>
      </c>
      <c r="F94" s="23">
        <v>45.0</v>
      </c>
      <c r="G94" s="24">
        <f t="shared" si="37"/>
        <v>2700</v>
      </c>
      <c r="H94" s="17">
        <f t="shared" si="38"/>
        <v>5400</v>
      </c>
      <c r="I94" s="17">
        <f t="shared" si="39"/>
        <v>810</v>
      </c>
      <c r="J94" s="25">
        <f t="shared" si="40"/>
        <v>3510</v>
      </c>
      <c r="K94" s="25">
        <f t="shared" si="41"/>
        <v>3240</v>
      </c>
      <c r="L94" s="25">
        <f t="shared" si="42"/>
        <v>3105</v>
      </c>
      <c r="M94" s="25">
        <f t="shared" si="43"/>
        <v>2970</v>
      </c>
    </row>
    <row r="95">
      <c r="A95" s="20" t="s">
        <v>122</v>
      </c>
      <c r="B95" s="21" t="s">
        <v>12</v>
      </c>
      <c r="C95" s="22" t="s">
        <v>311</v>
      </c>
      <c r="D95" s="21" t="s">
        <v>318</v>
      </c>
      <c r="E95" s="21" t="s">
        <v>319</v>
      </c>
      <c r="F95" s="23">
        <v>124.5</v>
      </c>
      <c r="G95" s="24">
        <f t="shared" si="37"/>
        <v>7470</v>
      </c>
      <c r="H95" s="17">
        <f t="shared" si="38"/>
        <v>14940</v>
      </c>
      <c r="I95" s="17">
        <f t="shared" si="39"/>
        <v>2241</v>
      </c>
      <c r="J95" s="25">
        <f t="shared" si="40"/>
        <v>9711</v>
      </c>
      <c r="K95" s="25">
        <f t="shared" si="41"/>
        <v>8964</v>
      </c>
      <c r="L95" s="25">
        <f t="shared" si="42"/>
        <v>8590.5</v>
      </c>
      <c r="M95" s="25">
        <f t="shared" si="43"/>
        <v>8217</v>
      </c>
    </row>
    <row r="96">
      <c r="A96" s="20" t="s">
        <v>122</v>
      </c>
      <c r="B96" s="21" t="s">
        <v>12</v>
      </c>
      <c r="C96" s="22" t="s">
        <v>311</v>
      </c>
      <c r="D96" s="21" t="s">
        <v>320</v>
      </c>
      <c r="E96" s="21" t="s">
        <v>321</v>
      </c>
      <c r="F96" s="23">
        <v>218.5</v>
      </c>
      <c r="G96" s="24">
        <f t="shared" si="37"/>
        <v>13110</v>
      </c>
      <c r="H96" s="17">
        <f t="shared" si="38"/>
        <v>26220</v>
      </c>
      <c r="I96" s="17">
        <f t="shared" si="39"/>
        <v>3933</v>
      </c>
      <c r="J96" s="25">
        <f t="shared" si="40"/>
        <v>17043</v>
      </c>
      <c r="K96" s="25">
        <f t="shared" si="41"/>
        <v>15732</v>
      </c>
      <c r="L96" s="25">
        <f t="shared" si="42"/>
        <v>15076.5</v>
      </c>
      <c r="M96" s="25">
        <f t="shared" si="43"/>
        <v>14421</v>
      </c>
    </row>
    <row r="97">
      <c r="A97" s="20" t="s">
        <v>122</v>
      </c>
      <c r="B97" s="21" t="s">
        <v>12</v>
      </c>
      <c r="C97" s="22" t="s">
        <v>322</v>
      </c>
      <c r="D97" s="22" t="s">
        <v>323</v>
      </c>
      <c r="E97" s="22" t="s">
        <v>324</v>
      </c>
      <c r="F97" s="23">
        <v>38.5</v>
      </c>
      <c r="G97" s="24">
        <f t="shared" si="37"/>
        <v>2310</v>
      </c>
      <c r="H97" s="17">
        <f t="shared" si="38"/>
        <v>4620</v>
      </c>
      <c r="I97" s="17">
        <f t="shared" si="39"/>
        <v>693</v>
      </c>
      <c r="J97" s="25">
        <f t="shared" si="40"/>
        <v>3003</v>
      </c>
      <c r="K97" s="25">
        <f t="shared" si="41"/>
        <v>2772</v>
      </c>
      <c r="L97" s="25">
        <f t="shared" si="42"/>
        <v>2656.5</v>
      </c>
      <c r="M97" s="25">
        <f t="shared" si="43"/>
        <v>2541</v>
      </c>
    </row>
    <row r="98">
      <c r="A98" s="20" t="s">
        <v>122</v>
      </c>
      <c r="B98" s="21" t="s">
        <v>12</v>
      </c>
      <c r="C98" s="22" t="s">
        <v>322</v>
      </c>
      <c r="D98" s="22" t="s">
        <v>325</v>
      </c>
      <c r="E98" s="22" t="s">
        <v>326</v>
      </c>
      <c r="F98" s="23">
        <v>30.5</v>
      </c>
      <c r="G98" s="24">
        <f t="shared" si="37"/>
        <v>1830</v>
      </c>
      <c r="H98" s="17">
        <f t="shared" si="38"/>
        <v>3660</v>
      </c>
      <c r="I98" s="17">
        <f t="shared" si="39"/>
        <v>549</v>
      </c>
      <c r="J98" s="25">
        <f t="shared" si="40"/>
        <v>2379</v>
      </c>
      <c r="K98" s="25">
        <f t="shared" si="41"/>
        <v>2196</v>
      </c>
      <c r="L98" s="25">
        <f t="shared" si="42"/>
        <v>2104.5</v>
      </c>
      <c r="M98" s="25">
        <f t="shared" si="43"/>
        <v>2013</v>
      </c>
    </row>
    <row r="99">
      <c r="A99" s="20" t="s">
        <v>122</v>
      </c>
      <c r="B99" s="21" t="s">
        <v>12</v>
      </c>
      <c r="C99" s="22" t="s">
        <v>322</v>
      </c>
      <c r="D99" s="21" t="s">
        <v>327</v>
      </c>
      <c r="E99" s="21" t="s">
        <v>328</v>
      </c>
      <c r="F99" s="23">
        <v>71.0</v>
      </c>
      <c r="G99" s="24">
        <f t="shared" si="37"/>
        <v>4260</v>
      </c>
      <c r="H99" s="17">
        <f t="shared" si="38"/>
        <v>8520</v>
      </c>
      <c r="I99" s="17">
        <f t="shared" si="39"/>
        <v>1278</v>
      </c>
      <c r="J99" s="25">
        <f t="shared" si="40"/>
        <v>5538</v>
      </c>
      <c r="K99" s="25">
        <f t="shared" si="41"/>
        <v>5112</v>
      </c>
      <c r="L99" s="25">
        <f t="shared" si="42"/>
        <v>4899</v>
      </c>
      <c r="M99" s="25">
        <f t="shared" si="43"/>
        <v>4686</v>
      </c>
    </row>
    <row r="100">
      <c r="A100" s="20" t="s">
        <v>122</v>
      </c>
      <c r="B100" s="21" t="s">
        <v>12</v>
      </c>
      <c r="C100" s="22" t="s">
        <v>322</v>
      </c>
      <c r="D100" s="21" t="s">
        <v>192</v>
      </c>
      <c r="E100" s="21" t="s">
        <v>329</v>
      </c>
      <c r="F100" s="23">
        <v>72.0</v>
      </c>
      <c r="G100" s="24">
        <f t="shared" si="37"/>
        <v>4320</v>
      </c>
      <c r="H100" s="17">
        <f t="shared" si="38"/>
        <v>8640</v>
      </c>
      <c r="I100" s="17">
        <f t="shared" si="39"/>
        <v>1296</v>
      </c>
      <c r="J100" s="25">
        <f t="shared" si="40"/>
        <v>5616</v>
      </c>
      <c r="K100" s="25">
        <f t="shared" si="41"/>
        <v>5184</v>
      </c>
      <c r="L100" s="25">
        <f t="shared" si="42"/>
        <v>4968</v>
      </c>
      <c r="M100" s="25">
        <f t="shared" si="43"/>
        <v>4752</v>
      </c>
    </row>
    <row r="101">
      <c r="A101" s="20" t="s">
        <v>122</v>
      </c>
      <c r="B101" s="21" t="s">
        <v>12</v>
      </c>
      <c r="C101" s="22" t="s">
        <v>322</v>
      </c>
      <c r="D101" s="21" t="s">
        <v>174</v>
      </c>
      <c r="E101" s="21" t="s">
        <v>175</v>
      </c>
      <c r="F101" s="23">
        <v>72.0</v>
      </c>
      <c r="G101" s="24">
        <f t="shared" si="37"/>
        <v>4320</v>
      </c>
      <c r="H101" s="17">
        <f t="shared" si="38"/>
        <v>8640</v>
      </c>
      <c r="I101" s="17">
        <f t="shared" si="39"/>
        <v>1296</v>
      </c>
      <c r="J101" s="25">
        <f t="shared" si="40"/>
        <v>5616</v>
      </c>
      <c r="K101" s="25">
        <f t="shared" si="41"/>
        <v>5184</v>
      </c>
      <c r="L101" s="25">
        <f t="shared" si="42"/>
        <v>4968</v>
      </c>
      <c r="M101" s="25">
        <f t="shared" si="43"/>
        <v>4752</v>
      </c>
    </row>
    <row r="102">
      <c r="A102" s="20" t="s">
        <v>122</v>
      </c>
      <c r="B102" s="21" t="s">
        <v>12</v>
      </c>
      <c r="C102" s="22" t="s">
        <v>330</v>
      </c>
      <c r="D102" s="22" t="s">
        <v>331</v>
      </c>
      <c r="E102" s="22" t="s">
        <v>332</v>
      </c>
      <c r="F102" s="23">
        <v>111.0</v>
      </c>
      <c r="G102" s="24">
        <f t="shared" si="37"/>
        <v>6660</v>
      </c>
      <c r="H102" s="17">
        <f t="shared" si="38"/>
        <v>13320</v>
      </c>
      <c r="I102" s="17">
        <f t="shared" si="39"/>
        <v>1998</v>
      </c>
      <c r="J102" s="25">
        <f t="shared" si="40"/>
        <v>8658</v>
      </c>
      <c r="K102" s="25">
        <f t="shared" si="41"/>
        <v>7992</v>
      </c>
      <c r="L102" s="25">
        <f t="shared" si="42"/>
        <v>7659</v>
      </c>
      <c r="M102" s="25">
        <f t="shared" si="43"/>
        <v>7326</v>
      </c>
    </row>
    <row r="103">
      <c r="A103" s="20" t="s">
        <v>122</v>
      </c>
      <c r="B103" s="21" t="s">
        <v>12</v>
      </c>
      <c r="C103" s="22" t="s">
        <v>330</v>
      </c>
      <c r="D103" s="22" t="s">
        <v>194</v>
      </c>
      <c r="E103" s="22" t="s">
        <v>195</v>
      </c>
      <c r="F103" s="23">
        <v>63.5</v>
      </c>
      <c r="G103" s="24">
        <f t="shared" si="37"/>
        <v>3810</v>
      </c>
      <c r="H103" s="17">
        <f t="shared" si="38"/>
        <v>7620</v>
      </c>
      <c r="I103" s="17">
        <f t="shared" si="39"/>
        <v>1143</v>
      </c>
      <c r="J103" s="25">
        <f t="shared" si="40"/>
        <v>4953</v>
      </c>
      <c r="K103" s="25">
        <f t="shared" si="41"/>
        <v>4572</v>
      </c>
      <c r="L103" s="25">
        <f t="shared" si="42"/>
        <v>4381.5</v>
      </c>
      <c r="M103" s="25">
        <f t="shared" si="43"/>
        <v>4191</v>
      </c>
    </row>
    <row r="104">
      <c r="A104" s="20" t="s">
        <v>122</v>
      </c>
      <c r="B104" s="21" t="s">
        <v>12</v>
      </c>
      <c r="C104" s="22" t="s">
        <v>330</v>
      </c>
      <c r="D104" s="21" t="s">
        <v>196</v>
      </c>
      <c r="E104" s="21" t="s">
        <v>197</v>
      </c>
      <c r="F104" s="23">
        <v>88.0</v>
      </c>
      <c r="G104" s="24">
        <f t="shared" si="37"/>
        <v>5280</v>
      </c>
      <c r="H104" s="17">
        <f t="shared" si="38"/>
        <v>10560</v>
      </c>
      <c r="I104" s="17">
        <f t="shared" si="39"/>
        <v>1584</v>
      </c>
      <c r="J104" s="25">
        <f t="shared" si="40"/>
        <v>6864</v>
      </c>
      <c r="K104" s="25">
        <f t="shared" si="41"/>
        <v>6336</v>
      </c>
      <c r="L104" s="25">
        <f t="shared" si="42"/>
        <v>6072</v>
      </c>
      <c r="M104" s="25">
        <f t="shared" si="43"/>
        <v>5808</v>
      </c>
    </row>
    <row r="105">
      <c r="A105" s="20" t="s">
        <v>122</v>
      </c>
      <c r="B105" s="21" t="s">
        <v>12</v>
      </c>
      <c r="C105" s="22" t="s">
        <v>330</v>
      </c>
      <c r="D105" s="21" t="s">
        <v>198</v>
      </c>
      <c r="E105" s="21" t="s">
        <v>199</v>
      </c>
      <c r="F105" s="23">
        <v>78.0</v>
      </c>
      <c r="G105" s="24">
        <f t="shared" si="37"/>
        <v>4680</v>
      </c>
      <c r="H105" s="17">
        <f t="shared" si="38"/>
        <v>9360</v>
      </c>
      <c r="I105" s="17">
        <f t="shared" si="39"/>
        <v>1404</v>
      </c>
      <c r="J105" s="25">
        <f t="shared" si="40"/>
        <v>6084</v>
      </c>
      <c r="K105" s="25">
        <f t="shared" si="41"/>
        <v>5616</v>
      </c>
      <c r="L105" s="25">
        <f t="shared" si="42"/>
        <v>5382</v>
      </c>
      <c r="M105" s="25">
        <f t="shared" si="43"/>
        <v>5148</v>
      </c>
    </row>
    <row r="106">
      <c r="A106" s="20" t="s">
        <v>122</v>
      </c>
      <c r="B106" s="21" t="s">
        <v>12</v>
      </c>
      <c r="C106" s="22" t="s">
        <v>330</v>
      </c>
      <c r="D106" s="21" t="s">
        <v>333</v>
      </c>
      <c r="E106" s="21" t="s">
        <v>334</v>
      </c>
      <c r="F106" s="23">
        <v>166.5</v>
      </c>
      <c r="G106" s="24">
        <f t="shared" si="37"/>
        <v>9990</v>
      </c>
      <c r="H106" s="17">
        <f t="shared" si="38"/>
        <v>19980</v>
      </c>
      <c r="I106" s="17">
        <f t="shared" si="39"/>
        <v>2997</v>
      </c>
      <c r="J106" s="25">
        <f t="shared" si="40"/>
        <v>12987</v>
      </c>
      <c r="K106" s="25">
        <f t="shared" si="41"/>
        <v>11988</v>
      </c>
      <c r="L106" s="25">
        <f t="shared" si="42"/>
        <v>11488.5</v>
      </c>
      <c r="M106" s="25">
        <f t="shared" si="43"/>
        <v>10989</v>
      </c>
    </row>
    <row r="107">
      <c r="A107" s="20" t="s">
        <v>122</v>
      </c>
      <c r="B107" s="21" t="s">
        <v>12</v>
      </c>
      <c r="C107" s="22" t="s">
        <v>330</v>
      </c>
      <c r="D107" s="21" t="s">
        <v>335</v>
      </c>
      <c r="E107" s="21" t="s">
        <v>336</v>
      </c>
      <c r="F107" s="23">
        <v>124.5</v>
      </c>
      <c r="G107" s="24">
        <f t="shared" si="37"/>
        <v>7470</v>
      </c>
      <c r="H107" s="17">
        <f t="shared" si="38"/>
        <v>14940</v>
      </c>
      <c r="I107" s="17">
        <f t="shared" si="39"/>
        <v>2241</v>
      </c>
      <c r="J107" s="25">
        <f t="shared" si="40"/>
        <v>9711</v>
      </c>
      <c r="K107" s="25">
        <f t="shared" si="41"/>
        <v>8964</v>
      </c>
      <c r="L107" s="25">
        <f t="shared" si="42"/>
        <v>8590.5</v>
      </c>
      <c r="M107" s="25">
        <f t="shared" si="43"/>
        <v>8217</v>
      </c>
    </row>
    <row r="108">
      <c r="A108" s="20" t="s">
        <v>122</v>
      </c>
      <c r="B108" s="21" t="s">
        <v>12</v>
      </c>
      <c r="C108" s="22" t="s">
        <v>330</v>
      </c>
      <c r="D108" s="21" t="s">
        <v>337</v>
      </c>
      <c r="E108" s="21" t="s">
        <v>338</v>
      </c>
      <c r="F108" s="23" t="s">
        <v>141</v>
      </c>
      <c r="G108" s="23" t="s">
        <v>141</v>
      </c>
      <c r="H108" s="26">
        <v>0.0</v>
      </c>
      <c r="I108" s="26">
        <v>0.0</v>
      </c>
      <c r="J108" s="26">
        <v>0.0</v>
      </c>
      <c r="K108" s="26">
        <v>0.0</v>
      </c>
      <c r="L108" s="26">
        <v>0.0</v>
      </c>
      <c r="M108" s="26">
        <v>0.0</v>
      </c>
    </row>
    <row r="109">
      <c r="A109" s="20" t="s">
        <v>122</v>
      </c>
      <c r="B109" s="21" t="s">
        <v>12</v>
      </c>
      <c r="C109" s="22" t="s">
        <v>330</v>
      </c>
      <c r="D109" s="21" t="s">
        <v>339</v>
      </c>
      <c r="E109" s="21" t="s">
        <v>340</v>
      </c>
      <c r="F109" s="23">
        <v>103.5</v>
      </c>
      <c r="G109" s="24">
        <f t="shared" ref="G109:G154" si="44">F109*60</f>
        <v>6210</v>
      </c>
      <c r="H109" s="17">
        <f t="shared" ref="H109:H154" si="45">G109*2</f>
        <v>12420</v>
      </c>
      <c r="I109" s="17">
        <f t="shared" ref="I109:I154" si="46">G109*0.3</f>
        <v>1863</v>
      </c>
      <c r="J109" s="25">
        <f t="shared" ref="J109:J154" si="47">G109*1.3</f>
        <v>8073</v>
      </c>
      <c r="K109" s="25">
        <f t="shared" ref="K109:K154" si="48">G109*1.2</f>
        <v>7452</v>
      </c>
      <c r="L109" s="25">
        <f t="shared" ref="L109:L154" si="49">G109*1.15</f>
        <v>7141.5</v>
      </c>
      <c r="M109" s="25">
        <f t="shared" ref="M109:M154" si="50">G109*1.1</f>
        <v>6831</v>
      </c>
    </row>
    <row r="110">
      <c r="A110" s="20" t="s">
        <v>122</v>
      </c>
      <c r="B110" s="21" t="s">
        <v>12</v>
      </c>
      <c r="C110" s="22" t="s">
        <v>341</v>
      </c>
      <c r="D110" s="22" t="s">
        <v>342</v>
      </c>
      <c r="E110" s="22" t="s">
        <v>343</v>
      </c>
      <c r="F110" s="23">
        <v>142.0</v>
      </c>
      <c r="G110" s="24">
        <f t="shared" si="44"/>
        <v>8520</v>
      </c>
      <c r="H110" s="17">
        <f t="shared" si="45"/>
        <v>17040</v>
      </c>
      <c r="I110" s="17">
        <f t="shared" si="46"/>
        <v>2556</v>
      </c>
      <c r="J110" s="25">
        <f t="shared" si="47"/>
        <v>11076</v>
      </c>
      <c r="K110" s="25">
        <f t="shared" si="48"/>
        <v>10224</v>
      </c>
      <c r="L110" s="25">
        <f t="shared" si="49"/>
        <v>9798</v>
      </c>
      <c r="M110" s="25">
        <f t="shared" si="50"/>
        <v>9372</v>
      </c>
    </row>
    <row r="111">
      <c r="A111" s="20" t="s">
        <v>122</v>
      </c>
      <c r="B111" s="21" t="s">
        <v>12</v>
      </c>
      <c r="C111" s="22" t="s">
        <v>341</v>
      </c>
      <c r="D111" s="22" t="s">
        <v>344</v>
      </c>
      <c r="E111" s="22" t="s">
        <v>345</v>
      </c>
      <c r="F111" s="23">
        <v>102.0</v>
      </c>
      <c r="G111" s="24">
        <f t="shared" si="44"/>
        <v>6120</v>
      </c>
      <c r="H111" s="17">
        <f t="shared" si="45"/>
        <v>12240</v>
      </c>
      <c r="I111" s="17">
        <f t="shared" si="46"/>
        <v>1836</v>
      </c>
      <c r="J111" s="25">
        <f t="shared" si="47"/>
        <v>7956</v>
      </c>
      <c r="K111" s="25">
        <f t="shared" si="48"/>
        <v>7344</v>
      </c>
      <c r="L111" s="25">
        <f t="shared" si="49"/>
        <v>7038</v>
      </c>
      <c r="M111" s="25">
        <f t="shared" si="50"/>
        <v>6732</v>
      </c>
    </row>
    <row r="112">
      <c r="A112" s="20" t="s">
        <v>122</v>
      </c>
      <c r="B112" s="21" t="s">
        <v>12</v>
      </c>
      <c r="C112" s="22" t="s">
        <v>341</v>
      </c>
      <c r="D112" s="22" t="s">
        <v>346</v>
      </c>
      <c r="E112" s="22" t="s">
        <v>347</v>
      </c>
      <c r="F112" s="23">
        <v>102.0</v>
      </c>
      <c r="G112" s="24">
        <f t="shared" si="44"/>
        <v>6120</v>
      </c>
      <c r="H112" s="17">
        <f t="shared" si="45"/>
        <v>12240</v>
      </c>
      <c r="I112" s="17">
        <f t="shared" si="46"/>
        <v>1836</v>
      </c>
      <c r="J112" s="25">
        <f t="shared" si="47"/>
        <v>7956</v>
      </c>
      <c r="K112" s="25">
        <f t="shared" si="48"/>
        <v>7344</v>
      </c>
      <c r="L112" s="25">
        <f t="shared" si="49"/>
        <v>7038</v>
      </c>
      <c r="M112" s="25">
        <f t="shared" si="50"/>
        <v>6732</v>
      </c>
    </row>
    <row r="113">
      <c r="A113" s="20" t="s">
        <v>122</v>
      </c>
      <c r="B113" s="21" t="s">
        <v>12</v>
      </c>
      <c r="C113" s="22" t="s">
        <v>348</v>
      </c>
      <c r="D113" s="22" t="s">
        <v>349</v>
      </c>
      <c r="E113" s="22" t="s">
        <v>350</v>
      </c>
      <c r="F113" s="27">
        <v>4.0</v>
      </c>
      <c r="G113" s="24">
        <f t="shared" si="44"/>
        <v>240</v>
      </c>
      <c r="H113" s="17">
        <f t="shared" si="45"/>
        <v>480</v>
      </c>
      <c r="I113" s="17">
        <f t="shared" si="46"/>
        <v>72</v>
      </c>
      <c r="J113" s="25">
        <f t="shared" si="47"/>
        <v>312</v>
      </c>
      <c r="K113" s="25">
        <f t="shared" si="48"/>
        <v>288</v>
      </c>
      <c r="L113" s="25">
        <f t="shared" si="49"/>
        <v>276</v>
      </c>
      <c r="M113" s="25">
        <f t="shared" si="50"/>
        <v>264</v>
      </c>
    </row>
    <row r="114">
      <c r="A114" s="20" t="s">
        <v>122</v>
      </c>
      <c r="B114" s="21" t="s">
        <v>12</v>
      </c>
      <c r="C114" s="22" t="s">
        <v>348</v>
      </c>
      <c r="D114" s="22" t="s">
        <v>351</v>
      </c>
      <c r="E114" s="22" t="s">
        <v>352</v>
      </c>
      <c r="F114" s="27">
        <v>2.0</v>
      </c>
      <c r="G114" s="24">
        <f t="shared" si="44"/>
        <v>120</v>
      </c>
      <c r="H114" s="17">
        <f t="shared" si="45"/>
        <v>240</v>
      </c>
      <c r="I114" s="17">
        <f t="shared" si="46"/>
        <v>36</v>
      </c>
      <c r="J114" s="25">
        <f t="shared" si="47"/>
        <v>156</v>
      </c>
      <c r="K114" s="25">
        <f t="shared" si="48"/>
        <v>144</v>
      </c>
      <c r="L114" s="25">
        <f t="shared" si="49"/>
        <v>138</v>
      </c>
      <c r="M114" s="25">
        <f t="shared" si="50"/>
        <v>132</v>
      </c>
    </row>
    <row r="115">
      <c r="A115" s="20" t="s">
        <v>122</v>
      </c>
      <c r="B115" s="21" t="s">
        <v>12</v>
      </c>
      <c r="C115" s="22" t="s">
        <v>353</v>
      </c>
      <c r="D115" s="22" t="s">
        <v>354</v>
      </c>
      <c r="E115" s="22" t="s">
        <v>355</v>
      </c>
      <c r="F115" s="23">
        <v>13.5</v>
      </c>
      <c r="G115" s="24">
        <f t="shared" si="44"/>
        <v>810</v>
      </c>
      <c r="H115" s="17">
        <f t="shared" si="45"/>
        <v>1620</v>
      </c>
      <c r="I115" s="17">
        <f t="shared" si="46"/>
        <v>243</v>
      </c>
      <c r="J115" s="25">
        <f t="shared" si="47"/>
        <v>1053</v>
      </c>
      <c r="K115" s="25">
        <f t="shared" si="48"/>
        <v>972</v>
      </c>
      <c r="L115" s="25">
        <f t="shared" si="49"/>
        <v>931.5</v>
      </c>
      <c r="M115" s="25">
        <f t="shared" si="50"/>
        <v>891</v>
      </c>
    </row>
    <row r="116">
      <c r="A116" s="20" t="s">
        <v>122</v>
      </c>
      <c r="B116" s="21" t="s">
        <v>12</v>
      </c>
      <c r="C116" s="22" t="s">
        <v>353</v>
      </c>
      <c r="D116" s="22" t="s">
        <v>356</v>
      </c>
      <c r="E116" s="22" t="s">
        <v>357</v>
      </c>
      <c r="F116" s="23">
        <v>14.0</v>
      </c>
      <c r="G116" s="24">
        <f t="shared" si="44"/>
        <v>840</v>
      </c>
      <c r="H116" s="17">
        <f t="shared" si="45"/>
        <v>1680</v>
      </c>
      <c r="I116" s="17">
        <f t="shared" si="46"/>
        <v>252</v>
      </c>
      <c r="J116" s="25">
        <f t="shared" si="47"/>
        <v>1092</v>
      </c>
      <c r="K116" s="25">
        <f t="shared" si="48"/>
        <v>1008</v>
      </c>
      <c r="L116" s="25">
        <f t="shared" si="49"/>
        <v>966</v>
      </c>
      <c r="M116" s="25">
        <f t="shared" si="50"/>
        <v>924</v>
      </c>
    </row>
    <row r="117">
      <c r="A117" s="20" t="s">
        <v>122</v>
      </c>
      <c r="B117" s="21" t="s">
        <v>12</v>
      </c>
      <c r="C117" s="22" t="s">
        <v>353</v>
      </c>
      <c r="D117" s="22" t="s">
        <v>358</v>
      </c>
      <c r="E117" s="22" t="s">
        <v>359</v>
      </c>
      <c r="F117" s="23">
        <v>35.0</v>
      </c>
      <c r="G117" s="24">
        <f t="shared" si="44"/>
        <v>2100</v>
      </c>
      <c r="H117" s="17">
        <f t="shared" si="45"/>
        <v>4200</v>
      </c>
      <c r="I117" s="17">
        <f t="shared" si="46"/>
        <v>630</v>
      </c>
      <c r="J117" s="25">
        <f t="shared" si="47"/>
        <v>2730</v>
      </c>
      <c r="K117" s="25">
        <f t="shared" si="48"/>
        <v>2520</v>
      </c>
      <c r="L117" s="25">
        <f t="shared" si="49"/>
        <v>2415</v>
      </c>
      <c r="M117" s="25">
        <f t="shared" si="50"/>
        <v>2310</v>
      </c>
    </row>
    <row r="118">
      <c r="A118" s="20" t="s">
        <v>122</v>
      </c>
      <c r="B118" s="21" t="s">
        <v>12</v>
      </c>
      <c r="C118" s="22" t="s">
        <v>360</v>
      </c>
      <c r="D118" s="22" t="s">
        <v>361</v>
      </c>
      <c r="E118" s="22" t="s">
        <v>362</v>
      </c>
      <c r="F118" s="23">
        <v>34.5</v>
      </c>
      <c r="G118" s="24">
        <f t="shared" si="44"/>
        <v>2070</v>
      </c>
      <c r="H118" s="17">
        <f t="shared" si="45"/>
        <v>4140</v>
      </c>
      <c r="I118" s="17">
        <f t="shared" si="46"/>
        <v>621</v>
      </c>
      <c r="J118" s="25">
        <f t="shared" si="47"/>
        <v>2691</v>
      </c>
      <c r="K118" s="25">
        <f t="shared" si="48"/>
        <v>2484</v>
      </c>
      <c r="L118" s="25">
        <f t="shared" si="49"/>
        <v>2380.5</v>
      </c>
      <c r="M118" s="25">
        <f t="shared" si="50"/>
        <v>2277</v>
      </c>
    </row>
    <row r="119">
      <c r="A119" s="20" t="s">
        <v>122</v>
      </c>
      <c r="B119" s="21" t="s">
        <v>12</v>
      </c>
      <c r="C119" s="22" t="s">
        <v>360</v>
      </c>
      <c r="D119" s="22" t="s">
        <v>363</v>
      </c>
      <c r="E119" s="22" t="s">
        <v>364</v>
      </c>
      <c r="F119" s="23">
        <v>15.0</v>
      </c>
      <c r="G119" s="24">
        <f t="shared" si="44"/>
        <v>900</v>
      </c>
      <c r="H119" s="17">
        <f t="shared" si="45"/>
        <v>1800</v>
      </c>
      <c r="I119" s="17">
        <f t="shared" si="46"/>
        <v>270</v>
      </c>
      <c r="J119" s="25">
        <f t="shared" si="47"/>
        <v>1170</v>
      </c>
      <c r="K119" s="25">
        <f t="shared" si="48"/>
        <v>1080</v>
      </c>
      <c r="L119" s="25">
        <f t="shared" si="49"/>
        <v>1035</v>
      </c>
      <c r="M119" s="25">
        <f t="shared" si="50"/>
        <v>990</v>
      </c>
    </row>
    <row r="120">
      <c r="A120" s="20" t="s">
        <v>122</v>
      </c>
      <c r="B120" s="21" t="s">
        <v>12</v>
      </c>
      <c r="C120" s="22" t="s">
        <v>360</v>
      </c>
      <c r="D120" s="22" t="s">
        <v>365</v>
      </c>
      <c r="E120" s="22" t="s">
        <v>366</v>
      </c>
      <c r="F120" s="23">
        <v>18.0</v>
      </c>
      <c r="G120" s="24">
        <f t="shared" si="44"/>
        <v>1080</v>
      </c>
      <c r="H120" s="17">
        <f t="shared" si="45"/>
        <v>2160</v>
      </c>
      <c r="I120" s="17">
        <f t="shared" si="46"/>
        <v>324</v>
      </c>
      <c r="J120" s="25">
        <f t="shared" si="47"/>
        <v>1404</v>
      </c>
      <c r="K120" s="25">
        <f t="shared" si="48"/>
        <v>1296</v>
      </c>
      <c r="L120" s="25">
        <f t="shared" si="49"/>
        <v>1242</v>
      </c>
      <c r="M120" s="25">
        <f t="shared" si="50"/>
        <v>1188</v>
      </c>
    </row>
    <row r="121">
      <c r="A121" s="20" t="s">
        <v>122</v>
      </c>
      <c r="B121" s="21" t="s">
        <v>12</v>
      </c>
      <c r="C121" s="22" t="s">
        <v>360</v>
      </c>
      <c r="D121" s="22" t="s">
        <v>367</v>
      </c>
      <c r="E121" s="22" t="s">
        <v>368</v>
      </c>
      <c r="F121" s="23">
        <v>23.0</v>
      </c>
      <c r="G121" s="24">
        <f t="shared" si="44"/>
        <v>1380</v>
      </c>
      <c r="H121" s="17">
        <f t="shared" si="45"/>
        <v>2760</v>
      </c>
      <c r="I121" s="17">
        <f t="shared" si="46"/>
        <v>414</v>
      </c>
      <c r="J121" s="25">
        <f t="shared" si="47"/>
        <v>1794</v>
      </c>
      <c r="K121" s="25">
        <f t="shared" si="48"/>
        <v>1656</v>
      </c>
      <c r="L121" s="25">
        <f t="shared" si="49"/>
        <v>1587</v>
      </c>
      <c r="M121" s="25">
        <f t="shared" si="50"/>
        <v>1518</v>
      </c>
    </row>
    <row r="122">
      <c r="A122" s="20" t="s">
        <v>122</v>
      </c>
      <c r="B122" s="21" t="s">
        <v>12</v>
      </c>
      <c r="C122" s="22" t="s">
        <v>360</v>
      </c>
      <c r="D122" s="22" t="s">
        <v>369</v>
      </c>
      <c r="E122" s="22" t="s">
        <v>370</v>
      </c>
      <c r="F122" s="23">
        <v>28.5</v>
      </c>
      <c r="G122" s="24">
        <f t="shared" si="44"/>
        <v>1710</v>
      </c>
      <c r="H122" s="17">
        <f t="shared" si="45"/>
        <v>3420</v>
      </c>
      <c r="I122" s="17">
        <f t="shared" si="46"/>
        <v>513</v>
      </c>
      <c r="J122" s="25">
        <f t="shared" si="47"/>
        <v>2223</v>
      </c>
      <c r="K122" s="25">
        <f t="shared" si="48"/>
        <v>2052</v>
      </c>
      <c r="L122" s="25">
        <f t="shared" si="49"/>
        <v>1966.5</v>
      </c>
      <c r="M122" s="25">
        <f t="shared" si="50"/>
        <v>1881</v>
      </c>
    </row>
    <row r="123">
      <c r="A123" s="20" t="s">
        <v>122</v>
      </c>
      <c r="B123" s="21" t="s">
        <v>12</v>
      </c>
      <c r="C123" s="22" t="s">
        <v>360</v>
      </c>
      <c r="D123" s="22" t="s">
        <v>371</v>
      </c>
      <c r="E123" s="22" t="s">
        <v>372</v>
      </c>
      <c r="F123" s="23">
        <v>101.0</v>
      </c>
      <c r="G123" s="24">
        <f t="shared" si="44"/>
        <v>6060</v>
      </c>
      <c r="H123" s="17">
        <f t="shared" si="45"/>
        <v>12120</v>
      </c>
      <c r="I123" s="17">
        <f t="shared" si="46"/>
        <v>1818</v>
      </c>
      <c r="J123" s="25">
        <f t="shared" si="47"/>
        <v>7878</v>
      </c>
      <c r="K123" s="25">
        <f t="shared" si="48"/>
        <v>7272</v>
      </c>
      <c r="L123" s="25">
        <f t="shared" si="49"/>
        <v>6969</v>
      </c>
      <c r="M123" s="25">
        <f t="shared" si="50"/>
        <v>6666</v>
      </c>
    </row>
    <row r="124">
      <c r="A124" s="20" t="s">
        <v>122</v>
      </c>
      <c r="B124" s="21" t="s">
        <v>12</v>
      </c>
      <c r="C124" s="22" t="s">
        <v>360</v>
      </c>
      <c r="D124" s="22" t="s">
        <v>373</v>
      </c>
      <c r="E124" s="22" t="s">
        <v>374</v>
      </c>
      <c r="F124" s="23">
        <v>41.5</v>
      </c>
      <c r="G124" s="24">
        <f t="shared" si="44"/>
        <v>2490</v>
      </c>
      <c r="H124" s="17">
        <f t="shared" si="45"/>
        <v>4980</v>
      </c>
      <c r="I124" s="17">
        <f t="shared" si="46"/>
        <v>747</v>
      </c>
      <c r="J124" s="25">
        <f t="shared" si="47"/>
        <v>3237</v>
      </c>
      <c r="K124" s="25">
        <f t="shared" si="48"/>
        <v>2988</v>
      </c>
      <c r="L124" s="25">
        <f t="shared" si="49"/>
        <v>2863.5</v>
      </c>
      <c r="M124" s="25">
        <f t="shared" si="50"/>
        <v>2739</v>
      </c>
    </row>
    <row r="125">
      <c r="A125" s="20" t="s">
        <v>122</v>
      </c>
      <c r="B125" s="21" t="s">
        <v>12</v>
      </c>
      <c r="C125" s="22" t="s">
        <v>360</v>
      </c>
      <c r="D125" s="22" t="s">
        <v>375</v>
      </c>
      <c r="E125" s="22" t="s">
        <v>376</v>
      </c>
      <c r="F125" s="23">
        <v>74.0</v>
      </c>
      <c r="G125" s="24">
        <f t="shared" si="44"/>
        <v>4440</v>
      </c>
      <c r="H125" s="17">
        <f t="shared" si="45"/>
        <v>8880</v>
      </c>
      <c r="I125" s="17">
        <f t="shared" si="46"/>
        <v>1332</v>
      </c>
      <c r="J125" s="25">
        <f t="shared" si="47"/>
        <v>5772</v>
      </c>
      <c r="K125" s="25">
        <f t="shared" si="48"/>
        <v>5328</v>
      </c>
      <c r="L125" s="25">
        <f t="shared" si="49"/>
        <v>5106</v>
      </c>
      <c r="M125" s="25">
        <f t="shared" si="50"/>
        <v>4884</v>
      </c>
    </row>
    <row r="126">
      <c r="A126" s="20" t="s">
        <v>122</v>
      </c>
      <c r="B126" s="21" t="s">
        <v>12</v>
      </c>
      <c r="C126" s="22" t="s">
        <v>360</v>
      </c>
      <c r="D126" s="21" t="s">
        <v>318</v>
      </c>
      <c r="E126" s="21" t="s">
        <v>319</v>
      </c>
      <c r="F126" s="23">
        <v>124.5</v>
      </c>
      <c r="G126" s="24">
        <f t="shared" si="44"/>
        <v>7470</v>
      </c>
      <c r="H126" s="17">
        <f t="shared" si="45"/>
        <v>14940</v>
      </c>
      <c r="I126" s="17">
        <f t="shared" si="46"/>
        <v>2241</v>
      </c>
      <c r="J126" s="25">
        <f t="shared" si="47"/>
        <v>9711</v>
      </c>
      <c r="K126" s="25">
        <f t="shared" si="48"/>
        <v>8964</v>
      </c>
      <c r="L126" s="25">
        <f t="shared" si="49"/>
        <v>8590.5</v>
      </c>
      <c r="M126" s="25">
        <f t="shared" si="50"/>
        <v>8217</v>
      </c>
    </row>
    <row r="127">
      <c r="A127" s="20" t="s">
        <v>122</v>
      </c>
      <c r="B127" s="21" t="s">
        <v>12</v>
      </c>
      <c r="C127" s="22" t="s">
        <v>360</v>
      </c>
      <c r="D127" s="21" t="s">
        <v>320</v>
      </c>
      <c r="E127" s="21" t="s">
        <v>377</v>
      </c>
      <c r="F127" s="23">
        <v>218.5</v>
      </c>
      <c r="G127" s="24">
        <f t="shared" si="44"/>
        <v>13110</v>
      </c>
      <c r="H127" s="17">
        <f t="shared" si="45"/>
        <v>26220</v>
      </c>
      <c r="I127" s="17">
        <f t="shared" si="46"/>
        <v>3933</v>
      </c>
      <c r="J127" s="25">
        <f t="shared" si="47"/>
        <v>17043</v>
      </c>
      <c r="K127" s="25">
        <f t="shared" si="48"/>
        <v>15732</v>
      </c>
      <c r="L127" s="25">
        <f t="shared" si="49"/>
        <v>15076.5</v>
      </c>
      <c r="M127" s="25">
        <f t="shared" si="50"/>
        <v>14421</v>
      </c>
    </row>
    <row r="128">
      <c r="A128" s="20" t="s">
        <v>122</v>
      </c>
      <c r="B128" s="21" t="s">
        <v>12</v>
      </c>
      <c r="C128" s="22" t="s">
        <v>378</v>
      </c>
      <c r="D128" s="22" t="s">
        <v>379</v>
      </c>
      <c r="E128" s="22" t="s">
        <v>380</v>
      </c>
      <c r="F128" s="23">
        <v>30.0</v>
      </c>
      <c r="G128" s="24">
        <f t="shared" si="44"/>
        <v>1800</v>
      </c>
      <c r="H128" s="17">
        <f t="shared" si="45"/>
        <v>3600</v>
      </c>
      <c r="I128" s="17">
        <f t="shared" si="46"/>
        <v>540</v>
      </c>
      <c r="J128" s="25">
        <f t="shared" si="47"/>
        <v>2340</v>
      </c>
      <c r="K128" s="25">
        <f t="shared" si="48"/>
        <v>2160</v>
      </c>
      <c r="L128" s="25">
        <f t="shared" si="49"/>
        <v>2070</v>
      </c>
      <c r="M128" s="25">
        <f t="shared" si="50"/>
        <v>1980</v>
      </c>
    </row>
    <row r="129">
      <c r="A129" s="20" t="s">
        <v>122</v>
      </c>
      <c r="B129" s="21" t="s">
        <v>12</v>
      </c>
      <c r="C129" s="22" t="s">
        <v>378</v>
      </c>
      <c r="D129" s="22" t="s">
        <v>381</v>
      </c>
      <c r="E129" s="22" t="s">
        <v>382</v>
      </c>
      <c r="F129" s="23">
        <v>101.0</v>
      </c>
      <c r="G129" s="24">
        <f t="shared" si="44"/>
        <v>6060</v>
      </c>
      <c r="H129" s="17">
        <f t="shared" si="45"/>
        <v>12120</v>
      </c>
      <c r="I129" s="17">
        <f t="shared" si="46"/>
        <v>1818</v>
      </c>
      <c r="J129" s="25">
        <f t="shared" si="47"/>
        <v>7878</v>
      </c>
      <c r="K129" s="25">
        <f t="shared" si="48"/>
        <v>7272</v>
      </c>
      <c r="L129" s="25">
        <f t="shared" si="49"/>
        <v>6969</v>
      </c>
      <c r="M129" s="25">
        <f t="shared" si="50"/>
        <v>6666</v>
      </c>
    </row>
    <row r="130">
      <c r="A130" s="20" t="s">
        <v>122</v>
      </c>
      <c r="B130" s="21" t="s">
        <v>12</v>
      </c>
      <c r="C130" s="22" t="s">
        <v>378</v>
      </c>
      <c r="D130" s="22">
        <v>950.0</v>
      </c>
      <c r="E130" s="22" t="s">
        <v>383</v>
      </c>
      <c r="F130" s="23">
        <v>96.0</v>
      </c>
      <c r="G130" s="24">
        <f t="shared" si="44"/>
        <v>5760</v>
      </c>
      <c r="H130" s="17">
        <f t="shared" si="45"/>
        <v>11520</v>
      </c>
      <c r="I130" s="17">
        <f t="shared" si="46"/>
        <v>1728</v>
      </c>
      <c r="J130" s="25">
        <f t="shared" si="47"/>
        <v>7488</v>
      </c>
      <c r="K130" s="25">
        <f t="shared" si="48"/>
        <v>6912</v>
      </c>
      <c r="L130" s="25">
        <f t="shared" si="49"/>
        <v>6624</v>
      </c>
      <c r="M130" s="25">
        <f t="shared" si="50"/>
        <v>6336</v>
      </c>
    </row>
    <row r="131">
      <c r="A131" s="20" t="s">
        <v>122</v>
      </c>
      <c r="B131" s="21" t="s">
        <v>12</v>
      </c>
      <c r="C131" s="22" t="s">
        <v>378</v>
      </c>
      <c r="D131" s="21" t="s">
        <v>384</v>
      </c>
      <c r="E131" s="21" t="s">
        <v>385</v>
      </c>
      <c r="F131" s="23">
        <v>83.0</v>
      </c>
      <c r="G131" s="24">
        <f t="shared" si="44"/>
        <v>4980</v>
      </c>
      <c r="H131" s="17">
        <f t="shared" si="45"/>
        <v>9960</v>
      </c>
      <c r="I131" s="17">
        <f t="shared" si="46"/>
        <v>1494</v>
      </c>
      <c r="J131" s="25">
        <f t="shared" si="47"/>
        <v>6474</v>
      </c>
      <c r="K131" s="25">
        <f t="shared" si="48"/>
        <v>5976</v>
      </c>
      <c r="L131" s="25">
        <f t="shared" si="49"/>
        <v>5727</v>
      </c>
      <c r="M131" s="25">
        <f t="shared" si="50"/>
        <v>5478</v>
      </c>
    </row>
    <row r="132">
      <c r="A132" s="20" t="s">
        <v>122</v>
      </c>
      <c r="B132" s="21" t="s">
        <v>12</v>
      </c>
      <c r="C132" s="22" t="s">
        <v>378</v>
      </c>
      <c r="D132" s="21" t="s">
        <v>386</v>
      </c>
      <c r="E132" s="21" t="s">
        <v>387</v>
      </c>
      <c r="F132" s="23">
        <v>26.0</v>
      </c>
      <c r="G132" s="24">
        <f t="shared" si="44"/>
        <v>1560</v>
      </c>
      <c r="H132" s="17">
        <f t="shared" si="45"/>
        <v>3120</v>
      </c>
      <c r="I132" s="17">
        <f t="shared" si="46"/>
        <v>468</v>
      </c>
      <c r="J132" s="25">
        <f t="shared" si="47"/>
        <v>2028</v>
      </c>
      <c r="K132" s="25">
        <f t="shared" si="48"/>
        <v>1872</v>
      </c>
      <c r="L132" s="25">
        <f t="shared" si="49"/>
        <v>1794</v>
      </c>
      <c r="M132" s="25">
        <f t="shared" si="50"/>
        <v>1716</v>
      </c>
    </row>
    <row r="133">
      <c r="A133" s="20" t="s">
        <v>122</v>
      </c>
      <c r="B133" s="21" t="s">
        <v>12</v>
      </c>
      <c r="C133" s="22" t="s">
        <v>388</v>
      </c>
      <c r="D133" s="22" t="s">
        <v>389</v>
      </c>
      <c r="E133" s="22" t="s">
        <v>390</v>
      </c>
      <c r="F133" s="27">
        <v>11.0</v>
      </c>
      <c r="G133" s="24">
        <f t="shared" si="44"/>
        <v>660</v>
      </c>
      <c r="H133" s="17">
        <f t="shared" si="45"/>
        <v>1320</v>
      </c>
      <c r="I133" s="17">
        <f t="shared" si="46"/>
        <v>198</v>
      </c>
      <c r="J133" s="25">
        <f t="shared" si="47"/>
        <v>858</v>
      </c>
      <c r="K133" s="25">
        <f t="shared" si="48"/>
        <v>792</v>
      </c>
      <c r="L133" s="25">
        <f t="shared" si="49"/>
        <v>759</v>
      </c>
      <c r="M133" s="25">
        <f t="shared" si="50"/>
        <v>726</v>
      </c>
    </row>
    <row r="134">
      <c r="A134" s="20" t="s">
        <v>122</v>
      </c>
      <c r="B134" s="21" t="s">
        <v>12</v>
      </c>
      <c r="C134" s="22" t="s">
        <v>388</v>
      </c>
      <c r="D134" s="21" t="s">
        <v>391</v>
      </c>
      <c r="E134" s="21" t="s">
        <v>392</v>
      </c>
      <c r="F134" s="23">
        <v>13.0</v>
      </c>
      <c r="G134" s="24">
        <f t="shared" si="44"/>
        <v>780</v>
      </c>
      <c r="H134" s="17">
        <f t="shared" si="45"/>
        <v>1560</v>
      </c>
      <c r="I134" s="17">
        <f t="shared" si="46"/>
        <v>234</v>
      </c>
      <c r="J134" s="25">
        <f t="shared" si="47"/>
        <v>1014</v>
      </c>
      <c r="K134" s="25">
        <f t="shared" si="48"/>
        <v>936</v>
      </c>
      <c r="L134" s="25">
        <f t="shared" si="49"/>
        <v>897</v>
      </c>
      <c r="M134" s="25">
        <f t="shared" si="50"/>
        <v>858</v>
      </c>
    </row>
    <row r="135">
      <c r="A135" s="20" t="s">
        <v>122</v>
      </c>
      <c r="B135" s="21" t="s">
        <v>12</v>
      </c>
      <c r="C135" s="22" t="s">
        <v>388</v>
      </c>
      <c r="D135" s="21" t="s">
        <v>393</v>
      </c>
      <c r="E135" s="21" t="s">
        <v>394</v>
      </c>
      <c r="F135" s="23">
        <v>11.0</v>
      </c>
      <c r="G135" s="24">
        <f t="shared" si="44"/>
        <v>660</v>
      </c>
      <c r="H135" s="17">
        <f t="shared" si="45"/>
        <v>1320</v>
      </c>
      <c r="I135" s="17">
        <f t="shared" si="46"/>
        <v>198</v>
      </c>
      <c r="J135" s="25">
        <f t="shared" si="47"/>
        <v>858</v>
      </c>
      <c r="K135" s="25">
        <f t="shared" si="48"/>
        <v>792</v>
      </c>
      <c r="L135" s="25">
        <f t="shared" si="49"/>
        <v>759</v>
      </c>
      <c r="M135" s="25">
        <f t="shared" si="50"/>
        <v>726</v>
      </c>
    </row>
    <row r="136">
      <c r="A136" s="20" t="s">
        <v>122</v>
      </c>
      <c r="B136" s="21" t="s">
        <v>12</v>
      </c>
      <c r="C136" s="22" t="s">
        <v>388</v>
      </c>
      <c r="D136" s="21" t="s">
        <v>395</v>
      </c>
      <c r="E136" s="21" t="s">
        <v>396</v>
      </c>
      <c r="F136" s="23">
        <v>13.0</v>
      </c>
      <c r="G136" s="24">
        <f t="shared" si="44"/>
        <v>780</v>
      </c>
      <c r="H136" s="17">
        <f t="shared" si="45"/>
        <v>1560</v>
      </c>
      <c r="I136" s="17">
        <f t="shared" si="46"/>
        <v>234</v>
      </c>
      <c r="J136" s="25">
        <f t="shared" si="47"/>
        <v>1014</v>
      </c>
      <c r="K136" s="25">
        <f t="shared" si="48"/>
        <v>936</v>
      </c>
      <c r="L136" s="25">
        <f t="shared" si="49"/>
        <v>897</v>
      </c>
      <c r="M136" s="25">
        <f t="shared" si="50"/>
        <v>858</v>
      </c>
    </row>
    <row r="137">
      <c r="A137" s="20" t="s">
        <v>122</v>
      </c>
      <c r="B137" s="21" t="s">
        <v>12</v>
      </c>
      <c r="C137" s="22" t="s">
        <v>388</v>
      </c>
      <c r="D137" s="21" t="s">
        <v>397</v>
      </c>
      <c r="E137" s="21" t="s">
        <v>398</v>
      </c>
      <c r="F137" s="23">
        <v>6.0</v>
      </c>
      <c r="G137" s="24">
        <f t="shared" si="44"/>
        <v>360</v>
      </c>
      <c r="H137" s="17">
        <f t="shared" si="45"/>
        <v>720</v>
      </c>
      <c r="I137" s="17">
        <f t="shared" si="46"/>
        <v>108</v>
      </c>
      <c r="J137" s="25">
        <f t="shared" si="47"/>
        <v>468</v>
      </c>
      <c r="K137" s="25">
        <f t="shared" si="48"/>
        <v>432</v>
      </c>
      <c r="L137" s="25">
        <f t="shared" si="49"/>
        <v>414</v>
      </c>
      <c r="M137" s="25">
        <f t="shared" si="50"/>
        <v>396</v>
      </c>
    </row>
    <row r="138">
      <c r="A138" s="20" t="s">
        <v>122</v>
      </c>
      <c r="B138" s="21" t="s">
        <v>12</v>
      </c>
      <c r="C138" s="22" t="s">
        <v>388</v>
      </c>
      <c r="D138" s="21" t="s">
        <v>399</v>
      </c>
      <c r="E138" s="21" t="s">
        <v>400</v>
      </c>
      <c r="F138" s="23">
        <v>11.5</v>
      </c>
      <c r="G138" s="24">
        <f t="shared" si="44"/>
        <v>690</v>
      </c>
      <c r="H138" s="17">
        <f t="shared" si="45"/>
        <v>1380</v>
      </c>
      <c r="I138" s="17">
        <f t="shared" si="46"/>
        <v>207</v>
      </c>
      <c r="J138" s="25">
        <f t="shared" si="47"/>
        <v>897</v>
      </c>
      <c r="K138" s="25">
        <f t="shared" si="48"/>
        <v>828</v>
      </c>
      <c r="L138" s="25">
        <f t="shared" si="49"/>
        <v>793.5</v>
      </c>
      <c r="M138" s="25">
        <f t="shared" si="50"/>
        <v>759</v>
      </c>
    </row>
    <row r="139">
      <c r="A139" s="20" t="s">
        <v>122</v>
      </c>
      <c r="B139" s="21" t="s">
        <v>12</v>
      </c>
      <c r="C139" s="22" t="s">
        <v>401</v>
      </c>
      <c r="D139" s="22" t="s">
        <v>402</v>
      </c>
      <c r="E139" s="22" t="s">
        <v>403</v>
      </c>
      <c r="F139" s="23">
        <v>7.0</v>
      </c>
      <c r="G139" s="24">
        <f t="shared" si="44"/>
        <v>420</v>
      </c>
      <c r="H139" s="17">
        <f t="shared" si="45"/>
        <v>840</v>
      </c>
      <c r="I139" s="17">
        <f t="shared" si="46"/>
        <v>126</v>
      </c>
      <c r="J139" s="25">
        <f t="shared" si="47"/>
        <v>546</v>
      </c>
      <c r="K139" s="25">
        <f t="shared" si="48"/>
        <v>504</v>
      </c>
      <c r="L139" s="25">
        <f t="shared" si="49"/>
        <v>483</v>
      </c>
      <c r="M139" s="25">
        <f t="shared" si="50"/>
        <v>462</v>
      </c>
    </row>
    <row r="140">
      <c r="A140" s="20" t="s">
        <v>122</v>
      </c>
      <c r="B140" s="21" t="s">
        <v>12</v>
      </c>
      <c r="C140" s="22" t="s">
        <v>401</v>
      </c>
      <c r="D140" s="22" t="s">
        <v>404</v>
      </c>
      <c r="E140" s="22" t="s">
        <v>405</v>
      </c>
      <c r="F140" s="23">
        <v>7.0</v>
      </c>
      <c r="G140" s="24">
        <f t="shared" si="44"/>
        <v>420</v>
      </c>
      <c r="H140" s="17">
        <f t="shared" si="45"/>
        <v>840</v>
      </c>
      <c r="I140" s="17">
        <f t="shared" si="46"/>
        <v>126</v>
      </c>
      <c r="J140" s="25">
        <f t="shared" si="47"/>
        <v>546</v>
      </c>
      <c r="K140" s="25">
        <f t="shared" si="48"/>
        <v>504</v>
      </c>
      <c r="L140" s="25">
        <f t="shared" si="49"/>
        <v>483</v>
      </c>
      <c r="M140" s="25">
        <f t="shared" si="50"/>
        <v>462</v>
      </c>
    </row>
    <row r="141">
      <c r="A141" s="20" t="s">
        <v>122</v>
      </c>
      <c r="B141" s="21" t="s">
        <v>12</v>
      </c>
      <c r="C141" s="22" t="s">
        <v>401</v>
      </c>
      <c r="D141" s="22" t="s">
        <v>406</v>
      </c>
      <c r="E141" s="22" t="s">
        <v>407</v>
      </c>
      <c r="F141" s="23">
        <v>7.0</v>
      </c>
      <c r="G141" s="24">
        <f t="shared" si="44"/>
        <v>420</v>
      </c>
      <c r="H141" s="17">
        <f t="shared" si="45"/>
        <v>840</v>
      </c>
      <c r="I141" s="17">
        <f t="shared" si="46"/>
        <v>126</v>
      </c>
      <c r="J141" s="25">
        <f t="shared" si="47"/>
        <v>546</v>
      </c>
      <c r="K141" s="25">
        <f t="shared" si="48"/>
        <v>504</v>
      </c>
      <c r="L141" s="25">
        <f t="shared" si="49"/>
        <v>483</v>
      </c>
      <c r="M141" s="25">
        <f t="shared" si="50"/>
        <v>462</v>
      </c>
    </row>
    <row r="142">
      <c r="A142" s="20" t="s">
        <v>122</v>
      </c>
      <c r="B142" s="21" t="s">
        <v>12</v>
      </c>
      <c r="C142" s="22" t="s">
        <v>401</v>
      </c>
      <c r="D142" s="22" t="s">
        <v>408</v>
      </c>
      <c r="E142" s="22" t="s">
        <v>409</v>
      </c>
      <c r="F142" s="23">
        <v>7.0</v>
      </c>
      <c r="G142" s="24">
        <f t="shared" si="44"/>
        <v>420</v>
      </c>
      <c r="H142" s="17">
        <f t="shared" si="45"/>
        <v>840</v>
      </c>
      <c r="I142" s="17">
        <f t="shared" si="46"/>
        <v>126</v>
      </c>
      <c r="J142" s="25">
        <f t="shared" si="47"/>
        <v>546</v>
      </c>
      <c r="K142" s="25">
        <f t="shared" si="48"/>
        <v>504</v>
      </c>
      <c r="L142" s="25">
        <f t="shared" si="49"/>
        <v>483</v>
      </c>
      <c r="M142" s="25">
        <f t="shared" si="50"/>
        <v>462</v>
      </c>
    </row>
    <row r="143">
      <c r="A143" s="20" t="s">
        <v>122</v>
      </c>
      <c r="B143" s="21" t="s">
        <v>12</v>
      </c>
      <c r="C143" s="22" t="s">
        <v>401</v>
      </c>
      <c r="D143" s="22" t="s">
        <v>410</v>
      </c>
      <c r="E143" s="22" t="s">
        <v>411</v>
      </c>
      <c r="F143" s="23">
        <v>7.0</v>
      </c>
      <c r="G143" s="24">
        <f t="shared" si="44"/>
        <v>420</v>
      </c>
      <c r="H143" s="17">
        <f t="shared" si="45"/>
        <v>840</v>
      </c>
      <c r="I143" s="17">
        <f t="shared" si="46"/>
        <v>126</v>
      </c>
      <c r="J143" s="25">
        <f t="shared" si="47"/>
        <v>546</v>
      </c>
      <c r="K143" s="25">
        <f t="shared" si="48"/>
        <v>504</v>
      </c>
      <c r="L143" s="25">
        <f t="shared" si="49"/>
        <v>483</v>
      </c>
      <c r="M143" s="25">
        <f t="shared" si="50"/>
        <v>462</v>
      </c>
    </row>
    <row r="144">
      <c r="A144" s="20" t="s">
        <v>122</v>
      </c>
      <c r="B144" s="21" t="s">
        <v>12</v>
      </c>
      <c r="C144" s="22" t="s">
        <v>401</v>
      </c>
      <c r="D144" s="22" t="s">
        <v>412</v>
      </c>
      <c r="E144" s="22" t="s">
        <v>411</v>
      </c>
      <c r="F144" s="23">
        <v>7.0</v>
      </c>
      <c r="G144" s="24">
        <f t="shared" si="44"/>
        <v>420</v>
      </c>
      <c r="H144" s="17">
        <f t="shared" si="45"/>
        <v>840</v>
      </c>
      <c r="I144" s="17">
        <f t="shared" si="46"/>
        <v>126</v>
      </c>
      <c r="J144" s="25">
        <f t="shared" si="47"/>
        <v>546</v>
      </c>
      <c r="K144" s="25">
        <f t="shared" si="48"/>
        <v>504</v>
      </c>
      <c r="L144" s="25">
        <f t="shared" si="49"/>
        <v>483</v>
      </c>
      <c r="M144" s="25">
        <f t="shared" si="50"/>
        <v>462</v>
      </c>
    </row>
    <row r="145">
      <c r="A145" s="20" t="s">
        <v>122</v>
      </c>
      <c r="B145" s="21" t="s">
        <v>12</v>
      </c>
      <c r="C145" s="22" t="s">
        <v>401</v>
      </c>
      <c r="D145" s="22" t="s">
        <v>413</v>
      </c>
      <c r="E145" s="22" t="s">
        <v>414</v>
      </c>
      <c r="F145" s="23">
        <v>7.0</v>
      </c>
      <c r="G145" s="24">
        <f t="shared" si="44"/>
        <v>420</v>
      </c>
      <c r="H145" s="17">
        <f t="shared" si="45"/>
        <v>840</v>
      </c>
      <c r="I145" s="17">
        <f t="shared" si="46"/>
        <v>126</v>
      </c>
      <c r="J145" s="25">
        <f t="shared" si="47"/>
        <v>546</v>
      </c>
      <c r="K145" s="25">
        <f t="shared" si="48"/>
        <v>504</v>
      </c>
      <c r="L145" s="25">
        <f t="shared" si="49"/>
        <v>483</v>
      </c>
      <c r="M145" s="25">
        <f t="shared" si="50"/>
        <v>462</v>
      </c>
    </row>
    <row r="146">
      <c r="A146" s="20" t="s">
        <v>122</v>
      </c>
      <c r="B146" s="21" t="s">
        <v>12</v>
      </c>
      <c r="C146" s="22" t="s">
        <v>401</v>
      </c>
      <c r="D146" s="22" t="s">
        <v>415</v>
      </c>
      <c r="E146" s="22" t="s">
        <v>416</v>
      </c>
      <c r="F146" s="23">
        <v>11.5</v>
      </c>
      <c r="G146" s="24">
        <f t="shared" si="44"/>
        <v>690</v>
      </c>
      <c r="H146" s="17">
        <f t="shared" si="45"/>
        <v>1380</v>
      </c>
      <c r="I146" s="17">
        <f t="shared" si="46"/>
        <v>207</v>
      </c>
      <c r="J146" s="25">
        <f t="shared" si="47"/>
        <v>897</v>
      </c>
      <c r="K146" s="25">
        <f t="shared" si="48"/>
        <v>828</v>
      </c>
      <c r="L146" s="25">
        <f t="shared" si="49"/>
        <v>793.5</v>
      </c>
      <c r="M146" s="25">
        <f t="shared" si="50"/>
        <v>759</v>
      </c>
    </row>
    <row r="147">
      <c r="A147" s="20" t="s">
        <v>122</v>
      </c>
      <c r="B147" s="21" t="s">
        <v>12</v>
      </c>
      <c r="C147" s="22" t="s">
        <v>401</v>
      </c>
      <c r="D147" s="22" t="s">
        <v>417</v>
      </c>
      <c r="E147" s="22" t="s">
        <v>418</v>
      </c>
      <c r="F147" s="23">
        <v>11.5</v>
      </c>
      <c r="G147" s="24">
        <f t="shared" si="44"/>
        <v>690</v>
      </c>
      <c r="H147" s="17">
        <f t="shared" si="45"/>
        <v>1380</v>
      </c>
      <c r="I147" s="17">
        <f t="shared" si="46"/>
        <v>207</v>
      </c>
      <c r="J147" s="25">
        <f t="shared" si="47"/>
        <v>897</v>
      </c>
      <c r="K147" s="25">
        <f t="shared" si="48"/>
        <v>828</v>
      </c>
      <c r="L147" s="25">
        <f t="shared" si="49"/>
        <v>793.5</v>
      </c>
      <c r="M147" s="25">
        <f t="shared" si="50"/>
        <v>759</v>
      </c>
    </row>
    <row r="148">
      <c r="A148" s="20" t="s">
        <v>122</v>
      </c>
      <c r="B148" s="21" t="s">
        <v>12</v>
      </c>
      <c r="C148" s="22" t="s">
        <v>419</v>
      </c>
      <c r="D148" s="22" t="s">
        <v>420</v>
      </c>
      <c r="E148" s="22" t="s">
        <v>421</v>
      </c>
      <c r="F148" s="23">
        <v>22.5</v>
      </c>
      <c r="G148" s="24">
        <f t="shared" si="44"/>
        <v>1350</v>
      </c>
      <c r="H148" s="17">
        <f t="shared" si="45"/>
        <v>2700</v>
      </c>
      <c r="I148" s="17">
        <f t="shared" si="46"/>
        <v>405</v>
      </c>
      <c r="J148" s="25">
        <f t="shared" si="47"/>
        <v>1755</v>
      </c>
      <c r="K148" s="25">
        <f t="shared" si="48"/>
        <v>1620</v>
      </c>
      <c r="L148" s="25">
        <f t="shared" si="49"/>
        <v>1552.5</v>
      </c>
      <c r="M148" s="25">
        <f t="shared" si="50"/>
        <v>1485</v>
      </c>
    </row>
    <row r="149">
      <c r="A149" s="20" t="s">
        <v>122</v>
      </c>
      <c r="B149" s="21" t="s">
        <v>12</v>
      </c>
      <c r="C149" s="22" t="s">
        <v>422</v>
      </c>
      <c r="D149" s="21" t="s">
        <v>423</v>
      </c>
      <c r="E149" s="21" t="s">
        <v>424</v>
      </c>
      <c r="F149" s="23">
        <v>830.0</v>
      </c>
      <c r="G149" s="24">
        <f t="shared" si="44"/>
        <v>49800</v>
      </c>
      <c r="H149" s="17">
        <f t="shared" si="45"/>
        <v>99600</v>
      </c>
      <c r="I149" s="17">
        <f t="shared" si="46"/>
        <v>14940</v>
      </c>
      <c r="J149" s="25">
        <f t="shared" si="47"/>
        <v>64740</v>
      </c>
      <c r="K149" s="25">
        <f t="shared" si="48"/>
        <v>59760</v>
      </c>
      <c r="L149" s="25">
        <f t="shared" si="49"/>
        <v>57270</v>
      </c>
      <c r="M149" s="25">
        <f t="shared" si="50"/>
        <v>54780</v>
      </c>
    </row>
    <row r="150">
      <c r="A150" s="20" t="s">
        <v>122</v>
      </c>
      <c r="B150" s="21" t="s">
        <v>12</v>
      </c>
      <c r="C150" s="22" t="s">
        <v>425</v>
      </c>
      <c r="D150" s="22" t="s">
        <v>426</v>
      </c>
      <c r="E150" s="22" t="s">
        <v>427</v>
      </c>
      <c r="F150" s="23">
        <v>12.0</v>
      </c>
      <c r="G150" s="24">
        <f t="shared" si="44"/>
        <v>720</v>
      </c>
      <c r="H150" s="17">
        <f t="shared" si="45"/>
        <v>1440</v>
      </c>
      <c r="I150" s="17">
        <f t="shared" si="46"/>
        <v>216</v>
      </c>
      <c r="J150" s="25">
        <f t="shared" si="47"/>
        <v>936</v>
      </c>
      <c r="K150" s="25">
        <f t="shared" si="48"/>
        <v>864</v>
      </c>
      <c r="L150" s="25">
        <f t="shared" si="49"/>
        <v>828</v>
      </c>
      <c r="M150" s="25">
        <f t="shared" si="50"/>
        <v>792</v>
      </c>
    </row>
    <row r="151">
      <c r="A151" s="20" t="s">
        <v>122</v>
      </c>
      <c r="B151" s="21" t="s">
        <v>12</v>
      </c>
      <c r="C151" s="22" t="s">
        <v>425</v>
      </c>
      <c r="D151" s="22" t="s">
        <v>428</v>
      </c>
      <c r="E151" s="22" t="s">
        <v>429</v>
      </c>
      <c r="F151" s="23">
        <v>11.0</v>
      </c>
      <c r="G151" s="24">
        <f t="shared" si="44"/>
        <v>660</v>
      </c>
      <c r="H151" s="17">
        <f t="shared" si="45"/>
        <v>1320</v>
      </c>
      <c r="I151" s="17">
        <f t="shared" si="46"/>
        <v>198</v>
      </c>
      <c r="J151" s="25">
        <f t="shared" si="47"/>
        <v>858</v>
      </c>
      <c r="K151" s="25">
        <f t="shared" si="48"/>
        <v>792</v>
      </c>
      <c r="L151" s="25">
        <f t="shared" si="49"/>
        <v>759</v>
      </c>
      <c r="M151" s="25">
        <f t="shared" si="50"/>
        <v>726</v>
      </c>
    </row>
    <row r="152">
      <c r="A152" s="20" t="s">
        <v>122</v>
      </c>
      <c r="B152" s="21" t="s">
        <v>12</v>
      </c>
      <c r="C152" s="22" t="s">
        <v>425</v>
      </c>
      <c r="D152" s="22" t="s">
        <v>430</v>
      </c>
      <c r="E152" s="22" t="s">
        <v>431</v>
      </c>
      <c r="F152" s="23">
        <v>7.0</v>
      </c>
      <c r="G152" s="24">
        <f t="shared" si="44"/>
        <v>420</v>
      </c>
      <c r="H152" s="17">
        <f t="shared" si="45"/>
        <v>840</v>
      </c>
      <c r="I152" s="17">
        <f t="shared" si="46"/>
        <v>126</v>
      </c>
      <c r="J152" s="25">
        <f t="shared" si="47"/>
        <v>546</v>
      </c>
      <c r="K152" s="25">
        <f t="shared" si="48"/>
        <v>504</v>
      </c>
      <c r="L152" s="25">
        <f t="shared" si="49"/>
        <v>483</v>
      </c>
      <c r="M152" s="25">
        <f t="shared" si="50"/>
        <v>462</v>
      </c>
    </row>
    <row r="153">
      <c r="A153" s="20" t="s">
        <v>122</v>
      </c>
      <c r="B153" s="21" t="s">
        <v>12</v>
      </c>
      <c r="C153" s="22" t="s">
        <v>425</v>
      </c>
      <c r="D153" s="22" t="s">
        <v>432</v>
      </c>
      <c r="E153" s="22" t="s">
        <v>433</v>
      </c>
      <c r="F153" s="23">
        <v>15.0</v>
      </c>
      <c r="G153" s="24">
        <f t="shared" si="44"/>
        <v>900</v>
      </c>
      <c r="H153" s="17">
        <f t="shared" si="45"/>
        <v>1800</v>
      </c>
      <c r="I153" s="17">
        <f t="shared" si="46"/>
        <v>270</v>
      </c>
      <c r="J153" s="25">
        <f t="shared" si="47"/>
        <v>1170</v>
      </c>
      <c r="K153" s="25">
        <f t="shared" si="48"/>
        <v>1080</v>
      </c>
      <c r="L153" s="25">
        <f t="shared" si="49"/>
        <v>1035</v>
      </c>
      <c r="M153" s="25">
        <f t="shared" si="50"/>
        <v>990</v>
      </c>
    </row>
    <row r="154">
      <c r="A154" s="20" t="s">
        <v>122</v>
      </c>
      <c r="B154" s="21" t="s">
        <v>12</v>
      </c>
      <c r="C154" s="22" t="s">
        <v>425</v>
      </c>
      <c r="D154" s="22" t="s">
        <v>434</v>
      </c>
      <c r="E154" s="22" t="s">
        <v>435</v>
      </c>
      <c r="F154" s="23">
        <v>3.8</v>
      </c>
      <c r="G154" s="24">
        <f t="shared" si="44"/>
        <v>228</v>
      </c>
      <c r="H154" s="17">
        <f t="shared" si="45"/>
        <v>456</v>
      </c>
      <c r="I154" s="17">
        <f t="shared" si="46"/>
        <v>68.4</v>
      </c>
      <c r="J154" s="25">
        <f t="shared" si="47"/>
        <v>296.4</v>
      </c>
      <c r="K154" s="25">
        <f t="shared" si="48"/>
        <v>273.6</v>
      </c>
      <c r="L154" s="25">
        <f t="shared" si="49"/>
        <v>262.2</v>
      </c>
      <c r="M154" s="25">
        <f t="shared" si="50"/>
        <v>250.8</v>
      </c>
    </row>
  </sheetData>
  <autoFilter ref="$A$2:$M$154"/>
  <mergeCells count="4">
    <mergeCell ref="A1:G1"/>
    <mergeCell ref="H1:I1"/>
    <mergeCell ref="J1:K1"/>
    <mergeCell ref="L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29" t="s">
        <v>0</v>
      </c>
      <c r="B1" s="2"/>
      <c r="C1" s="2"/>
      <c r="D1" s="2"/>
      <c r="E1" s="2"/>
      <c r="F1" s="3"/>
      <c r="G1" s="30" t="s">
        <v>113</v>
      </c>
      <c r="H1" s="3"/>
      <c r="I1" s="30" t="s">
        <v>114</v>
      </c>
      <c r="J1" s="3"/>
      <c r="K1" s="30" t="s">
        <v>115</v>
      </c>
      <c r="L1" s="3"/>
    </row>
    <row r="2">
      <c r="A2" s="5" t="s">
        <v>2</v>
      </c>
      <c r="B2" s="5" t="s">
        <v>3</v>
      </c>
      <c r="C2" s="5" t="s">
        <v>5</v>
      </c>
      <c r="D2" s="5" t="s">
        <v>6</v>
      </c>
      <c r="E2" s="5" t="s">
        <v>8</v>
      </c>
      <c r="F2" s="6" t="s">
        <v>436</v>
      </c>
      <c r="G2" s="31" t="s">
        <v>437</v>
      </c>
      <c r="H2" s="31" t="s">
        <v>438</v>
      </c>
      <c r="I2" s="32" t="s">
        <v>439</v>
      </c>
      <c r="J2" s="32" t="s">
        <v>440</v>
      </c>
      <c r="K2" s="33" t="s">
        <v>441</v>
      </c>
      <c r="L2" s="33" t="s">
        <v>442</v>
      </c>
    </row>
    <row r="3">
      <c r="A3" s="34" t="s">
        <v>122</v>
      </c>
      <c r="B3" s="35" t="s">
        <v>443</v>
      </c>
      <c r="C3" s="36" t="s">
        <v>221</v>
      </c>
      <c r="D3" s="37" t="s">
        <v>222</v>
      </c>
      <c r="E3" s="38">
        <v>94.0</v>
      </c>
      <c r="F3" s="39">
        <f t="shared" ref="F3:F5" si="1">E3*60</f>
        <v>5640</v>
      </c>
      <c r="G3" s="40">
        <f t="shared" ref="G3:G30" si="2">F3*1.5</f>
        <v>8460</v>
      </c>
      <c r="H3" s="40">
        <f t="shared" ref="H3:H30" si="3">F3*1.3</f>
        <v>7332</v>
      </c>
      <c r="I3" s="41">
        <f t="shared" ref="I3:I30" si="4">F3*0.3</f>
        <v>1692</v>
      </c>
      <c r="J3" s="41">
        <f t="shared" ref="J3:J30" si="5">F3*1.2</f>
        <v>6768</v>
      </c>
      <c r="K3" s="41">
        <f t="shared" ref="K3:K30" si="6">F3*1.15</f>
        <v>6486</v>
      </c>
      <c r="L3" s="41">
        <f t="shared" ref="L3:L30" si="7">F3*1.1</f>
        <v>6204</v>
      </c>
    </row>
    <row r="4">
      <c r="A4" s="34" t="s">
        <v>122</v>
      </c>
      <c r="B4" s="42"/>
      <c r="C4" s="43" t="s">
        <v>159</v>
      </c>
      <c r="D4" s="44" t="s">
        <v>160</v>
      </c>
      <c r="E4" s="38">
        <v>87.0</v>
      </c>
      <c r="F4" s="39">
        <f t="shared" si="1"/>
        <v>5220</v>
      </c>
      <c r="G4" s="40">
        <f t="shared" si="2"/>
        <v>7830</v>
      </c>
      <c r="H4" s="40">
        <f t="shared" si="3"/>
        <v>6786</v>
      </c>
      <c r="I4" s="41">
        <f t="shared" si="4"/>
        <v>1566</v>
      </c>
      <c r="J4" s="41">
        <f t="shared" si="5"/>
        <v>6264</v>
      </c>
      <c r="K4" s="41">
        <f t="shared" si="6"/>
        <v>6003</v>
      </c>
      <c r="L4" s="41">
        <f t="shared" si="7"/>
        <v>5742</v>
      </c>
    </row>
    <row r="5">
      <c r="A5" s="34" t="s">
        <v>122</v>
      </c>
      <c r="B5" s="42"/>
      <c r="C5" s="36" t="s">
        <v>224</v>
      </c>
      <c r="D5" s="37" t="s">
        <v>225</v>
      </c>
      <c r="E5" s="38">
        <v>44.0</v>
      </c>
      <c r="F5" s="39">
        <f t="shared" si="1"/>
        <v>2640</v>
      </c>
      <c r="G5" s="40">
        <f t="shared" si="2"/>
        <v>3960</v>
      </c>
      <c r="H5" s="40">
        <f t="shared" si="3"/>
        <v>3432</v>
      </c>
      <c r="I5" s="41">
        <f t="shared" si="4"/>
        <v>792</v>
      </c>
      <c r="J5" s="41">
        <f t="shared" si="5"/>
        <v>3168</v>
      </c>
      <c r="K5" s="41">
        <f t="shared" si="6"/>
        <v>3036</v>
      </c>
      <c r="L5" s="41">
        <f t="shared" si="7"/>
        <v>2904</v>
      </c>
    </row>
    <row r="6">
      <c r="A6" s="34" t="s">
        <v>122</v>
      </c>
      <c r="B6" s="42"/>
      <c r="C6" s="36" t="s">
        <v>444</v>
      </c>
      <c r="D6" s="37" t="s">
        <v>445</v>
      </c>
      <c r="E6" s="45"/>
      <c r="F6" s="46"/>
      <c r="G6" s="40">
        <f t="shared" si="2"/>
        <v>0</v>
      </c>
      <c r="H6" s="40">
        <f t="shared" si="3"/>
        <v>0</v>
      </c>
      <c r="I6" s="41">
        <f t="shared" si="4"/>
        <v>0</v>
      </c>
      <c r="J6" s="41">
        <f t="shared" si="5"/>
        <v>0</v>
      </c>
      <c r="K6" s="41">
        <f t="shared" si="6"/>
        <v>0</v>
      </c>
      <c r="L6" s="41">
        <f t="shared" si="7"/>
        <v>0</v>
      </c>
    </row>
    <row r="7">
      <c r="A7" s="34" t="s">
        <v>122</v>
      </c>
      <c r="B7" s="42"/>
      <c r="C7" s="36" t="s">
        <v>426</v>
      </c>
      <c r="D7" s="37" t="s">
        <v>427</v>
      </c>
      <c r="E7" s="38">
        <v>12.0</v>
      </c>
      <c r="F7" s="39">
        <f t="shared" ref="F7:F8" si="8">E7*60</f>
        <v>720</v>
      </c>
      <c r="G7" s="40">
        <f t="shared" si="2"/>
        <v>1080</v>
      </c>
      <c r="H7" s="40">
        <f t="shared" si="3"/>
        <v>936</v>
      </c>
      <c r="I7" s="41">
        <f t="shared" si="4"/>
        <v>216</v>
      </c>
      <c r="J7" s="41">
        <f t="shared" si="5"/>
        <v>864</v>
      </c>
      <c r="K7" s="41">
        <f t="shared" si="6"/>
        <v>828</v>
      </c>
      <c r="L7" s="41">
        <f t="shared" si="7"/>
        <v>792</v>
      </c>
    </row>
    <row r="8">
      <c r="A8" s="34" t="s">
        <v>122</v>
      </c>
      <c r="B8" s="42"/>
      <c r="C8" s="36" t="s">
        <v>430</v>
      </c>
      <c r="D8" s="37" t="s">
        <v>431</v>
      </c>
      <c r="E8" s="38">
        <v>7.0</v>
      </c>
      <c r="F8" s="39">
        <f t="shared" si="8"/>
        <v>420</v>
      </c>
      <c r="G8" s="40">
        <f t="shared" si="2"/>
        <v>630</v>
      </c>
      <c r="H8" s="40">
        <f t="shared" si="3"/>
        <v>546</v>
      </c>
      <c r="I8" s="41">
        <f t="shared" si="4"/>
        <v>126</v>
      </c>
      <c r="J8" s="41">
        <f t="shared" si="5"/>
        <v>504</v>
      </c>
      <c r="K8" s="41">
        <f t="shared" si="6"/>
        <v>483</v>
      </c>
      <c r="L8" s="41">
        <f t="shared" si="7"/>
        <v>462</v>
      </c>
    </row>
    <row r="9">
      <c r="A9" s="34" t="s">
        <v>122</v>
      </c>
      <c r="B9" s="47"/>
      <c r="C9" s="48"/>
      <c r="D9" s="49" t="s">
        <v>446</v>
      </c>
      <c r="E9" s="45"/>
      <c r="F9" s="46"/>
      <c r="G9" s="40">
        <f t="shared" si="2"/>
        <v>0</v>
      </c>
      <c r="H9" s="40">
        <f t="shared" si="3"/>
        <v>0</v>
      </c>
      <c r="I9" s="41">
        <f t="shared" si="4"/>
        <v>0</v>
      </c>
      <c r="J9" s="41">
        <f t="shared" si="5"/>
        <v>0</v>
      </c>
      <c r="K9" s="41">
        <f t="shared" si="6"/>
        <v>0</v>
      </c>
      <c r="L9" s="41">
        <f t="shared" si="7"/>
        <v>0</v>
      </c>
    </row>
    <row r="10">
      <c r="A10" s="34" t="s">
        <v>122</v>
      </c>
      <c r="B10" s="35" t="s">
        <v>447</v>
      </c>
      <c r="C10" s="50" t="s">
        <v>294</v>
      </c>
      <c r="D10" s="51" t="s">
        <v>295</v>
      </c>
      <c r="E10" s="52">
        <v>74.5</v>
      </c>
      <c r="F10" s="39">
        <v>4470.0</v>
      </c>
      <c r="G10" s="40">
        <f t="shared" si="2"/>
        <v>6705</v>
      </c>
      <c r="H10" s="40">
        <f t="shared" si="3"/>
        <v>5811</v>
      </c>
      <c r="I10" s="41">
        <f t="shared" si="4"/>
        <v>1341</v>
      </c>
      <c r="J10" s="41">
        <f t="shared" si="5"/>
        <v>5364</v>
      </c>
      <c r="K10" s="41">
        <f t="shared" si="6"/>
        <v>5140.5</v>
      </c>
      <c r="L10" s="41">
        <f t="shared" si="7"/>
        <v>4917</v>
      </c>
    </row>
    <row r="11">
      <c r="A11" s="34" t="s">
        <v>122</v>
      </c>
      <c r="B11" s="42"/>
      <c r="C11" s="50" t="s">
        <v>165</v>
      </c>
      <c r="D11" s="51" t="s">
        <v>166</v>
      </c>
      <c r="E11" s="52">
        <v>161.0</v>
      </c>
      <c r="F11" s="39">
        <v>9660.0</v>
      </c>
      <c r="G11" s="40">
        <f t="shared" si="2"/>
        <v>14490</v>
      </c>
      <c r="H11" s="40">
        <f t="shared" si="3"/>
        <v>12558</v>
      </c>
      <c r="I11" s="41">
        <f t="shared" si="4"/>
        <v>2898</v>
      </c>
      <c r="J11" s="41">
        <f t="shared" si="5"/>
        <v>11592</v>
      </c>
      <c r="K11" s="41">
        <f t="shared" si="6"/>
        <v>11109</v>
      </c>
      <c r="L11" s="41">
        <f t="shared" si="7"/>
        <v>10626</v>
      </c>
    </row>
    <row r="12">
      <c r="A12" s="34" t="s">
        <v>122</v>
      </c>
      <c r="B12" s="42"/>
      <c r="C12" s="50" t="s">
        <v>312</v>
      </c>
      <c r="D12" s="51" t="s">
        <v>313</v>
      </c>
      <c r="E12" s="52">
        <v>31.0</v>
      </c>
      <c r="F12" s="39">
        <v>1860.0</v>
      </c>
      <c r="G12" s="40">
        <f t="shared" si="2"/>
        <v>2790</v>
      </c>
      <c r="H12" s="40">
        <f t="shared" si="3"/>
        <v>2418</v>
      </c>
      <c r="I12" s="41">
        <f t="shared" si="4"/>
        <v>558</v>
      </c>
      <c r="J12" s="41">
        <f t="shared" si="5"/>
        <v>2232</v>
      </c>
      <c r="K12" s="41">
        <f t="shared" si="6"/>
        <v>2139</v>
      </c>
      <c r="L12" s="41">
        <f t="shared" si="7"/>
        <v>2046</v>
      </c>
    </row>
    <row r="13">
      <c r="A13" s="34" t="s">
        <v>122</v>
      </c>
      <c r="B13" s="42"/>
      <c r="C13" s="36" t="s">
        <v>444</v>
      </c>
      <c r="D13" s="37" t="s">
        <v>445</v>
      </c>
      <c r="E13" s="45"/>
      <c r="F13" s="46"/>
      <c r="G13" s="40">
        <f t="shared" si="2"/>
        <v>0</v>
      </c>
      <c r="H13" s="40">
        <f t="shared" si="3"/>
        <v>0</v>
      </c>
      <c r="I13" s="41">
        <f t="shared" si="4"/>
        <v>0</v>
      </c>
      <c r="J13" s="41">
        <f t="shared" si="5"/>
        <v>0</v>
      </c>
      <c r="K13" s="41">
        <f t="shared" si="6"/>
        <v>0</v>
      </c>
      <c r="L13" s="41">
        <f t="shared" si="7"/>
        <v>0</v>
      </c>
    </row>
    <row r="14">
      <c r="A14" s="34" t="s">
        <v>122</v>
      </c>
      <c r="B14" s="42"/>
      <c r="C14" s="36" t="s">
        <v>426</v>
      </c>
      <c r="D14" s="37" t="s">
        <v>427</v>
      </c>
      <c r="E14" s="38">
        <v>12.0</v>
      </c>
      <c r="F14" s="39">
        <f>E14*60</f>
        <v>720</v>
      </c>
      <c r="G14" s="40">
        <f t="shared" si="2"/>
        <v>1080</v>
      </c>
      <c r="H14" s="40">
        <f t="shared" si="3"/>
        <v>936</v>
      </c>
      <c r="I14" s="41">
        <f t="shared" si="4"/>
        <v>216</v>
      </c>
      <c r="J14" s="41">
        <f t="shared" si="5"/>
        <v>864</v>
      </c>
      <c r="K14" s="41">
        <f t="shared" si="6"/>
        <v>828</v>
      </c>
      <c r="L14" s="41">
        <f t="shared" si="7"/>
        <v>792</v>
      </c>
    </row>
    <row r="15">
      <c r="A15" s="34" t="s">
        <v>122</v>
      </c>
      <c r="B15" s="42"/>
      <c r="C15" s="50" t="s">
        <v>432</v>
      </c>
      <c r="D15" s="51" t="s">
        <v>433</v>
      </c>
      <c r="E15" s="52">
        <v>15.0</v>
      </c>
      <c r="F15" s="39">
        <v>900.0</v>
      </c>
      <c r="G15" s="40">
        <f t="shared" si="2"/>
        <v>1350</v>
      </c>
      <c r="H15" s="40">
        <f t="shared" si="3"/>
        <v>1170</v>
      </c>
      <c r="I15" s="41">
        <f t="shared" si="4"/>
        <v>270</v>
      </c>
      <c r="J15" s="41">
        <f t="shared" si="5"/>
        <v>1080</v>
      </c>
      <c r="K15" s="41">
        <f t="shared" si="6"/>
        <v>1035</v>
      </c>
      <c r="L15" s="41">
        <f t="shared" si="7"/>
        <v>990</v>
      </c>
    </row>
    <row r="16">
      <c r="A16" s="34" t="s">
        <v>122</v>
      </c>
      <c r="B16" s="47"/>
      <c r="C16" s="53"/>
      <c r="D16" s="49" t="s">
        <v>446</v>
      </c>
      <c r="E16" s="45"/>
      <c r="F16" s="46"/>
      <c r="G16" s="40">
        <f t="shared" si="2"/>
        <v>0</v>
      </c>
      <c r="H16" s="40">
        <f t="shared" si="3"/>
        <v>0</v>
      </c>
      <c r="I16" s="41">
        <f t="shared" si="4"/>
        <v>0</v>
      </c>
      <c r="J16" s="41">
        <f t="shared" si="5"/>
        <v>0</v>
      </c>
      <c r="K16" s="41">
        <f t="shared" si="6"/>
        <v>0</v>
      </c>
      <c r="L16" s="41">
        <f t="shared" si="7"/>
        <v>0</v>
      </c>
    </row>
    <row r="17">
      <c r="A17" s="34" t="s">
        <v>122</v>
      </c>
      <c r="B17" s="35" t="s">
        <v>448</v>
      </c>
      <c r="C17" s="50" t="s">
        <v>124</v>
      </c>
      <c r="D17" s="51" t="s">
        <v>125</v>
      </c>
      <c r="E17" s="52">
        <v>45.0</v>
      </c>
      <c r="F17" s="39">
        <v>2700.0</v>
      </c>
      <c r="G17" s="40">
        <f t="shared" si="2"/>
        <v>4050</v>
      </c>
      <c r="H17" s="40">
        <f t="shared" si="3"/>
        <v>3510</v>
      </c>
      <c r="I17" s="41">
        <f t="shared" si="4"/>
        <v>810</v>
      </c>
      <c r="J17" s="41">
        <f t="shared" si="5"/>
        <v>3240</v>
      </c>
      <c r="K17" s="41">
        <f t="shared" si="6"/>
        <v>3105</v>
      </c>
      <c r="L17" s="41">
        <f t="shared" si="7"/>
        <v>2970</v>
      </c>
    </row>
    <row r="18">
      <c r="A18" s="34" t="s">
        <v>122</v>
      </c>
      <c r="B18" s="42"/>
      <c r="C18" s="50" t="s">
        <v>149</v>
      </c>
      <c r="D18" s="51" t="s">
        <v>449</v>
      </c>
      <c r="E18" s="54">
        <v>39.5</v>
      </c>
      <c r="F18" s="39">
        <v>2370.0</v>
      </c>
      <c r="G18" s="40">
        <f t="shared" si="2"/>
        <v>3555</v>
      </c>
      <c r="H18" s="40">
        <f t="shared" si="3"/>
        <v>3081</v>
      </c>
      <c r="I18" s="41">
        <f t="shared" si="4"/>
        <v>711</v>
      </c>
      <c r="J18" s="41">
        <f t="shared" si="5"/>
        <v>2844</v>
      </c>
      <c r="K18" s="41">
        <f t="shared" si="6"/>
        <v>2725.5</v>
      </c>
      <c r="L18" s="41">
        <f t="shared" si="7"/>
        <v>2607</v>
      </c>
    </row>
    <row r="19">
      <c r="A19" s="34" t="s">
        <v>122</v>
      </c>
      <c r="B19" s="42"/>
      <c r="C19" s="50" t="s">
        <v>363</v>
      </c>
      <c r="D19" s="51" t="s">
        <v>364</v>
      </c>
      <c r="E19" s="52">
        <v>15.0</v>
      </c>
      <c r="F19" s="39">
        <v>900.0</v>
      </c>
      <c r="G19" s="40">
        <f t="shared" si="2"/>
        <v>1350</v>
      </c>
      <c r="H19" s="40">
        <f t="shared" si="3"/>
        <v>1170</v>
      </c>
      <c r="I19" s="41">
        <f t="shared" si="4"/>
        <v>270</v>
      </c>
      <c r="J19" s="41">
        <f t="shared" si="5"/>
        <v>1080</v>
      </c>
      <c r="K19" s="41">
        <f t="shared" si="6"/>
        <v>1035</v>
      </c>
      <c r="L19" s="41">
        <f t="shared" si="7"/>
        <v>990</v>
      </c>
    </row>
    <row r="20">
      <c r="A20" s="34" t="s">
        <v>122</v>
      </c>
      <c r="B20" s="42"/>
      <c r="C20" s="36" t="s">
        <v>444</v>
      </c>
      <c r="D20" s="37" t="s">
        <v>445</v>
      </c>
      <c r="E20" s="45"/>
      <c r="F20" s="46"/>
      <c r="G20" s="40">
        <f t="shared" si="2"/>
        <v>0</v>
      </c>
      <c r="H20" s="40">
        <f t="shared" si="3"/>
        <v>0</v>
      </c>
      <c r="I20" s="41">
        <f t="shared" si="4"/>
        <v>0</v>
      </c>
      <c r="J20" s="41">
        <f t="shared" si="5"/>
        <v>0</v>
      </c>
      <c r="K20" s="41">
        <f t="shared" si="6"/>
        <v>0</v>
      </c>
      <c r="L20" s="41">
        <f t="shared" si="7"/>
        <v>0</v>
      </c>
    </row>
    <row r="21">
      <c r="A21" s="34" t="s">
        <v>122</v>
      </c>
      <c r="B21" s="42"/>
      <c r="C21" s="36" t="s">
        <v>426</v>
      </c>
      <c r="D21" s="37" t="s">
        <v>427</v>
      </c>
      <c r="E21" s="38">
        <v>12.0</v>
      </c>
      <c r="F21" s="39">
        <f t="shared" ref="F21:F22" si="9">E21*60</f>
        <v>720</v>
      </c>
      <c r="G21" s="40">
        <f t="shared" si="2"/>
        <v>1080</v>
      </c>
      <c r="H21" s="40">
        <f t="shared" si="3"/>
        <v>936</v>
      </c>
      <c r="I21" s="41">
        <f t="shared" si="4"/>
        <v>216</v>
      </c>
      <c r="J21" s="41">
        <f t="shared" si="5"/>
        <v>864</v>
      </c>
      <c r="K21" s="41">
        <f t="shared" si="6"/>
        <v>828</v>
      </c>
      <c r="L21" s="41">
        <f t="shared" si="7"/>
        <v>792</v>
      </c>
    </row>
    <row r="22">
      <c r="A22" s="34" t="s">
        <v>122</v>
      </c>
      <c r="B22" s="42"/>
      <c r="C22" s="36" t="s">
        <v>430</v>
      </c>
      <c r="D22" s="37" t="s">
        <v>431</v>
      </c>
      <c r="E22" s="38">
        <v>7.0</v>
      </c>
      <c r="F22" s="39">
        <f t="shared" si="9"/>
        <v>420</v>
      </c>
      <c r="G22" s="40">
        <f t="shared" si="2"/>
        <v>630</v>
      </c>
      <c r="H22" s="40">
        <f t="shared" si="3"/>
        <v>546</v>
      </c>
      <c r="I22" s="41">
        <f t="shared" si="4"/>
        <v>126</v>
      </c>
      <c r="J22" s="41">
        <f t="shared" si="5"/>
        <v>504</v>
      </c>
      <c r="K22" s="41">
        <f t="shared" si="6"/>
        <v>483</v>
      </c>
      <c r="L22" s="41">
        <f t="shared" si="7"/>
        <v>462</v>
      </c>
    </row>
    <row r="23">
      <c r="A23" s="34" t="s">
        <v>122</v>
      </c>
      <c r="B23" s="47"/>
      <c r="C23" s="53"/>
      <c r="D23" s="49" t="s">
        <v>446</v>
      </c>
      <c r="E23" s="45"/>
      <c r="F23" s="46"/>
      <c r="G23" s="40">
        <f t="shared" si="2"/>
        <v>0</v>
      </c>
      <c r="H23" s="40">
        <f t="shared" si="3"/>
        <v>0</v>
      </c>
      <c r="I23" s="41">
        <f t="shared" si="4"/>
        <v>0</v>
      </c>
      <c r="J23" s="41">
        <f t="shared" si="5"/>
        <v>0</v>
      </c>
      <c r="K23" s="41">
        <f t="shared" si="6"/>
        <v>0</v>
      </c>
      <c r="L23" s="41">
        <f t="shared" si="7"/>
        <v>0</v>
      </c>
    </row>
    <row r="24">
      <c r="A24" s="34" t="s">
        <v>122</v>
      </c>
      <c r="B24" s="35" t="s">
        <v>450</v>
      </c>
      <c r="C24" s="50" t="s">
        <v>130</v>
      </c>
      <c r="D24" s="51" t="s">
        <v>131</v>
      </c>
      <c r="E24" s="52">
        <v>69.5</v>
      </c>
      <c r="F24" s="39">
        <v>4170.0</v>
      </c>
      <c r="G24" s="40">
        <f t="shared" si="2"/>
        <v>6255</v>
      </c>
      <c r="H24" s="40">
        <f t="shared" si="3"/>
        <v>5421</v>
      </c>
      <c r="I24" s="41">
        <f t="shared" si="4"/>
        <v>1251</v>
      </c>
      <c r="J24" s="41">
        <f t="shared" si="5"/>
        <v>5004</v>
      </c>
      <c r="K24" s="41">
        <f t="shared" si="6"/>
        <v>4795.5</v>
      </c>
      <c r="L24" s="41">
        <f t="shared" si="7"/>
        <v>4587</v>
      </c>
    </row>
    <row r="25">
      <c r="A25" s="34" t="s">
        <v>122</v>
      </c>
      <c r="B25" s="42"/>
      <c r="C25" s="50" t="s">
        <v>151</v>
      </c>
      <c r="D25" s="51" t="s">
        <v>152</v>
      </c>
      <c r="E25" s="54">
        <v>46.0</v>
      </c>
      <c r="F25" s="39">
        <v>2760.0</v>
      </c>
      <c r="G25" s="40">
        <f t="shared" si="2"/>
        <v>4140</v>
      </c>
      <c r="H25" s="40">
        <f t="shared" si="3"/>
        <v>3588</v>
      </c>
      <c r="I25" s="41">
        <f t="shared" si="4"/>
        <v>828</v>
      </c>
      <c r="J25" s="41">
        <f t="shared" si="5"/>
        <v>3312</v>
      </c>
      <c r="K25" s="41">
        <f t="shared" si="6"/>
        <v>3174</v>
      </c>
      <c r="L25" s="41">
        <f t="shared" si="7"/>
        <v>3036</v>
      </c>
    </row>
    <row r="26">
      <c r="A26" s="34" t="s">
        <v>122</v>
      </c>
      <c r="B26" s="42"/>
      <c r="C26" s="50" t="s">
        <v>363</v>
      </c>
      <c r="D26" s="51" t="s">
        <v>364</v>
      </c>
      <c r="E26" s="52">
        <v>15.0</v>
      </c>
      <c r="F26" s="39">
        <v>900.0</v>
      </c>
      <c r="G26" s="40">
        <f t="shared" si="2"/>
        <v>1350</v>
      </c>
      <c r="H26" s="40">
        <f t="shared" si="3"/>
        <v>1170</v>
      </c>
      <c r="I26" s="41">
        <f t="shared" si="4"/>
        <v>270</v>
      </c>
      <c r="J26" s="41">
        <f t="shared" si="5"/>
        <v>1080</v>
      </c>
      <c r="K26" s="41">
        <f t="shared" si="6"/>
        <v>1035</v>
      </c>
      <c r="L26" s="41">
        <f t="shared" si="7"/>
        <v>990</v>
      </c>
    </row>
    <row r="27">
      <c r="A27" s="34" t="s">
        <v>122</v>
      </c>
      <c r="B27" s="42"/>
      <c r="C27" s="36" t="s">
        <v>444</v>
      </c>
      <c r="D27" s="37" t="s">
        <v>445</v>
      </c>
      <c r="E27" s="45"/>
      <c r="F27" s="46"/>
      <c r="G27" s="40">
        <f t="shared" si="2"/>
        <v>0</v>
      </c>
      <c r="H27" s="40">
        <f t="shared" si="3"/>
        <v>0</v>
      </c>
      <c r="I27" s="41">
        <f t="shared" si="4"/>
        <v>0</v>
      </c>
      <c r="J27" s="41">
        <f t="shared" si="5"/>
        <v>0</v>
      </c>
      <c r="K27" s="41">
        <f t="shared" si="6"/>
        <v>0</v>
      </c>
      <c r="L27" s="41">
        <f t="shared" si="7"/>
        <v>0</v>
      </c>
    </row>
    <row r="28">
      <c r="A28" s="34" t="s">
        <v>122</v>
      </c>
      <c r="B28" s="42"/>
      <c r="C28" s="36" t="s">
        <v>426</v>
      </c>
      <c r="D28" s="37" t="s">
        <v>427</v>
      </c>
      <c r="E28" s="38">
        <v>12.0</v>
      </c>
      <c r="F28" s="39">
        <f t="shared" ref="F28:F29" si="10">E28*60</f>
        <v>720</v>
      </c>
      <c r="G28" s="40">
        <f t="shared" si="2"/>
        <v>1080</v>
      </c>
      <c r="H28" s="40">
        <f t="shared" si="3"/>
        <v>936</v>
      </c>
      <c r="I28" s="41">
        <f t="shared" si="4"/>
        <v>216</v>
      </c>
      <c r="J28" s="41">
        <f t="shared" si="5"/>
        <v>864</v>
      </c>
      <c r="K28" s="41">
        <f t="shared" si="6"/>
        <v>828</v>
      </c>
      <c r="L28" s="41">
        <f t="shared" si="7"/>
        <v>792</v>
      </c>
    </row>
    <row r="29">
      <c r="A29" s="34" t="s">
        <v>122</v>
      </c>
      <c r="B29" s="42"/>
      <c r="C29" s="36" t="s">
        <v>430</v>
      </c>
      <c r="D29" s="37" t="s">
        <v>431</v>
      </c>
      <c r="E29" s="38">
        <v>7.0</v>
      </c>
      <c r="F29" s="39">
        <f t="shared" si="10"/>
        <v>420</v>
      </c>
      <c r="G29" s="40">
        <f t="shared" si="2"/>
        <v>630</v>
      </c>
      <c r="H29" s="40">
        <f t="shared" si="3"/>
        <v>546</v>
      </c>
      <c r="I29" s="41">
        <f t="shared" si="4"/>
        <v>126</v>
      </c>
      <c r="J29" s="41">
        <f t="shared" si="5"/>
        <v>504</v>
      </c>
      <c r="K29" s="41">
        <f t="shared" si="6"/>
        <v>483</v>
      </c>
      <c r="L29" s="41">
        <f t="shared" si="7"/>
        <v>462</v>
      </c>
    </row>
    <row r="30">
      <c r="A30" s="34" t="s">
        <v>122</v>
      </c>
      <c r="B30" s="47"/>
      <c r="C30" s="53"/>
      <c r="D30" s="49" t="s">
        <v>446</v>
      </c>
      <c r="E30" s="45"/>
      <c r="F30" s="46"/>
      <c r="G30" s="40">
        <f t="shared" si="2"/>
        <v>0</v>
      </c>
      <c r="H30" s="40">
        <f t="shared" si="3"/>
        <v>0</v>
      </c>
      <c r="I30" s="41">
        <f t="shared" si="4"/>
        <v>0</v>
      </c>
      <c r="J30" s="41">
        <f t="shared" si="5"/>
        <v>0</v>
      </c>
      <c r="K30" s="41">
        <f t="shared" si="6"/>
        <v>0</v>
      </c>
      <c r="L30" s="41">
        <f t="shared" si="7"/>
        <v>0</v>
      </c>
    </row>
  </sheetData>
  <mergeCells count="8">
    <mergeCell ref="A1:F1"/>
    <mergeCell ref="G1:H1"/>
    <mergeCell ref="I1:J1"/>
    <mergeCell ref="K1:L1"/>
    <mergeCell ref="B3:B9"/>
    <mergeCell ref="B10:B16"/>
    <mergeCell ref="B17:B23"/>
    <mergeCell ref="B24:B30"/>
  </mergeCells>
  <drawing r:id="rId1"/>
</worksheet>
</file>