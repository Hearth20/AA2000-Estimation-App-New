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CELIST" sheetId="1" r:id="rId5"/>
  </sheets>
  <definedNames>
    <definedName hidden="1" localSheetId="0" name="_xlnm._FilterDatabase">PRICELIST!$A$2:$N$1972</definedName>
  </definedNames>
  <calcPr/>
</workbook>
</file>

<file path=xl/sharedStrings.xml><?xml version="1.0" encoding="utf-8"?>
<sst xmlns="http://schemas.openxmlformats.org/spreadsheetml/2006/main" count="9893" uniqueCount="3783">
  <si>
    <t>PRODUCT INFORMATION</t>
  </si>
  <si>
    <t>SRP (End-User)</t>
  </si>
  <si>
    <t>DEALER's PRICE</t>
  </si>
  <si>
    <t>CONTRACTOR's PRICE</t>
  </si>
  <si>
    <t>BRAND</t>
  </si>
  <si>
    <t>CATEGORY</t>
  </si>
  <si>
    <t>TYPE</t>
  </si>
  <si>
    <t>MODEL</t>
  </si>
  <si>
    <t>ITEM DESCRIPTION</t>
  </si>
  <si>
    <t>OTHER DESCRIPTION</t>
  </si>
  <si>
    <t>UPDATED PRICE</t>
  </si>
  <si>
    <t>PURCHASE AMOUNT IN USD</t>
  </si>
  <si>
    <t xml:space="preserve"> Small Volume
(50% Mark-Up) </t>
  </si>
  <si>
    <t xml:space="preserve"> Big Volume
(30% Mark-Up) </t>
  </si>
  <si>
    <t xml:space="preserve"> Small Volume
(30% Mark-Up) </t>
  </si>
  <si>
    <t xml:space="preserve"> Big Volume
(20% Mark-Up) </t>
  </si>
  <si>
    <t xml:space="preserve"> Small Volume
(15% Mark-Up) </t>
  </si>
  <si>
    <t xml:space="preserve"> Big Volume
(10% Mark-Up) </t>
  </si>
  <si>
    <t>PANASONIC</t>
  </si>
  <si>
    <t>BACK-UP BATTERY</t>
  </si>
  <si>
    <t>12V 7AH</t>
  </si>
  <si>
    <t>PER PIECE</t>
  </si>
  <si>
    <t>-</t>
  </si>
  <si>
    <t>ASPEX</t>
  </si>
  <si>
    <t>12V 12AH</t>
  </si>
  <si>
    <t>12V 18AH</t>
  </si>
  <si>
    <t>12V 26AH</t>
  </si>
  <si>
    <t>12V 40AH</t>
  </si>
  <si>
    <t>12V 65AH</t>
  </si>
  <si>
    <t>ACCU-CELL</t>
  </si>
  <si>
    <t>NP12-12AH</t>
  </si>
  <si>
    <t>12V 12AH SEALED LEAD ACID RECHARGEABLE BATTERY</t>
  </si>
  <si>
    <t xml:space="preserve">BOOSTER POWER SUPPLY        
</t>
  </si>
  <si>
    <t xml:space="preserve">External Power Supply 8A battery booster for hornstrobes P2RL)
</t>
  </si>
  <si>
    <t>UNIT/S</t>
  </si>
  <si>
    <t>EDWARDS</t>
  </si>
  <si>
    <t>Addressable</t>
  </si>
  <si>
    <t>SIGA-OSD</t>
  </si>
  <si>
    <t>Edwards Addressable Intelligent Multi-criteria optical smoke detector</t>
  </si>
  <si>
    <t>SIGA-OSD-FCN</t>
  </si>
  <si>
    <t>CHINA</t>
  </si>
  <si>
    <t>SIGA-COD</t>
  </si>
  <si>
    <t>Edwards EST SIGA-COD Intelligent Carbon Monoxide Detector</t>
  </si>
  <si>
    <t>SIGA-SB</t>
  </si>
  <si>
    <t>Edwards Addressable Detector Base - Standard</t>
  </si>
  <si>
    <t>SIGA-HRD</t>
  </si>
  <si>
    <t>Edwards Addressable Intelligent S2G FT / ROR Heat Detector - 135F</t>
  </si>
  <si>
    <t>SIGA-REL</t>
  </si>
  <si>
    <t>Edwards EST SIGA-REL Analog Releasing Module</t>
  </si>
  <si>
    <t>G4AVRF + GRSW</t>
  </si>
  <si>
    <t>Edwards Addressable Wall Horn/Strobe, Red with FIRE markings, with LED strobe light with Mounting Plate</t>
  </si>
  <si>
    <t>Old Model of 757-7A-T</t>
  </si>
  <si>
    <t>G4AVRF</t>
  </si>
  <si>
    <t>Edwards Addressable wall horne/Strobe ,white w/ fire markings,w/ LED strobe</t>
  </si>
  <si>
    <t>G1AVRF</t>
  </si>
  <si>
    <t>MINI HORN STROBE</t>
  </si>
  <si>
    <t>G4SVRF + GRSW</t>
  </si>
  <si>
    <t>Edwards Addressable Wall, Speaker Strobe Red with Mounting Plate</t>
  </si>
  <si>
    <t>G4SVRF</t>
  </si>
  <si>
    <t>Edwards Addressable Wall, Speaker Strobe Red</t>
  </si>
  <si>
    <t>G4VRF</t>
  </si>
  <si>
    <t>BEAM STROBE</t>
  </si>
  <si>
    <t>GRSW</t>
  </si>
  <si>
    <t>Edwards Addressable Mounting Plate for Speaker Strobe ONLY</t>
  </si>
  <si>
    <t>SIGA-278</t>
  </si>
  <si>
    <t>Edwards AddressableManual Pull Station - Double Action, 1-stage</t>
  </si>
  <si>
    <t>SIGA-270</t>
  </si>
  <si>
    <t>Edwards Addressable Manual Pull Station -Single Action, 1-stage</t>
  </si>
  <si>
    <t>SIGA-CT1</t>
  </si>
  <si>
    <t>Edwards Addressable Single Input  Module</t>
  </si>
  <si>
    <t>SIGA-CC1</t>
  </si>
  <si>
    <t>Edwards Addressable Single Input (Riser) Module</t>
  </si>
  <si>
    <t>SIGA-CC2</t>
  </si>
  <si>
    <t>Edwards Addressable Dual Input (Riser) Module</t>
  </si>
  <si>
    <t>SIGA-CR</t>
  </si>
  <si>
    <t>Edwards Addressable Control Relay Module</t>
  </si>
  <si>
    <t>SIGA-CT2</t>
  </si>
  <si>
    <t>Edwards Addressable Dual Input Module.</t>
  </si>
  <si>
    <t>SIM-INTL</t>
  </si>
  <si>
    <t>Edwards Addressable Interface module for 2 wire Convntional detector</t>
  </si>
  <si>
    <t>SIGA-WTM</t>
  </si>
  <si>
    <t>Edwards Addressable Combination Waterflow/Tamper Module</t>
  </si>
  <si>
    <t>SIGA-PHD</t>
  </si>
  <si>
    <t>Edwards Addressable Multi Sensor Smoke &amp; Heat Detector</t>
  </si>
  <si>
    <t>SIGA-IM</t>
  </si>
  <si>
    <t>Edwards Addressable Loop Isoaltor Module</t>
  </si>
  <si>
    <t>SIGA-AB4G</t>
  </si>
  <si>
    <t>Edwards Addressable Audible Sounder for SIGA PD AddressbleSmoke</t>
  </si>
  <si>
    <t>SIGA-AB4G-LF</t>
  </si>
  <si>
    <t>Edwards Addressable Audible Sounder Base, low frequency (520Hz)</t>
  </si>
  <si>
    <t>PEI-SAN-ANN</t>
  </si>
  <si>
    <t>Edwards AddressableCustom Serial LED annunciator</t>
  </si>
  <si>
    <t>PEI-SAN-DVR</t>
  </si>
  <si>
    <t>Edwards Addressable Custom Serial LED annunciator Drive</t>
  </si>
  <si>
    <t>BPS10A/230</t>
  </si>
  <si>
    <t>Edwards Addressable 10 Amp Booster Power Supply</t>
  </si>
  <si>
    <t>BPS6A/230</t>
  </si>
  <si>
    <t>Edwards Addressable 6.5 Amp Booster Power Supply</t>
  </si>
  <si>
    <t>BC-1</t>
  </si>
  <si>
    <t>Battery Cabinet. 14.0" x 18.25" x 7.25"</t>
  </si>
  <si>
    <t>iO64G-2</t>
  </si>
  <si>
    <t>Edwards Addressable FACP, 1 Loop, 64 intelligent devices max, 2 Class B NAC's, 4.25A Gray, 230VAC</t>
  </si>
  <si>
    <t>iO1000G2 FACP</t>
  </si>
  <si>
    <t>iO Series addressable fire alarm control panel, 1 loop expandable to 4 loops, with 4 built-in system relays, 4 line(80 character) backlit LCD display, power supply, charger &amp; batteries Components are:
(1)FACP, 4 Loops max, 4 Class B NAC's, 6.5A , 230VAC
(2)Battery 17 AH, 12 volt cells
(1)Battery cabinet (1 LOOP)</t>
  </si>
  <si>
    <t>iO10000G2 has different components, please ASK FIRST the purchasing department your requirements for us to give you accurate prices.</t>
  </si>
  <si>
    <t>iO Series Addressblefire alarm control panel, 4loops with 4 built-in system relays, 4 line 
(80) character backlit LCD display, 6 amp power supply, charger &amp; maintenance free rechargeable batteries components are:                       
(1) FACP, 1 Loop, 4 Class B NAC's, 6.5A, 230VAC                  
(1) Expansion Loop                                
(2) Battery 12 AH, 12 volt cells (2 LOOPS)</t>
  </si>
  <si>
    <t>iO Series Addressblefire alarm control panel, 4 loop, 4 Class B NACs, 6.5A, 230VAC with:                                                 
(1) FACP, 3 Loop, 4 Class B NAC's, 6.5A, 230VAC                                                 
(1) iOSDC2 Expasion Loop for w/ two 250 point Loop              
(2) Rechargeable Battery 12V-40AH/42AH                                              
(1) BC1 Battery Cabinet 14.0 x 18.25 x 7.25 (3 LOOPS)</t>
  </si>
  <si>
    <t>I01000G2 FACP</t>
  </si>
  <si>
    <t xml:space="preserve"> Series Addressblefire alarm control panel, 4loops with 4 built-in system relays, 4 line 
(80) character backlit LCD display, 6 amp power supply, charger &amp; maintenance free rechargeable batteries components are:                       
(1) FACP, 1 Loop, 4 Class B NAC's, 6.5A, 230VAC                  
(3) Expansion Loop                                
(2) Battery 12 AH, 12 volt cells (4 LOOPS)</t>
  </si>
  <si>
    <t>IO-SDC1</t>
  </si>
  <si>
    <t>Edwards Addressable Expansion module, one 250-device loop. For iO1000 only</t>
  </si>
  <si>
    <t>IO-SDC2</t>
  </si>
  <si>
    <t>Edwards Addressable Expansion module, two 250-device loops, 500 devices total. For iO1000 only</t>
  </si>
  <si>
    <t>SA-232</t>
  </si>
  <si>
    <t>Edwards Addressable Serial Interface, RS232,</t>
  </si>
  <si>
    <t>SA-CLA</t>
  </si>
  <si>
    <t>Edwards Addressable Class A NAC module, for 64pt systems only</t>
  </si>
  <si>
    <t>SA-DACT</t>
  </si>
  <si>
    <t>Edwards Addressable Dialer/Modem, two telephone line connections, RJ31, mounts to base plate.</t>
  </si>
  <si>
    <t>SA-ETH</t>
  </si>
  <si>
    <t>Edwards Addressable Ethernet Port Interface, RJ45, mounts to base plate.</t>
  </si>
  <si>
    <t>RLCD</t>
  </si>
  <si>
    <t>Edwards Addressable Remote Annunciator, 80 character LCD, Common System indicators</t>
  </si>
  <si>
    <t>RLCD-C</t>
  </si>
  <si>
    <t>Edwards Addressable Remote Annunciator, 80 character LCD, Common System indicators and controls</t>
  </si>
  <si>
    <t>IO1000-RE</t>
  </si>
  <si>
    <t>Edwards Addressable Replacement electronics assembly, four loop, iO series, English</t>
  </si>
  <si>
    <t>IO64-RE</t>
  </si>
  <si>
    <t>Edwards Addressable Replacement electronics assembly, one loop limited, iO series, English</t>
  </si>
  <si>
    <t>EST3</t>
  </si>
  <si>
    <t>Edwards Addressable EST3 fire alarm control panel 4 loops complete with powersupply/charger, sealed lead acid maintenance-free rechargeable batteries to power the system for 24 hours standby and 30 minutes alarm condition. 
Includes:
(1) Central Processor Module
(1) Network Communication Card, Class A
(5) Dual loop SIGA Data Controller
(1) Zoned Amplifier, 20 Watt, Class B 
(1) Liquid Crystal Display Module
(5) 12 Switch, 12 Yellow LED Ctrl Display Module
(1) Audio Source Unit with Fire Phone
(2) Primary Power Supply with Local Rail Module, 120-230V
(2) Seven Space Chassis with Rails
(4) Blank LRM Filler
(1) Remote Chassis Cabinet, Red
(1) Battery Shelf
(1) White Backbox with 21 x LRM spaces, no door
(1) White door assembly for 3-CAB7
(2) Battery, 12 V @ 65 AH</t>
  </si>
  <si>
    <t>EST3 has different components, please ASK FIRST the purchasing department your requirements for us to give you accurate prices.</t>
  </si>
  <si>
    <t>Edwards Addressable EST3 fire alarm control panel 4 loops complete with powersupply/charger, sealed lead acid maintenance-free rechargeable batteries to power the system for 24 hours standby and 30 minutes alarm condition. 
Includes:
(1) Central Processor Module
(1) Network Communication Card, Class A
(4) Dual loop SIGA Data Controller
(1) Primary Power Supply,120-230 V
(1) Seven Space Chassis with Rails
(1) Remote Chassis Cabinet, Red
(2) Battery, 12 V @ 50 AH</t>
  </si>
  <si>
    <t>Edwards Addressable EST3 fire alarm control panel 4 loops complete with powersupply/charger, sealed lead acid maintenance-free rechargeable batteries to power the system for 24 hours standby and 30 minutes alarm condition. 
Includes:
(1) Central Processor Module
(1) Network Communication Card, Class B
(4) Single loop SIGA Data Controller
(1) Liquid Crystal Display Module
(1) 12 Switch, 12 Yellow LED Ctrl Display Module
(1) Primary Power Supply, 230 V
(1) Seven Space Chassis with Rails
(1) White Backbox with 7 x LRM spaces, no door
(1) White door assembly for 3-CAB7
(1) Battery cabinet
(2) Battery, 12 V @ 40 AH</t>
  </si>
  <si>
    <t>Edwards Addressable EST3 fire alarm control panel complete with power supply/charger, sealed lead acid maintenance- free rechargeable batteries to power the system for 24 hours standby and 30 minutes alarm condition.     
Includes:      
(1) Central processor module                                                  
(1) Network Communication Card, Class B                         
(10) Single loop SIGA Data Controller                                    
(1) Liquid Crystal Display Module                                           
(2) 12 Switch, 12 Yellow LED ctd Display Module                 
(1) Primary Power Supply, 230V                                              
(2) Seven Space Chasis with Rails                                           
(1) Blank LRM Filter                                                                    
(1) Remote Chasis Cabinet, Red                                                 
(1) Battery Shelf                                                                           
(1) White Back door with 14 x LRM spaces, no door             
(1) White door assembly for 3-CAB14                                      
(2) Battery, 12V @ 6.5 AH</t>
  </si>
  <si>
    <t>Edwards Addressable EST3 fire alarm control panel complete with power supply/charger, sealed lead acid maintenance-free rechargeable batteries to power the system for 24 hours
standby and 30 minutes alarm condition. 
Includes:
3-CPU3  ( 1 ) Central Processor Module
3-RS485A  ( 1 ) Network Communication Card, Class A
3-SSDC1   ( 1 ) Single loop SIGA Data Controller
3-ZA40B  ( 1 ) 40-watt Zoned Amplifier, 25 or 70 Vrms, Class B
3-LCD     ( 1 ) Liquid Crystal Display Module
3-12SY    ( 1 ) 12 Switch, 12 Yellow LED Ctrl Display Module
3-ASU/FT  ( 1 ) Audio Source Unit with Fire Phone
3-PPS/M-230 ( 1 ) Primary Power Supply, 230 V
3-BPS/M-230  ( 1 ) Booster Power Supply, 230 V
3-CHAS7  ( 1 ) Seven Space Chassis with Rails
3-LRMF  ( 1 ) Blank LRM Filler
3-FP   ( 4 ) Filler plate
3-CAB14B  ( 1 ) White Backbox with 14 x LRM spaces, no door
3-CAB14D  ( 1 ) White door assembly for 3-CAB14
BC-1  ( 1 ) Battery cabinet
12V40A   ( 2 ) Battery, 12 V @ 40 AH</t>
  </si>
  <si>
    <t>PEI-LCB</t>
  </si>
  <si>
    <t>Local combination box                                                                (1) Manual Pull Station - Double Action, 1-stage                   (1) Bell, 152 mm (6"") dia, red, 24 VDC, micromotor             (1) Portable Telephone Receptacle - 1-gang, SS                      (1) Indicating lamp</t>
  </si>
  <si>
    <t>Custom Serial LED annunciator</t>
  </si>
  <si>
    <t>Custom Serial LED annunciator Driver</t>
  </si>
  <si>
    <t>Portable (Plug-in) Telephone Handset - BLACK</t>
  </si>
  <si>
    <t>3-CPU3</t>
  </si>
  <si>
    <t>Central Processor Unit Module</t>
  </si>
  <si>
    <t>3-MODCOM</t>
  </si>
  <si>
    <t>Modem / Communicator (DACT). Takes one local rail space</t>
  </si>
  <si>
    <t>3-MODCOMP</t>
  </si>
  <si>
    <t>Modem / Communicator (DACT) / Pager interface (TAP protocol).</t>
  </si>
  <si>
    <t>3-RS232</t>
  </si>
  <si>
    <t>RS-232 Communication Card. two separate isolated RS-232 ports</t>
  </si>
  <si>
    <t>3-RS485A</t>
  </si>
  <si>
    <t>Network Communications Card, Class A. Class A/B Network and Audio Data</t>
  </si>
  <si>
    <t>3-RS485B</t>
  </si>
  <si>
    <t>Network Communications Card, Class B.</t>
  </si>
  <si>
    <t>3-SDDC2</t>
  </si>
  <si>
    <t>Signature Dual Driver Controller.</t>
  </si>
  <si>
    <t>3-SSDC2</t>
  </si>
  <si>
    <t>Single Signature Driver Controller.</t>
  </si>
  <si>
    <t>3-SDC1</t>
  </si>
  <si>
    <t>Signature Driver Card. Used to upgrade 3-SSDC1 to 3-SDDC1.</t>
  </si>
  <si>
    <t>3-ANNCPU3</t>
  </si>
  <si>
    <t>Annunciator CPU. One Required per graphic annunciator</t>
  </si>
  <si>
    <t>3-LCDANN</t>
  </si>
  <si>
    <t>Remote LCD Command Module Annunciator. Includes LCD display, CPU and Doors</t>
  </si>
  <si>
    <t>3-LCD</t>
  </si>
  <si>
    <t>Liquid Crystal Display</t>
  </si>
  <si>
    <t>RLCM/B</t>
  </si>
  <si>
    <t>Driver Annunciator</t>
  </si>
  <si>
    <t>10ANN/B</t>
  </si>
  <si>
    <t>Semi-flush Annunciator Wall Box</t>
  </si>
  <si>
    <t>10ANN/B-S</t>
  </si>
  <si>
    <t>Surface Annunciator Wall Box</t>
  </si>
  <si>
    <t>3-10ANN</t>
  </si>
  <si>
    <t>Ten Position Base Annunciator. Includes Door, CPU card, two annunciator support modules</t>
  </si>
  <si>
    <t>3-6ANN</t>
  </si>
  <si>
    <t>Six Position Base Annunciator. Includes Door, CPU card, two annunciator support modules</t>
  </si>
  <si>
    <t>3-ANNSM</t>
  </si>
  <si>
    <t>Annunciator Support Module</t>
  </si>
  <si>
    <t>6ANN/B</t>
  </si>
  <si>
    <t>6ANN/B-S</t>
  </si>
  <si>
    <t>3-10ANN/D</t>
  </si>
  <si>
    <t>Ten Position Annunciator Cabinet Door</t>
  </si>
  <si>
    <t>3-6ANN/D</t>
  </si>
  <si>
    <t>Six Position Annunciator Cabinet Door (bms id 1252)</t>
  </si>
  <si>
    <t>60-10-300</t>
  </si>
  <si>
    <t>FIRERAYONE BEAM DETECTOR,120M UL LISTED</t>
  </si>
  <si>
    <t>1010-000</t>
  </si>
  <si>
    <t>Long range Prism kit</t>
  </si>
  <si>
    <t>G1R-HDVM</t>
  </si>
  <si>
    <t>Genesis  Temporal Horn Strobe</t>
  </si>
  <si>
    <t>IO-SDC-1</t>
  </si>
  <si>
    <t>Expansion Loop Card</t>
  </si>
  <si>
    <t>Portable Handset 6830-3</t>
  </si>
  <si>
    <t>GENESIS LED-G4 SERIES</t>
  </si>
  <si>
    <t>G1RH</t>
  </si>
  <si>
    <t>EDWARDS EST 6833-4 WALL PLATE RECEPTACLE FOR EMERGENCY TELEPHONE</t>
  </si>
  <si>
    <t>G4HFRF-S7VMC</t>
  </si>
  <si>
    <t>EDWARDS SPEAKER STROBE (70V, RED)</t>
  </si>
  <si>
    <t>Conventional</t>
  </si>
  <si>
    <t>FireShield Plus</t>
  </si>
  <si>
    <t>FSP 502-G-2</t>
  </si>
  <si>
    <t>Conventional Fire Alarm Control Panel, 5 Class B IDC zones, 2 Class B NAC's</t>
  </si>
  <si>
    <t>FSP 1004G-2</t>
  </si>
  <si>
    <t>Conventional Fire Alarm Control Panel, 10 Class B IDC zones, 4 Class B NAC's</t>
  </si>
  <si>
    <t>F-DACT</t>
  </si>
  <si>
    <t>F-Series upload/download DACT and modem, dual line, w/ 2X16 LCD</t>
  </si>
  <si>
    <t>FSRSI</t>
  </si>
  <si>
    <t>Remote System Indicator, Power, Alarm, Supervisory, Trouble LED's with local buzzer</t>
  </si>
  <si>
    <t>FSRZI-A</t>
  </si>
  <si>
    <t>Remote Zone Indicator, contains 5 red LED's for alarm zone indication</t>
  </si>
  <si>
    <t>FSRZI-SA</t>
  </si>
  <si>
    <t>Remote Zone Indicator, contains 5 bi-color LED's (Red/Yellow) for alarm or supervisory zone</t>
  </si>
  <si>
    <t>FSRA10</t>
  </si>
  <si>
    <t>Remote LED Annunciator, includes common system indicators, 10 zone indicators</t>
  </si>
  <si>
    <t>FSRA10C</t>
  </si>
  <si>
    <t>Remote LED Annunciator, includes common system indicators, 10 zone indicators &amp; control</t>
  </si>
  <si>
    <t>FSRRM</t>
  </si>
  <si>
    <t>Fire Control Accessory, Remote Relay Module</t>
  </si>
  <si>
    <t>721U</t>
  </si>
  <si>
    <t>Conventional Smoke and Heat Detector</t>
  </si>
  <si>
    <t>EDC-M9101</t>
  </si>
  <si>
    <t>Conventional Photoelectric Smoke /Heat Detector</t>
  </si>
  <si>
    <t>EDC-M9102 + EDBM01</t>
  </si>
  <si>
    <t>Conventional Photoelectric Smoke Detector with base</t>
  </si>
  <si>
    <t>EDC-M9102</t>
  </si>
  <si>
    <t>Conventional Photoelectric Smoke Detector</t>
  </si>
  <si>
    <t>EDC- M9103</t>
  </si>
  <si>
    <t>Conventional Heat Detector</t>
  </si>
  <si>
    <t>EDB-M01</t>
  </si>
  <si>
    <t>EDWARDS CONVENTIONAL DETECTOR BASE</t>
  </si>
  <si>
    <t>270A-SPO</t>
  </si>
  <si>
    <t>Conventional Manual Pull Station</t>
  </si>
  <si>
    <t>279B-1110</t>
  </si>
  <si>
    <t>Fire Alarm Manual Station - single pole, tool reset, double action, wire leads</t>
  </si>
  <si>
    <t>MB624</t>
  </si>
  <si>
    <t>Conventionl Bell</t>
  </si>
  <si>
    <t>OLD MODEL</t>
  </si>
  <si>
    <t>439D-6AW-R</t>
  </si>
  <si>
    <t>Fire Alarm Bell, 6" (150mm), Vibrating, Diode, 24VDC, Red</t>
  </si>
  <si>
    <t>439D-10AW-R</t>
  </si>
  <si>
    <t>Fire Alarm Bell, 10" (250mm), Vibrating, Diode, 24VDC, Red</t>
  </si>
  <si>
    <t>721UT</t>
  </si>
  <si>
    <t>Smoke Detector with Heat Sensor w/ 702E base</t>
  </si>
  <si>
    <t>AMX-B500T</t>
  </si>
  <si>
    <t>Amerex 5lbs Capacity ABC Dry Chem Fire Extinguisher</t>
  </si>
  <si>
    <t>Interface Module for 2 wire Convntionl detector</t>
  </si>
  <si>
    <t>302-AW-194 (302-EPM-194)</t>
  </si>
  <si>
    <t>Heat Det. - Rate Compensation, Explosion Proof Mounting UL - 194°F (Requires JALX-11 or equal)</t>
  </si>
  <si>
    <t>302-AW-135</t>
  </si>
  <si>
    <t>Heat Det. - Rate Compensation, Explosion Proof Mounting UL - 135°F (Requires JALX-11 or equal)</t>
  </si>
  <si>
    <t>JALX11</t>
  </si>
  <si>
    <t>Explosion proof outlet body with cover (1/2" thread hubs back, four sides and cover) - Killark model</t>
  </si>
  <si>
    <t>MPSR1-D45WX-GE</t>
  </si>
  <si>
    <t>Manual Station, Explosionproof. Listed for Class I Div. 1 &amp; 2, Groups C &amp; D; Class II Div. 1 &amp; 2, Groups E, F &amp; G; Class III; NEMA 7C,D; NEMA 9E,F,G</t>
  </si>
  <si>
    <t>MPSR-LP</t>
  </si>
  <si>
    <t>Fire Alarm Manual Station Dual Action level for MPSR1-D45WX-GE, English</t>
  </si>
  <si>
    <t>116DEGEX-FJ</t>
  </si>
  <si>
    <t>Edwards' 116 Class Genesis Explosionproof fire alarm strobe, Class I, Division 1 and 2 explosion proof and hazardous location applications.</t>
  </si>
  <si>
    <t>116EX-B</t>
  </si>
  <si>
    <t>Strobe Accessory, Wall Elbow Bracket</t>
  </si>
  <si>
    <t>116EX-C</t>
  </si>
  <si>
    <t>Strobe Accessory, Wall/Ceiling Mount Box</t>
  </si>
  <si>
    <t>116EX-P</t>
  </si>
  <si>
    <t>Bracket for 116DEX, Pendant Mount</t>
  </si>
  <si>
    <t>5533MD-AW</t>
  </si>
  <si>
    <t>Adaptatone Hazardous Location Diode Polarized Multiple Tone Industrial Signal Gray 20VDC, 0.44A; 24VDC, 0.44A</t>
  </si>
  <si>
    <t>3-ZA20B</t>
  </si>
  <si>
    <t>20-watt Zoned Amplifier, 25 or 70 Vrms, Class B</t>
  </si>
  <si>
    <t>3-ASU/FT</t>
  </si>
  <si>
    <t>Audio Source Unit with mounting Chassis, Microphone, Paging Controls and Firephone</t>
  </si>
  <si>
    <t>AD68-0100</t>
  </si>
  <si>
    <t>Kidde Alarmline Digital cable 68°C</t>
  </si>
  <si>
    <t>SSM-6-24</t>
  </si>
  <si>
    <t>CONVENTIONAL BELL</t>
  </si>
  <si>
    <t>30-3013A1N12A</t>
  </si>
  <si>
    <t>Edwards Signaling 30-3013A1N12A Smoke Detector, Explosion Proof, 3 4 NPT, Non Latching</t>
  </si>
  <si>
    <t>IO1000G-2</t>
  </si>
  <si>
    <t>Four Loop System with One 250-Point Loop</t>
  </si>
  <si>
    <t>NOTIFIER</t>
  </si>
  <si>
    <t>Detector</t>
  </si>
  <si>
    <t>FSP-951 + B501</t>
  </si>
  <si>
    <t>Notifier Addressable Smoke Detector with B501 Base</t>
  </si>
  <si>
    <t>FSP-951 + B501/W</t>
  </si>
  <si>
    <t>Notifier Addressable Heat Detector</t>
  </si>
  <si>
    <t>FSP-951 + B501BH-3</t>
  </si>
  <si>
    <t>Notifier Addressable Smoke Detector with Sounder Base</t>
  </si>
  <si>
    <t>B501/W</t>
  </si>
  <si>
    <t>Notifier Addressable Base</t>
  </si>
  <si>
    <t>FST-951 + B501</t>
  </si>
  <si>
    <t>Notifier Addressble Heat with B501 Base</t>
  </si>
  <si>
    <t>B501</t>
  </si>
  <si>
    <t>Notifier Addressable Standard base</t>
  </si>
  <si>
    <t>FSL-851+B501</t>
  </si>
  <si>
    <t>Notifier Addressable Laser Smoke detector with base</t>
  </si>
  <si>
    <t>Panel</t>
  </si>
  <si>
    <t>NFS-320E</t>
  </si>
  <si>
    <t>Notifier 1 loop Addressable Panel</t>
  </si>
  <si>
    <t>NFS-3030</t>
  </si>
  <si>
    <t>Notifier Add. Fire Alarm Control Panel</t>
  </si>
  <si>
    <t>NFS-640</t>
  </si>
  <si>
    <t>Notifier Addressable 2 Loops w/o Tel &amp; Voice Evac System</t>
  </si>
  <si>
    <t>NFS2-640E</t>
  </si>
  <si>
    <t>Notifier Addressable 1 Loop w/o Tel &amp; Voice Evac System</t>
  </si>
  <si>
    <t>NFS-640E</t>
  </si>
  <si>
    <t>Notifier Addressable 1 Loop w/o Tel and Voice Evac</t>
  </si>
  <si>
    <t>NFS2-3030</t>
  </si>
  <si>
    <t>Notifier 15 Loops Addressble Panel</t>
  </si>
  <si>
    <t>NFS-2-3030E</t>
  </si>
  <si>
    <t>Notifier Addressable 4 loops Panel w/ voice evac</t>
  </si>
  <si>
    <t>NFS2-3030E</t>
  </si>
  <si>
    <t>Notifier Addressable 4 loops Panel w/o tel, voice evac, and annunciator</t>
  </si>
  <si>
    <t>ISO-X</t>
  </si>
  <si>
    <t>Notifier Addressable Isolator</t>
  </si>
  <si>
    <t>LCD2-80</t>
  </si>
  <si>
    <t>Notifier Addressable Annunciator</t>
  </si>
  <si>
    <t>NBG-12LX</t>
  </si>
  <si>
    <t>Notifier Addressable Manual Pull Station</t>
  </si>
  <si>
    <t>SS-OSY</t>
  </si>
  <si>
    <t>Notifier Addressable Supervisory Switch</t>
  </si>
  <si>
    <t>DNR+DST3+FSP-951</t>
  </si>
  <si>
    <t>Notifier Addressable Duct Smoke Detector</t>
  </si>
  <si>
    <t>FSI-851</t>
  </si>
  <si>
    <t>Notifier Addressable Ionization Smoke Detector</t>
  </si>
  <si>
    <t>PSE-6(C)(E)</t>
  </si>
  <si>
    <t>Notifier Addressable Remote Power Supply</t>
  </si>
  <si>
    <t>FDRM-1</t>
  </si>
  <si>
    <t>Notifier Addressable Dual delay module</t>
  </si>
  <si>
    <t>FRM-1</t>
  </si>
  <si>
    <t>Notifier Addressable Relay Module</t>
  </si>
  <si>
    <t>FMM-101</t>
  </si>
  <si>
    <t>Notifier Addressable Miniature monitor module</t>
  </si>
  <si>
    <t>FCM-1</t>
  </si>
  <si>
    <t>Notifier Addressable Supervised Control Modules</t>
  </si>
  <si>
    <t>SP-SR</t>
  </si>
  <si>
    <t>Notifier Addressable Speaker Strobe</t>
  </si>
  <si>
    <t>LDM32</t>
  </si>
  <si>
    <t>Notifier Addressable Lamp Driver Module with 32 Alarm Lamp-Driver Transistors.</t>
  </si>
  <si>
    <t>LDMR-32</t>
  </si>
  <si>
    <t>Relay moduleNotifier Addressable</t>
  </si>
  <si>
    <t>RP2001-E</t>
  </si>
  <si>
    <t>Notifier Conventional 6-zone FACP for single and dual hazard deluge and preaction applications</t>
  </si>
  <si>
    <t>RP2002-E</t>
  </si>
  <si>
    <t>Notifier Conventional 6-zone FACP for single and dual hazard agent releasing applications</t>
  </si>
  <si>
    <t>FS-OSI-RI</t>
  </si>
  <si>
    <t>Intelligent Single-ended Reflective Imaging Beam 
Smoke Detector</t>
  </si>
  <si>
    <t>FCPS-A24S8</t>
  </si>
  <si>
    <t>7Amp Power Supply</t>
  </si>
  <si>
    <t>LCD2-160</t>
  </si>
  <si>
    <t>Mimic Panel character  Annunciator</t>
  </si>
  <si>
    <t>LCD-160+ABS 2D</t>
  </si>
  <si>
    <t>LEM-320</t>
  </si>
  <si>
    <t>Loop Expander Module</t>
  </si>
  <si>
    <t>CPU-640e</t>
  </si>
  <si>
    <t>Board</t>
  </si>
  <si>
    <t>Flame Detector</t>
  </si>
  <si>
    <t>MPS 24A</t>
  </si>
  <si>
    <t>Power Supply</t>
  </si>
  <si>
    <t>ACM-32A</t>
  </si>
  <si>
    <t>Annunciator Control Module</t>
  </si>
  <si>
    <t>ACM16AT</t>
  </si>
  <si>
    <t>Annunciator Control Module-16AT contains 16 red Alarm and 16 yellow Trouble LEDs, 16 momentary touch-pad switches</t>
  </si>
  <si>
    <t>ABS-1TB</t>
  </si>
  <si>
    <t>attractive surface-mount backbox for mounting one ACS Series Annunciator</t>
  </si>
  <si>
    <t>CPU-3030D</t>
  </si>
  <si>
    <t>Intelligent Addressalbe Control Panel W/Display</t>
  </si>
  <si>
    <t>FTM</t>
  </si>
  <si>
    <t>Firemans Telephone Module</t>
  </si>
  <si>
    <t>FCPS</t>
  </si>
  <si>
    <t>FCPS-24S8-7AH w/Battery Charger</t>
  </si>
  <si>
    <t>FDU80</t>
  </si>
  <si>
    <t>compact, cost-effective, 80-character, backlit LCD remote Fire Annunciator for use with the NOTIFIER FireWarden-100-2</t>
  </si>
  <si>
    <t>Mimic Panel LCD Annunciator</t>
  </si>
  <si>
    <t>NCA-2</t>
  </si>
  <si>
    <t>Notifier Control Annunciator ( for Control &amp; Monitoring)</t>
  </si>
  <si>
    <t>LCD-160</t>
  </si>
  <si>
    <t>NCM-W</t>
  </si>
  <si>
    <t>Notifier Control Module Wired</t>
  </si>
  <si>
    <t>NCM-F</t>
  </si>
  <si>
    <t>Network Communication Module</t>
  </si>
  <si>
    <t>SPSRL</t>
  </si>
  <si>
    <t>Speaker Strobe, Indoor, 25/70 Volt Speaker Wall mounted</t>
  </si>
  <si>
    <t>FHS</t>
  </si>
  <si>
    <t>Fireman's Telephone Handset</t>
  </si>
  <si>
    <t>FPJ</t>
  </si>
  <si>
    <t>Fireman's Phone Jack</t>
  </si>
  <si>
    <t>B401/W</t>
  </si>
  <si>
    <t>Conventional Base</t>
  </si>
  <si>
    <t>5601P</t>
  </si>
  <si>
    <t>Conventional Heat detector  5601p</t>
  </si>
  <si>
    <t>wizmart Brand</t>
  </si>
  <si>
    <t>NB758S--2L</t>
  </si>
  <si>
    <t>Conventional photoelectric smoke detector w/ base</t>
  </si>
  <si>
    <t>SFP-2402E</t>
  </si>
  <si>
    <t>2 Zones Conventional Fire Alarm Control Panel</t>
  </si>
  <si>
    <t>SFP-2404E</t>
  </si>
  <si>
    <t>4 Zones Conventional Fire Alarm Control Panel</t>
  </si>
  <si>
    <t>SFP-5UDE</t>
  </si>
  <si>
    <t>5 Zones Conventional Fire Alarm Control Panel</t>
  </si>
  <si>
    <t>SFP-10UDE</t>
  </si>
  <si>
    <t>10 Zones Conventional Fire Alarm Control Panel</t>
  </si>
  <si>
    <t>D2 + DST3+Wizmart</t>
  </si>
  <si>
    <t>Conventional duct detector</t>
  </si>
  <si>
    <t>ACM-8R</t>
  </si>
  <si>
    <t>ANNUNCIATOR RELAY MODULE</t>
  </si>
  <si>
    <t>SFP-400</t>
  </si>
  <si>
    <t>FIRELITE 4 ZONES</t>
  </si>
  <si>
    <t>10 ZONE PANEL</t>
  </si>
  <si>
    <t>4 ZONE PANEL</t>
  </si>
  <si>
    <t>2 ZONE PANEL</t>
  </si>
  <si>
    <t>NBG-12</t>
  </si>
  <si>
    <t>NBG-12LOB</t>
  </si>
  <si>
    <t>Dual-action Pull Station with key lock, for outdoor applications. Non-coded, non-addressable. For use with conventional FACPs.</t>
  </si>
  <si>
    <t>SSM24-6</t>
  </si>
  <si>
    <t>SSM24-6 Convntionl  Alarm Bell 6" System Sensor</t>
  </si>
  <si>
    <t>System Sensor</t>
  </si>
  <si>
    <t>SRL</t>
  </si>
  <si>
    <t>Strobe Light</t>
  </si>
  <si>
    <t>P2RLED</t>
  </si>
  <si>
    <t>System Sensor P2R Horn Strobe Conv. wall mounted</t>
  </si>
  <si>
    <t>P2RK</t>
  </si>
  <si>
    <t>Horn Strobe, 2-wire, Standard-candela, Outdoor, Wall Mount, with Backbox, Red</t>
  </si>
  <si>
    <t>FZM-1</t>
  </si>
  <si>
    <t>Monitor Module</t>
  </si>
  <si>
    <t>4XZM</t>
  </si>
  <si>
    <t>Driver for Module for Directory Pipe Annunciator 4zones only</t>
  </si>
  <si>
    <t>NFC-50/100E</t>
  </si>
  <si>
    <t>First Command Emergency Communication System</t>
  </si>
  <si>
    <t>RP-2001(E)</t>
  </si>
  <si>
    <t>Six-zone, 24 volt Deluge-Preaction Control Panel for single and dual
hazard deluge and preaction applications but allows connection to 240 VAC.</t>
  </si>
  <si>
    <t>NCD</t>
  </si>
  <si>
    <t>Network control display</t>
  </si>
  <si>
    <t>ABS-TD</t>
  </si>
  <si>
    <t>Back box</t>
  </si>
  <si>
    <t>FABRI-LCDANNUN</t>
  </si>
  <si>
    <t>SPECIAL FABRICATED LED ANNUNCIATOR, DIRECTORY TYPE</t>
  </si>
  <si>
    <t xml:space="preserve">LCM-320	
</t>
  </si>
  <si>
    <t>LOOP CONTROL MODULE. EACH LCM MAY BE EXPANDED TO TWO LOOPS BY ADDING A LEM-320. NFS2-3030 AND NFS-3030 ONLY</t>
  </si>
  <si>
    <t>Accessories</t>
  </si>
  <si>
    <t>Back-up battery for panel</t>
  </si>
  <si>
    <t>External Power Supply 8A</t>
  </si>
  <si>
    <t>SIMPLEX</t>
  </si>
  <si>
    <t>4098-9788</t>
  </si>
  <si>
    <t>2-WIRE DET REM LED BASE</t>
  </si>
  <si>
    <t>4098-9789E</t>
  </si>
  <si>
    <t>SENSOR BASE W/LED OUTPUT</t>
  </si>
  <si>
    <t>4098-9789</t>
  </si>
  <si>
    <t>LIFE ALARM SENS BASE W/ LED OUT</t>
  </si>
  <si>
    <t>4098-9789EA</t>
  </si>
  <si>
    <t>ID NET ADDRESSABLE BASE AUSTRALIA</t>
  </si>
  <si>
    <t>2099-9754</t>
  </si>
  <si>
    <t>PULL STATION S/A, IN/O0</t>
  </si>
  <si>
    <t>2099-9103</t>
  </si>
  <si>
    <t>PULL STATION BREAK GLASS IN/O</t>
  </si>
  <si>
    <t>2084-9001</t>
  </si>
  <si>
    <t>REMOTE PHONE JACK</t>
  </si>
  <si>
    <t>2084-9014</t>
  </si>
  <si>
    <t>PLUGGABLE PHONE W/5FT CABLE</t>
  </si>
  <si>
    <t>4901-9820</t>
  </si>
  <si>
    <t>HORN 24VDC RED NON-ADDRESSABL</t>
  </si>
  <si>
    <t>4902-9716</t>
  </si>
  <si>
    <t>SPEAKER 25V/70VRMS RED TRUEALE</t>
  </si>
  <si>
    <t>4906-9127</t>
  </si>
  <si>
    <t>A/V M-C NON-ADDRESS, RED, WALL</t>
  </si>
  <si>
    <t>COMPATIBLE WITH 4007ES HYBRID PANEL</t>
  </si>
  <si>
    <t>4906-9129</t>
  </si>
  <si>
    <t>A/V M-C NON-ADDRESS, WHT, WALL</t>
  </si>
  <si>
    <t>ALTERNATIVE FOR 4906-9127</t>
  </si>
  <si>
    <t>4906-9101</t>
  </si>
  <si>
    <t>V/O M-C NON-ADDRESS, RED, WALL</t>
  </si>
  <si>
    <t>4906-9151</t>
  </si>
  <si>
    <t>S/V M-C NON-ADDRESS, RED, WALL</t>
  </si>
  <si>
    <t>4906-9154</t>
  </si>
  <si>
    <t>S/V MC NON-ADDR WHT CEIL UL</t>
  </si>
  <si>
    <t>4007-9801</t>
  </si>
  <si>
    <t>ZONE-RELAY MODULE</t>
  </si>
  <si>
    <t>4007-9802</t>
  </si>
  <si>
    <t>25V REGULATOR MODULE</t>
  </si>
  <si>
    <t>4007-9803</t>
  </si>
  <si>
    <t>IDNET+ LOOP EXPANSION MODULE</t>
  </si>
  <si>
    <t>4606-9202</t>
  </si>
  <si>
    <t>4007ES COLOR LCD ANNUN, RED</t>
  </si>
  <si>
    <t>4099-9005</t>
  </si>
  <si>
    <t>STATION-LED, DA BREAKGLAS ADDR</t>
  </si>
  <si>
    <t>5000-103</t>
  </si>
  <si>
    <t>F-5000 BEAM DETECTOR SYSTEM</t>
  </si>
  <si>
    <t>516.900.201</t>
  </si>
  <si>
    <t>Conv. Smoke Detector Head, 721P</t>
  </si>
  <si>
    <t>NEW MODEL: 700 SERIES</t>
  </si>
  <si>
    <t>516.900.202</t>
  </si>
  <si>
    <t>721ph Optical Heat Detector UL</t>
  </si>
  <si>
    <t>4007-9101</t>
  </si>
  <si>
    <t>4007ES HYBRID FIRE ALARM CONTROL PANEL w/ Back-up Batteries, RED (max. 250points)</t>
  </si>
  <si>
    <t>4007-9201</t>
  </si>
  <si>
    <t>4007ES FULLY ADDRESSABLE FIRE ALARM CONTROL PANEL w/ Back-up Batteries, IDNAC, RED</t>
  </si>
  <si>
    <t>4010-9701</t>
  </si>
  <si>
    <t>4010ES FACP 240V RED</t>
  </si>
  <si>
    <t>IDNAC</t>
  </si>
  <si>
    <t>4006-9803</t>
  </si>
  <si>
    <t>EXPANSION RELAY MODULE ADDRESS</t>
  </si>
  <si>
    <t>4008-9802</t>
  </si>
  <si>
    <t>4010-9817</t>
  </si>
  <si>
    <t>MODULAR NETWORK CARD FOR 4010</t>
  </si>
  <si>
    <t>4010-9818</t>
  </si>
  <si>
    <t>WIRED NETWORK MEDIA CARD</t>
  </si>
  <si>
    <t>4120 rs485 media card</t>
  </si>
  <si>
    <t>4010-9823</t>
  </si>
  <si>
    <t>EXPANSION POWER SUPPLY 240V</t>
  </si>
  <si>
    <t>4606-9101</t>
  </si>
  <si>
    <t>REMOTE LCD ANNUNCIATOR</t>
  </si>
  <si>
    <t>4610-9111</t>
  </si>
  <si>
    <t>REMOTE LED SWITCH ANNUNCIATOR</t>
  </si>
  <si>
    <t>4603-9101</t>
  </si>
  <si>
    <t>LCD ANNUNCIATOR</t>
  </si>
  <si>
    <t>4603-9111</t>
  </si>
  <si>
    <t>6 GANG ALUM TRIM PLATE</t>
  </si>
  <si>
    <t>2975-9217</t>
  </si>
  <si>
    <t>SURFACE MOUNT BOX 4606 ANNUN</t>
  </si>
  <si>
    <t>4098-9714</t>
  </si>
  <si>
    <t>SSD PHOTO SENSOR</t>
  </si>
  <si>
    <t>4098-9764</t>
  </si>
  <si>
    <t>ANALOG PHOTO SENSOR WITH HEAT</t>
  </si>
  <si>
    <t>4098-9754  change model into  4098-9764</t>
  </si>
  <si>
    <t>4098-9733</t>
  </si>
  <si>
    <t>HEAT SENSOR</t>
  </si>
  <si>
    <t>4098-9733E</t>
  </si>
  <si>
    <t>HEAT SENSOR HUMID ENV</t>
  </si>
  <si>
    <t>4098-9791E</t>
  </si>
  <si>
    <t>SENSOR BASE W/RELAY OUTPUT</t>
  </si>
  <si>
    <t>4098-9792</t>
  </si>
  <si>
    <t>SENSOR BASE</t>
  </si>
  <si>
    <t>4098-9792E</t>
  </si>
  <si>
    <t>SENSOR BASE "E"</t>
  </si>
  <si>
    <t>4098-9793</t>
  </si>
  <si>
    <t>SENSOR BASE W/ISOLATOR</t>
  </si>
  <si>
    <t>4098-9794</t>
  </si>
  <si>
    <t>SOUNDER BASE</t>
  </si>
  <si>
    <t>4099-9004</t>
  </si>
  <si>
    <t>MAPNET II SINGLE ACTION MANUAL STATION</t>
  </si>
  <si>
    <t>replacement for the Simplex 4099-9001.</t>
  </si>
  <si>
    <t>4099-9006</t>
  </si>
  <si>
    <t>STATION-LED, DA PUSH ADDR</t>
  </si>
  <si>
    <t>4090-9001</t>
  </si>
  <si>
    <t>IAM SUPERVISED IDNET</t>
  </si>
  <si>
    <t>4090-9005</t>
  </si>
  <si>
    <t>IDNET RELEASE PERIPHERAL</t>
  </si>
  <si>
    <t>4090-9121</t>
  </si>
  <si>
    <t>SECURITY MONITOR IAM</t>
  </si>
  <si>
    <t>4090-9002</t>
  </si>
  <si>
    <t>IAM RELAY, IDNET</t>
  </si>
  <si>
    <t>4090-9007</t>
  </si>
  <si>
    <t>4008 ADDRESSABLE SIGNAL IAM (Signal Circuit)</t>
  </si>
  <si>
    <t>4090-9101</t>
  </si>
  <si>
    <t>ZAM CLASS B MONITOR, IDNET</t>
  </si>
  <si>
    <t>4090-9116</t>
  </si>
  <si>
    <t>ADDRESSABLE IDNET 2 ISOLATOR</t>
  </si>
  <si>
    <t>4090-9118</t>
  </si>
  <si>
    <t>RLY IDNET 2 IAM W/T SENSE</t>
  </si>
  <si>
    <t>4906-9251</t>
  </si>
  <si>
    <t>MC TRUEALERT S/V WALL MT RED</t>
  </si>
  <si>
    <t>4906-9253</t>
  </si>
  <si>
    <t>MC TRUEALERT S/V WALL MT WHITE</t>
  </si>
  <si>
    <t>49AV-WRF</t>
  </si>
  <si>
    <t>AV, WALL RED FIRE</t>
  </si>
  <si>
    <t>4100-7158</t>
  </si>
  <si>
    <t>4100ES MSTR CTLR UPGD NO DSPLY</t>
  </si>
  <si>
    <t>4100-3109</t>
  </si>
  <si>
    <t>IDNET2 250PT 2 LOOP MODULE</t>
  </si>
  <si>
    <t>4190-5065</t>
  </si>
  <si>
    <t>TSW FEATURE UPGRADE</t>
  </si>
  <si>
    <t>4100-1270</t>
  </si>
  <si>
    <t>MASTER TELEPHONE, 3 NACS</t>
  </si>
  <si>
    <t>2975-9445</t>
  </si>
  <si>
    <t>2 BAY BB/GDOOR/DRESS PNL PLAT</t>
  </si>
  <si>
    <t>4100-2320</t>
  </si>
  <si>
    <t>AUDIO EXPANSION BAY</t>
  </si>
  <si>
    <t>4100-2300</t>
  </si>
  <si>
    <t>EXPANSION BAY (PHASE 10 ONLY)</t>
  </si>
  <si>
    <t>8566-719</t>
  </si>
  <si>
    <t>4100ES MASTER CONTROLLER BD</t>
  </si>
  <si>
    <t>4190-9829</t>
  </si>
  <si>
    <t>PCI MODULAR NTWRK INTRFCE CARD</t>
  </si>
  <si>
    <t>4190-9822</t>
  </si>
  <si>
    <t>PCI WIRED MEDIA CARD</t>
  </si>
  <si>
    <t>4190-8603</t>
  </si>
  <si>
    <t>TSW SOFTWARE ONLY</t>
  </si>
  <si>
    <t>4100-3102</t>
  </si>
  <si>
    <t>MAPNET MODULE, UP TO 127 PTS</t>
  </si>
  <si>
    <t>2099-9804</t>
  </si>
  <si>
    <t>BREAKROD</t>
  </si>
  <si>
    <t>2081-9028</t>
  </si>
  <si>
    <t>ISOLATED LOOP CIRCUIT PROTECTR</t>
  </si>
  <si>
    <t>4100-5113</t>
  </si>
  <si>
    <t>SPS POWER, 3 NACS, 220/240V</t>
  </si>
  <si>
    <t>4100-6056</t>
  </si>
  <si>
    <t>NETWORK MEDIA CARD WIRED</t>
  </si>
  <si>
    <t>4100-6078</t>
  </si>
  <si>
    <t>NETWORK IFC CARD, MODULAR</t>
  </si>
  <si>
    <t>4007-9810</t>
  </si>
  <si>
    <t>4007ES MODULAR NIC</t>
  </si>
  <si>
    <t>4007-9813</t>
  </si>
  <si>
    <t>4090-9120</t>
  </si>
  <si>
    <t>6 POINT IDNET 2 I/O</t>
  </si>
  <si>
    <t>4100-1279</t>
  </si>
  <si>
    <t>2" BLANK DISPLAY MODULE</t>
  </si>
  <si>
    <t>4100-0635</t>
  </si>
  <si>
    <t>POWER DISTRIBUTION MODULE 220V</t>
  </si>
  <si>
    <t>4100-0636</t>
  </si>
  <si>
    <t>BOX TO BOX HARNESS KIT</t>
  </si>
  <si>
    <t>4100-1290</t>
  </si>
  <si>
    <t>24 POINT I/O MODULE</t>
  </si>
  <si>
    <t>4100-0638</t>
  </si>
  <si>
    <t>ADDITIONAL 24V HARNESS</t>
  </si>
  <si>
    <t>4100-2303</t>
  </si>
  <si>
    <t>LEGACY CARD STABILIZER BRKT</t>
  </si>
  <si>
    <t>4100-5128</t>
  </si>
  <si>
    <t>BATTERY DIST TERM MODULE</t>
  </si>
  <si>
    <t>4100-1319</t>
  </si>
  <si>
    <t>100W AMP,6NAC,220/30/40VAC,70V</t>
  </si>
  <si>
    <t>4100-1255</t>
  </si>
  <si>
    <t>AUDIO IF 3-8 CHANNEL</t>
  </si>
  <si>
    <t>4100-9620</t>
  </si>
  <si>
    <t>BASIC AUDIO W/MIKE-ANALOG</t>
  </si>
  <si>
    <t>4100-1288</t>
  </si>
  <si>
    <t>64/64 LED/SWITCH CONTROLLER</t>
  </si>
  <si>
    <t>4100-1280</t>
  </si>
  <si>
    <t>8 SWITCH, 8 RED LED MODULE</t>
  </si>
  <si>
    <t>4100-6038</t>
  </si>
  <si>
    <t>DUAL RS-232 IF CARD</t>
  </si>
  <si>
    <t>4100-0637</t>
  </si>
  <si>
    <t>AUDIO BOX TO BOX HARNESS KIT</t>
  </si>
  <si>
    <t>4100-1294</t>
  </si>
  <si>
    <t>LED/SWITCH SLIDE-IN LABEL KIT</t>
  </si>
  <si>
    <t>2975-9446</t>
  </si>
  <si>
    <t>3 BAY BB/GDOOR/DRESS PNL PLAT</t>
  </si>
  <si>
    <t>4100-5005</t>
  </si>
  <si>
    <t>ZONE MODULE, 8 IDC, CLASS B</t>
  </si>
  <si>
    <t>4190-8406</t>
  </si>
  <si>
    <t>TRUESITE GRAPHIC ANNUNCIATOR</t>
  </si>
  <si>
    <t>4190-8606</t>
  </si>
  <si>
    <t>TRUESITE GRAPHIC ANNUN SW ONLY</t>
  </si>
  <si>
    <t>4190-8901</t>
  </si>
  <si>
    <t>4190 SERIES AFTERMARKET ADDITN</t>
  </si>
  <si>
    <t>4007-9102</t>
  </si>
  <si>
    <t>4007ES HYBRID FIRE ALARM CONTROL PANEL w/ Back-up Batteries, PLATINUM</t>
  </si>
  <si>
    <t>4007-9202</t>
  </si>
  <si>
    <t>4007ES FULLY ADDRESSABLE FIRE ALARM CONTROL PANEL w/ Back-up Batteries, IDNAC, PLATINUM</t>
  </si>
  <si>
    <t>4010-9929</t>
  </si>
  <si>
    <t>IDNET2+2 250POINT 4 LOOP MOD</t>
  </si>
  <si>
    <t>742-342</t>
  </si>
  <si>
    <t>4100U/ES SPS BD 120V</t>
  </si>
  <si>
    <t>742-351</t>
  </si>
  <si>
    <t>4100U/ES PDI BD</t>
  </si>
  <si>
    <t>4090-9106</t>
  </si>
  <si>
    <t>ZAM CLASS A MONITOR, IDNET</t>
  </si>
  <si>
    <t>4098-9402</t>
  </si>
  <si>
    <t>LIFEALARM HT DET 135 RR DIRECT</t>
  </si>
  <si>
    <t>4904-9176</t>
  </si>
  <si>
    <t>V/O 24VDC 15CD RED VERT F/S</t>
  </si>
  <si>
    <t>4906-9128</t>
  </si>
  <si>
    <t>A/V M-C NON-ADDRESS, RED CEIL</t>
  </si>
  <si>
    <t>4906-9254</t>
  </si>
  <si>
    <t>MC TA S/V CEILNG MT RND WHITE</t>
  </si>
  <si>
    <t>4906-9104</t>
  </si>
  <si>
    <t>V/O M-C NON-ADDRESS, WHT, CEIL</t>
  </si>
  <si>
    <t>49AO-WRF</t>
  </si>
  <si>
    <t>AO, WALL RED FIRE</t>
  </si>
  <si>
    <t>49VO-WRF</t>
  </si>
  <si>
    <t>VO, WALL RED FIRE</t>
  </si>
  <si>
    <t>49AV-WRF-BA</t>
  </si>
  <si>
    <t>AV, WALL RED FIRE USA</t>
  </si>
  <si>
    <t>4098-9019</t>
  </si>
  <si>
    <t>ADDRESS BEAM DETECTOR SYSTEM</t>
  </si>
  <si>
    <t>4098-9855</t>
  </si>
  <si>
    <t>SAMPLING TUBE 24", PLASTIC</t>
  </si>
  <si>
    <t>4098-9848</t>
  </si>
  <si>
    <t>4098 SSD BASE DUST BOOT</t>
  </si>
  <si>
    <t>4007-9812</t>
  </si>
  <si>
    <t>DUAL RS232 MODULE</t>
  </si>
  <si>
    <t>742-590</t>
  </si>
  <si>
    <t>4100U/ES 2X40 IFC DOOR ASSY</t>
  </si>
  <si>
    <t>4009-9301</t>
  </si>
  <si>
    <t>NAC EXTENDER, 240VAC, IDNET</t>
  </si>
  <si>
    <t>2081-9044</t>
  </si>
  <si>
    <t>OVERVOLTAGE SUPPRESSOR</t>
  </si>
  <si>
    <t>4100-1272</t>
  </si>
  <si>
    <t>EXPANSION PHONE CONTROLLER</t>
  </si>
  <si>
    <t>4606-9102</t>
  </si>
  <si>
    <t>REMOTE ANNUNCIATOR FOR 4010ES</t>
  </si>
  <si>
    <t>2099-9803</t>
  </si>
  <si>
    <t>BREAKGLASS</t>
  </si>
  <si>
    <t>DH24120FPC</t>
  </si>
  <si>
    <t>DR HLDR, SEMI-FLUSH, CHRM</t>
  </si>
  <si>
    <t>746-177</t>
  </si>
  <si>
    <t>COMPACT FLASH-ES MSTR CTLR</t>
  </si>
  <si>
    <t>566-075</t>
  </si>
  <si>
    <t>4100U/ES EXT POWER SUPPLY BD</t>
  </si>
  <si>
    <t>4098-9770</t>
  </si>
  <si>
    <t>CO SENSOR BASE EXTENDED LIFE</t>
  </si>
  <si>
    <t>4100-1210</t>
  </si>
  <si>
    <t>ANALOG AUDIO CONTROLLER</t>
  </si>
  <si>
    <t>4010-9922</t>
  </si>
  <si>
    <t>SERIAL DACT</t>
  </si>
  <si>
    <t>4010ES NETWORK INTERFACE CARD</t>
  </si>
  <si>
    <t>4010-9912</t>
  </si>
  <si>
    <t>4004-9302</t>
  </si>
  <si>
    <t>4004R RELEASE PANEL RED</t>
  </si>
  <si>
    <t>4010-9302</t>
  </si>
  <si>
    <t>8699-551</t>
  </si>
  <si>
    <t>4007 FRONT ASSY W/ELECTRONICS</t>
  </si>
  <si>
    <t>4100-1254</t>
  </si>
  <si>
    <t>AUDIO IF 2 CHANNEL</t>
  </si>
  <si>
    <t>4100-1241</t>
  </si>
  <si>
    <t>MESSAGE EXPANSION, 8 MINUTES</t>
  </si>
  <si>
    <t>8650-442</t>
  </si>
  <si>
    <t>MAIN SYSTEM SUPPLY W/IDNET+</t>
  </si>
  <si>
    <t>650-759</t>
  </si>
  <si>
    <t>RUI_, CPU MOTHERBOARD</t>
  </si>
  <si>
    <t>MPS Key</t>
  </si>
  <si>
    <t>Key for 2099-9754</t>
  </si>
  <si>
    <t>Long Range Prism Kit (Fire Ray One)</t>
  </si>
  <si>
    <t>252-019</t>
  </si>
  <si>
    <t>key Block</t>
  </si>
  <si>
    <t>4006-9802</t>
  </si>
  <si>
    <t>Expansion IDC Module Conven</t>
  </si>
  <si>
    <t>4009-9602</t>
  </si>
  <si>
    <t>IDNAC REPEATER RED</t>
  </si>
  <si>
    <t>650-1610</t>
  </si>
  <si>
    <t>EXTENDED SYSTEM SUPPLY WITH IDNET</t>
  </si>
  <si>
    <t>4190-9832</t>
  </si>
  <si>
    <t>ES NET EXT NIC RED 120/240V</t>
  </si>
  <si>
    <t>4190-9833</t>
  </si>
  <si>
    <t>ES NET EXT NIC PLAT 120/240V</t>
  </si>
  <si>
    <t>4190-9834</t>
  </si>
  <si>
    <t>ES NET EXT NIC PLATINUM 24VDC</t>
  </si>
  <si>
    <t>4190-9835</t>
  </si>
  <si>
    <t>ES NET EXT NIC RED 24VDC</t>
  </si>
  <si>
    <t>4190-9842</t>
  </si>
  <si>
    <t>ES NET NETWRK BRIDGE RD 120VAC</t>
  </si>
  <si>
    <t>4190-9843</t>
  </si>
  <si>
    <t>ES NET NETWRK BRIDGE PT 120VAC</t>
  </si>
  <si>
    <t>4190-9844</t>
  </si>
  <si>
    <t>ES NET NETWRK BRIDGE RD 24VAC</t>
  </si>
  <si>
    <t>4190-9845</t>
  </si>
  <si>
    <t>ES NET NETWRK BRIDGE PT 24VAC</t>
  </si>
  <si>
    <t>4190-9851</t>
  </si>
  <si>
    <t>4120 SM-L DUPLEX FIBER MEDIA</t>
  </si>
  <si>
    <t>4190-9852</t>
  </si>
  <si>
    <t>4120 SM-R DUPLEX FIBER MEDIA</t>
  </si>
  <si>
    <t>4190-9853</t>
  </si>
  <si>
    <t>4120 MM-L DUPLEX FIBER MEDIA</t>
  </si>
  <si>
    <t>4190-9854</t>
  </si>
  <si>
    <t>4120 MM-R DUPLEX FIBER MEDIA</t>
  </si>
  <si>
    <t>4190-9856</t>
  </si>
  <si>
    <t>ES NET ETHERNET MEDIA CARD</t>
  </si>
  <si>
    <t>4190-9857</t>
  </si>
  <si>
    <t>ES NET DSL MEDIA CARD</t>
  </si>
  <si>
    <t>4190-9858</t>
  </si>
  <si>
    <t>ES NET SM FIBER MEDIA CARD</t>
  </si>
  <si>
    <t>4190-9859</t>
  </si>
  <si>
    <t>ES NET MM FIBER MEDIA CARD</t>
  </si>
  <si>
    <t>8566-320</t>
  </si>
  <si>
    <t>4100U BATTERY CHARGER BD</t>
  </si>
  <si>
    <t>8566-521</t>
  </si>
  <si>
    <t>4100U 100W AMP BD</t>
  </si>
  <si>
    <t>8566-677</t>
  </si>
  <si>
    <t>4100U/ES 100W AMP BD</t>
  </si>
  <si>
    <t>4100-3112</t>
  </si>
  <si>
    <t>4 LOOP MSTR CONTROLLER OPTION</t>
  </si>
  <si>
    <t>4100-3115</t>
  </si>
  <si>
    <t>FEATURE CONFIGURED</t>
  </si>
  <si>
    <t>4100-3120</t>
  </si>
  <si>
    <t>MSTR CTLR ESMXLOOP FACTORY PID</t>
  </si>
  <si>
    <t>4100-3207</t>
  </si>
  <si>
    <t>4 PT 2A AUX RELAY CARD W-FB</t>
  </si>
  <si>
    <t>4100-3208</t>
  </si>
  <si>
    <t>4 PT 10A AUX RELAY CARD W-FB</t>
  </si>
  <si>
    <t>4100-3209</t>
  </si>
  <si>
    <t>8 PT 3A AUX RELAY CARD</t>
  </si>
  <si>
    <t>4100-5013</t>
  </si>
  <si>
    <t>8 POINT ZONE/RELAY MODULE</t>
  </si>
  <si>
    <t>4100-5015</t>
  </si>
  <si>
    <t>ZONE MODULE, 8 IDC, CLASS A</t>
  </si>
  <si>
    <t>4100-5115</t>
  </si>
  <si>
    <t>XPS EXPANSION MODULE 3 NACS</t>
  </si>
  <si>
    <t>4100-5116</t>
  </si>
  <si>
    <t>EXPANSION AUDIO SIGNAL CARD</t>
  </si>
  <si>
    <t>4100-5129</t>
  </si>
  <si>
    <t>FERRITE BEAD KIT</t>
  </si>
  <si>
    <t>4100-5130</t>
  </si>
  <si>
    <t>24VDC VOLTAGE REGULATOR</t>
  </si>
  <si>
    <t>4100-5131</t>
  </si>
  <si>
    <t>ES-PS FAN MODULE</t>
  </si>
  <si>
    <t>4100-5152</t>
  </si>
  <si>
    <t>POWER MODULE 2A 12 VOLTS</t>
  </si>
  <si>
    <t>4100-5401</t>
  </si>
  <si>
    <t>ES-PS POWER SUPPLY</t>
  </si>
  <si>
    <t>4100-5402</t>
  </si>
  <si>
    <t>ES-XPS POWER SUPPLY</t>
  </si>
  <si>
    <t>4100-5403</t>
  </si>
  <si>
    <t>HARNESS FOR ES-PS BACKUP PS</t>
  </si>
  <si>
    <t>4100-5450</t>
  </si>
  <si>
    <t>NAC CARD</t>
  </si>
  <si>
    <t>4100-5451</t>
  </si>
  <si>
    <t>IDNAC CARD</t>
  </si>
  <si>
    <t>4090-9802</t>
  </si>
  <si>
    <t>COVER ZAM 4" SURFACE</t>
  </si>
  <si>
    <t>4090-9806</t>
  </si>
  <si>
    <t>COVER IAM SG FLUSH</t>
  </si>
  <si>
    <t>4090-9807</t>
  </si>
  <si>
    <t>COVER IAM SG SURFACE</t>
  </si>
  <si>
    <t>4090-9810</t>
  </si>
  <si>
    <t>BRACKET IAM</t>
  </si>
  <si>
    <t>4090-9811</t>
  </si>
  <si>
    <t>BRACKET 5 IAM MTG BRACKET</t>
  </si>
  <si>
    <t>4090-9812</t>
  </si>
  <si>
    <t>IDNET RELEASE PERIPH LED</t>
  </si>
  <si>
    <t>4090-9813</t>
  </si>
  <si>
    <t>4 11/16" BOX ADAPTER PLATE</t>
  </si>
  <si>
    <t>4903-9253</t>
  </si>
  <si>
    <t>A/V 24VDC 30CD RED HORIZ F/S</t>
  </si>
  <si>
    <t>4903-9426</t>
  </si>
  <si>
    <t>A/V 75CD RED STD NON-ADDRESSABLE</t>
  </si>
  <si>
    <t>4903-9427</t>
  </si>
  <si>
    <t>A/V 110CD RED STD NON-ADDRESSABLE</t>
  </si>
  <si>
    <t>4903-9432</t>
  </si>
  <si>
    <t>A/V 75CD WHITE STD NON-ADDRESSABLE</t>
  </si>
  <si>
    <t>4903-9433</t>
  </si>
  <si>
    <t>A/V 110CD WHITE STD NON-ADDRESSABLE</t>
  </si>
  <si>
    <t>4906-9255</t>
  </si>
  <si>
    <t>MC ADDRESS SV CEILING WHT BLAN</t>
  </si>
  <si>
    <t>4906-9256</t>
  </si>
  <si>
    <t>MC ADDRESS SV CEILING WHT ALER</t>
  </si>
  <si>
    <t>4906-9258</t>
  </si>
  <si>
    <t>SV TA MC CEILING WHITE CHINESE</t>
  </si>
  <si>
    <t>4906-9131</t>
  </si>
  <si>
    <t>WP MC AV NON-ADDR WALL MT RED</t>
  </si>
  <si>
    <t>49AV-WRFO</t>
  </si>
  <si>
    <t>AV, WALL RED FIRE WP USA</t>
  </si>
  <si>
    <t>49AV-WRFO-BA</t>
  </si>
  <si>
    <t>49WPBB-AVVOWR</t>
  </si>
  <si>
    <t>WP BACK BOX AV OR VO WALL RED</t>
  </si>
  <si>
    <t>4100-7164</t>
  </si>
  <si>
    <t>4100U TSD UPGRD W/ES MCNTRLR</t>
  </si>
  <si>
    <t>4100-7165</t>
  </si>
  <si>
    <t>4100ES 4010ES TSD UPGRADE</t>
  </si>
  <si>
    <t>4100-7401</t>
  </si>
  <si>
    <t>24 POINT I/O INTERFACE MODULE</t>
  </si>
  <si>
    <t>4100-7402</t>
  </si>
  <si>
    <t>64/64 LED/SW CONTROLLER MODULE</t>
  </si>
  <si>
    <t>4100-7403</t>
  </si>
  <si>
    <t>32 POINT LED DRIVER MODULE</t>
  </si>
  <si>
    <t>4100-7404</t>
  </si>
  <si>
    <t>32 POINT SWITCH INPUT MODULE</t>
  </si>
  <si>
    <t>4100-3110</t>
  </si>
  <si>
    <t>IDNET2+2 250 POINT 4 LOOP MOD</t>
  </si>
  <si>
    <t>4100-3111</t>
  </si>
  <si>
    <t>LOOP ISOLATOR FOR IDNET2</t>
  </si>
  <si>
    <t>4090-9801</t>
  </si>
  <si>
    <t>COVER ZAM 4" FLUSH</t>
  </si>
  <si>
    <t>4090-9122</t>
  </si>
  <si>
    <t>IDNET ISOLATOR2</t>
  </si>
  <si>
    <t>4090-9119</t>
  </si>
  <si>
    <t>RLY IDNET 2 IAM WITH FEEDBACK</t>
  </si>
  <si>
    <t>4090-9117</t>
  </si>
  <si>
    <t>ADDR IDNET 2 POWER ISOLATOR</t>
  </si>
  <si>
    <t>4090-9107</t>
  </si>
  <si>
    <t>FIBER TRANS CLASS A IDNET</t>
  </si>
  <si>
    <t>4090-9105</t>
  </si>
  <si>
    <t>FIBER TRANS CLASS B IDNET</t>
  </si>
  <si>
    <t>4090-9051</t>
  </si>
  <si>
    <t>IDNET E-SERIES SUPERVISED IAM</t>
  </si>
  <si>
    <t>4090-9010</t>
  </si>
  <si>
    <t>8 AMP RELAY IAM MODULE</t>
  </si>
  <si>
    <t>4090-9008</t>
  </si>
  <si>
    <t>DUAL RELAY IAM, IDNET</t>
  </si>
  <si>
    <t>4090-9006</t>
  </si>
  <si>
    <t>SUP RELEASE PERIPH &amp; ENCLOSURE</t>
  </si>
  <si>
    <t>4098-VEU-A10</t>
  </si>
  <si>
    <t>SIMPLEX IDNET VESDA-E VEU W3.</t>
  </si>
  <si>
    <t>4098-XAD-100</t>
  </si>
  <si>
    <t>SNGL ZN SAMPLING W/ SENSOR</t>
  </si>
  <si>
    <t>4098-XAD-110</t>
  </si>
  <si>
    <t>SNGL ZN SAMPLING W/ KIT &amp; SENSOR</t>
  </si>
  <si>
    <t>4098-XAD-200</t>
  </si>
  <si>
    <t>DUAL ZN SAMPL UNIT W/ SENSOR</t>
  </si>
  <si>
    <t>4098-XAD-210</t>
  </si>
  <si>
    <t>DUAL ZN SAMPL UNIT W/ KIT &amp; SENSOR</t>
  </si>
  <si>
    <t>4098-5612</t>
  </si>
  <si>
    <t>CONV HT FIX 200F DET 723H</t>
  </si>
  <si>
    <t>4099-5201</t>
  </si>
  <si>
    <t>PULL STATION SINGLE ACTION</t>
  </si>
  <si>
    <t>4099-5202</t>
  </si>
  <si>
    <t>DOUBLE ACTION PULL STATION</t>
  </si>
  <si>
    <t>4099-5203</t>
  </si>
  <si>
    <t>INDOOR CALL POINT WITH LED</t>
  </si>
  <si>
    <t>4099-5204</t>
  </si>
  <si>
    <t>OUTDOOR CALLPOINT WITH LED</t>
  </si>
  <si>
    <t>4099-5208</t>
  </si>
  <si>
    <t>INDOOR UL CP W/ ISOLATOR MX</t>
  </si>
  <si>
    <t>4099-5209</t>
  </si>
  <si>
    <t>OUTDOOR UL CP W/ ISOLATOR MX</t>
  </si>
  <si>
    <t>4099-5214</t>
  </si>
  <si>
    <t>MX PULL STATION SINGLE ACTION</t>
  </si>
  <si>
    <t>4099-5215</t>
  </si>
  <si>
    <t>MX PULL STATION DOUBLE ACTION</t>
  </si>
  <si>
    <t>4099-5216</t>
  </si>
  <si>
    <t>MX PULL STATION DOUBLE ACTION PUSH/PULL</t>
  </si>
  <si>
    <t>SSD SENSOR BASE WITH RELAY DRIVER</t>
  </si>
  <si>
    <t>4098-9793E</t>
  </si>
  <si>
    <t>SSD SENSOR BASE WITH ISOLATOR</t>
  </si>
  <si>
    <t>4098-9793EA</t>
  </si>
  <si>
    <t>ISOLATOR BASE AUSTRALIA</t>
  </si>
  <si>
    <t>4098-9794E</t>
  </si>
  <si>
    <t>SSD SOUNDER BASE HUMID ENV</t>
  </si>
  <si>
    <t>4098-9794EA</t>
  </si>
  <si>
    <t>SSD SOUNDER BASE FOR AUSTRALIA</t>
  </si>
  <si>
    <t>4098-9799</t>
  </si>
  <si>
    <t>6" ADPT FOR 5" BASE - 4" SQ</t>
  </si>
  <si>
    <t>4098-9819</t>
  </si>
  <si>
    <t>TRUE ALAR ROUND DUCT ADAPTOR 6</t>
  </si>
  <si>
    <t>4098-9821</t>
  </si>
  <si>
    <t>TRIM PLATE FOR TRUEALARM</t>
  </si>
  <si>
    <t>4098-9822</t>
  </si>
  <si>
    <t>TRUE ALARM RELAY MODULE</t>
  </si>
  <si>
    <t>4098-9823</t>
  </si>
  <si>
    <t>TAMPERPROOF HEX KEY WITH CENTER P</t>
  </si>
  <si>
    <t>4098-9824</t>
  </si>
  <si>
    <t>TUREALARM ROUND DUCT ADAPTOR 8</t>
  </si>
  <si>
    <t>4098-9830</t>
  </si>
  <si>
    <t>SSD REMOTE LED</t>
  </si>
  <si>
    <t>4098-9832</t>
  </si>
  <si>
    <t>SSD ADAPTER PLATE</t>
  </si>
  <si>
    <t>4098-9834</t>
  </si>
  <si>
    <t>SSD REM TEST STA RED LED KEY</t>
  </si>
  <si>
    <t>4098-9835</t>
  </si>
  <si>
    <t>SSD REM TEST STA R/G LED KEY</t>
  </si>
  <si>
    <t>4098-9841</t>
  </si>
  <si>
    <t>REMOTE RELAY</t>
  </si>
  <si>
    <t>4098-9842</t>
  </si>
  <si>
    <t>DUCT CONTROL STATION</t>
  </si>
  <si>
    <t>4098-9843</t>
  </si>
  <si>
    <t>RELAY FORM C SPDT PAM-SD</t>
  </si>
  <si>
    <t>4098-9845</t>
  </si>
  <si>
    <t>DUCT WEATHERPROOF ENCLOSURE</t>
  </si>
  <si>
    <t>4098-9846</t>
  </si>
  <si>
    <t>SECURITY VANDAL GUARD</t>
  </si>
  <si>
    <t>4098-9847</t>
  </si>
  <si>
    <t>EXTENSION BOX FOR 4098-9846</t>
  </si>
  <si>
    <t>4098-9852</t>
  </si>
  <si>
    <t>10" IN-DUCT ADAPTER</t>
  </si>
  <si>
    <t>4098-9853</t>
  </si>
  <si>
    <t>12" IN-DUCT ADAPTER</t>
  </si>
  <si>
    <t>4098-9854</t>
  </si>
  <si>
    <t>SAMPLING TUBE 13" PVC PLASTIC</t>
  </si>
  <si>
    <t>4098-9856</t>
  </si>
  <si>
    <t>SAMPLING TUBE 49", PLASTIC</t>
  </si>
  <si>
    <t>4098-9857</t>
  </si>
  <si>
    <t>SAMPLING TUBE 73", PLASTIC</t>
  </si>
  <si>
    <t>4098-9858</t>
  </si>
  <si>
    <t>SAMPLING TUBE 97"</t>
  </si>
  <si>
    <t>4098-9860</t>
  </si>
  <si>
    <t>2-WIRE RELAY FOR 4098-9780</t>
  </si>
  <si>
    <t>4098-VEP-A00-1P</t>
  </si>
  <si>
    <t>SIMPLEX IDNET VESDA-E VEP 1-PI</t>
  </si>
  <si>
    <t>4098-VEP-A00-P</t>
  </si>
  <si>
    <t>SIMPLEX IDNET VESDA-E VEP W LE</t>
  </si>
  <si>
    <t>4098-VEP-A10-P</t>
  </si>
  <si>
    <t>SIMPLEX IDNET VESDA-E VEP W 3</t>
  </si>
  <si>
    <t>4098-VES-A00-P</t>
  </si>
  <si>
    <t>SIMPLEX IDNET VESDA-E VES W LE</t>
  </si>
  <si>
    <t>4098-VES-A10-P</t>
  </si>
  <si>
    <t>SIMPLEX IDNET VESDA-E VES W 3.</t>
  </si>
  <si>
    <t>4098-VEU-A00</t>
  </si>
  <si>
    <t>SIMPLEX IDNET VESDA-E VEU W LE</t>
  </si>
  <si>
    <t>4007-9101BA</t>
  </si>
  <si>
    <t>4007ES HYBRID FACP, RED, BA</t>
  </si>
  <si>
    <t>4007-9102BA</t>
  </si>
  <si>
    <t>4007ES HYBRID FACP PLATINUM BA</t>
  </si>
  <si>
    <t>4007-9201BA</t>
  </si>
  <si>
    <t>4007ES FACP, IDNAC, RED, BA</t>
  </si>
  <si>
    <t>4007-9202BA</t>
  </si>
  <si>
    <t>4007ES FACP IDNAC PLATINUM BA</t>
  </si>
  <si>
    <t>4007-9301</t>
  </si>
  <si>
    <t>4007ESMX, NAC, RED</t>
  </si>
  <si>
    <t>4007-9302</t>
  </si>
  <si>
    <t>4007ESMX, NAC, PLATINUM</t>
  </si>
  <si>
    <t>4007-9401</t>
  </si>
  <si>
    <t>4007ESMX, IDNAC, RED</t>
  </si>
  <si>
    <t>4007-9402</t>
  </si>
  <si>
    <t>4007ESMX, IDNAC, PLATINUM</t>
  </si>
  <si>
    <t>ZONE RELAY MODULE</t>
  </si>
  <si>
    <t>IDNET + LOOP EXPANSION MODULE</t>
  </si>
  <si>
    <t>4007-9804</t>
  </si>
  <si>
    <t>DUAL CLASS A ISOLATOR IDNAC</t>
  </si>
  <si>
    <t>4007-9805</t>
  </si>
  <si>
    <t>LED MODULE FOR 4007 DOOR PNL</t>
  </si>
  <si>
    <t>4007-9806</t>
  </si>
  <si>
    <t>SDACT MODULE</t>
  </si>
  <si>
    <t>4007-9809</t>
  </si>
  <si>
    <t>ALM/SUPV/TBL RELAY MODULE</t>
  </si>
  <si>
    <t>4007-9817</t>
  </si>
  <si>
    <t>ESNET NETWORK INTERFACE CARD FLAT</t>
  </si>
  <si>
    <t>4007-9820</t>
  </si>
  <si>
    <t>4007 LED MODULE</t>
  </si>
  <si>
    <t>4007-9821</t>
  </si>
  <si>
    <t>4007 LED SW MODULE</t>
  </si>
  <si>
    <t>4007-9830</t>
  </si>
  <si>
    <t>SUP RELEASE APPLIQUE KIT</t>
  </si>
  <si>
    <t>4010-9501</t>
  </si>
  <si>
    <t>4010-9502</t>
  </si>
  <si>
    <t>4010ES FACP 240V PLATINUM</t>
  </si>
  <si>
    <t>4010-9502BA</t>
  </si>
  <si>
    <t>4010-9503BA</t>
  </si>
  <si>
    <t>4010ES 1 MX 1 BAY RED 240V</t>
  </si>
  <si>
    <t>4010-9505</t>
  </si>
  <si>
    <t>1 BAY, 2X40, 1 ESMX, 220/240V, RED</t>
  </si>
  <si>
    <t>4010-9521</t>
  </si>
  <si>
    <t>4010ES 2 IDNET 2 BAY RED 240V</t>
  </si>
  <si>
    <t>4010-9522</t>
  </si>
  <si>
    <t>4010ES 2 IDNET 2 BAY PLAT 240V</t>
  </si>
  <si>
    <t>4010-9523BA</t>
  </si>
  <si>
    <t>4010ES 2VMX 2 BAY RED 240V</t>
  </si>
  <si>
    <t>4010-9601</t>
  </si>
  <si>
    <t>4010ES IDNAC FACP 120V RED</t>
  </si>
  <si>
    <t>4010-9602</t>
  </si>
  <si>
    <t>4010ES IDNAC FACP 120V PLATINUM</t>
  </si>
  <si>
    <t>4010-9621</t>
  </si>
  <si>
    <t>4010ES IDNAC 2 IDNET RED 120V</t>
  </si>
  <si>
    <t>4010-9633</t>
  </si>
  <si>
    <t>4010ES TSD IDNAC 2 IDNET RED 120</t>
  </si>
  <si>
    <t>4010-9702</t>
  </si>
  <si>
    <t>4010ES IDNAC FACP 240V PLAT</t>
  </si>
  <si>
    <t>4010-9721</t>
  </si>
  <si>
    <t>4010ES IDNAC 2 IDNET RED 240V</t>
  </si>
  <si>
    <t>4010-9722</t>
  </si>
  <si>
    <t>4010ES IDNAC 2 IDNET 2 BAY 240V PLT</t>
  </si>
  <si>
    <t>4010-9731</t>
  </si>
  <si>
    <t>4010ES TSD IDNAC 2 IDNET RED 240</t>
  </si>
  <si>
    <t>4010-9810</t>
  </si>
  <si>
    <t>DACT (COMMON EVENT REPORTING)</t>
  </si>
  <si>
    <t>4010-9813</t>
  </si>
  <si>
    <t>EXPANSION POWER SUPPLY 120V</t>
  </si>
  <si>
    <t>4010-9816</t>
  </si>
  <si>
    <t>DACT (POINT REPORTING)</t>
  </si>
  <si>
    <t>4010-9825</t>
  </si>
  <si>
    <t>24VDC DISTRIBUTION BLOCK</t>
  </si>
  <si>
    <t>4010-9829</t>
  </si>
  <si>
    <t>2 CKT CTY MOD W/OUT DISCONNECT</t>
  </si>
  <si>
    <t>4010-9830</t>
  </si>
  <si>
    <t>SUP RELEASING APPLIQUE KIT</t>
  </si>
  <si>
    <t>4010-9857</t>
  </si>
  <si>
    <t>4010 DOOR ASSEMBLY BEIGE</t>
  </si>
  <si>
    <t>4010-9901</t>
  </si>
  <si>
    <t>VESDA HLI INTERFACE</t>
  </si>
  <si>
    <t>4010-9911</t>
  </si>
  <si>
    <t>ALARM RELAY MODULE</t>
  </si>
  <si>
    <t>4010-9914</t>
  </si>
  <si>
    <t>BLDG NETWORK INTERFACE CARD</t>
  </si>
  <si>
    <t>4010-9915</t>
  </si>
  <si>
    <t>BACPAC ETHERNET PORTAL</t>
  </si>
  <si>
    <t>4010-9916</t>
  </si>
  <si>
    <t>25VDC VOLTAGE REGULATOR</t>
  </si>
  <si>
    <t>4010-9917</t>
  </si>
  <si>
    <t>MX LOOP MODULE</t>
  </si>
  <si>
    <t>4010-9918</t>
  </si>
  <si>
    <t>4010-9920</t>
  </si>
  <si>
    <t>8 ZONE IDC MODULE CLASS B</t>
  </si>
  <si>
    <t>4010-9921</t>
  </si>
  <si>
    <t>8 ZONE IDC MODULE CLASS A</t>
  </si>
  <si>
    <t>4010-9926</t>
  </si>
  <si>
    <t>TCP/IP PHYS BRIDGE CLASS B</t>
  </si>
  <si>
    <t>4010-9927</t>
  </si>
  <si>
    <t>TCP/IP PHYS BRIDGE CLASS X</t>
  </si>
  <si>
    <t>4010-9928</t>
  </si>
  <si>
    <t>DUAL VERT BLOCK CARD MTG KIT</t>
  </si>
  <si>
    <t>4010-9930</t>
  </si>
  <si>
    <t>IDNAC DUAL CLASS A ISOLATOR</t>
  </si>
  <si>
    <t>4010-9934</t>
  </si>
  <si>
    <t>ES NET FLAT NIC VERT MNT BRCKT</t>
  </si>
  <si>
    <t>4010-9935</t>
  </si>
  <si>
    <t>2098-9484</t>
  </si>
  <si>
    <t>HEAT DETECTOR VERT N/O 302-135</t>
  </si>
  <si>
    <t>2098-9486</t>
  </si>
  <si>
    <t>HEAT DETECTOR VERT N/O 302-AW-135</t>
  </si>
  <si>
    <t>2098-9487</t>
  </si>
  <si>
    <t>HEAT DETECTOR VERT N/O 302-AW-194</t>
  </si>
  <si>
    <t>2098-9488</t>
  </si>
  <si>
    <t>HEAT DETECTOR VERT N/O 302-EPM-135</t>
  </si>
  <si>
    <t>2098-9489</t>
  </si>
  <si>
    <t>HEAT DETECTOR VERT N/O 302-EPM-194</t>
  </si>
  <si>
    <t>2098-9490</t>
  </si>
  <si>
    <t>HEAT DETECTOR VERT N/O 302-ET-135</t>
  </si>
  <si>
    <t>2098-9491</t>
  </si>
  <si>
    <t>HEAT DETECTOR VERT N/O 302-ET-194</t>
  </si>
  <si>
    <t>2098-9494</t>
  </si>
  <si>
    <t>HEAT DETECTOR ADAPTOR AP-P</t>
  </si>
  <si>
    <t>2098-9715</t>
  </si>
  <si>
    <t>SMOKE DETECTOR WIRE GUARD</t>
  </si>
  <si>
    <t>2098-9716</t>
  </si>
  <si>
    <t>HEAT DETECTOR WIRE GUARD</t>
  </si>
  <si>
    <t>2098-9734</t>
  </si>
  <si>
    <t>120V DETECTOR POWER PACK</t>
  </si>
  <si>
    <t>2098-9735</t>
  </si>
  <si>
    <t>DET/EOL RELAY 24VDC</t>
  </si>
  <si>
    <t>2098-9736</t>
  </si>
  <si>
    <t>DET/EOL RELAY 120VAC</t>
  </si>
  <si>
    <t>2098-9737</t>
  </si>
  <si>
    <t>DET/ACC RELAY DPDT 3A FOR 9536</t>
  </si>
  <si>
    <t>2098-9739</t>
  </si>
  <si>
    <t>DET/ACC EOL 24VDC</t>
  </si>
  <si>
    <t>2098-9806</t>
  </si>
  <si>
    <t>REMOTE TEST STA RED LED KEY SW</t>
  </si>
  <si>
    <t>2098-9808</t>
  </si>
  <si>
    <t>REMOTE ALARM INDICATOR</t>
  </si>
  <si>
    <t>4902-9210</t>
  </si>
  <si>
    <t>CHIME WALL MOUNT RED</t>
  </si>
  <si>
    <t>4902-9211</t>
  </si>
  <si>
    <t>CHIME WALL MOUNT WHITE</t>
  </si>
  <si>
    <t>4902-9717</t>
  </si>
  <si>
    <t>SPEAKER 25V/70VRMS WHT CEIL TRUEA</t>
  </si>
  <si>
    <t>4902-9722</t>
  </si>
  <si>
    <t>SPKR 25/70VRMS RED CEIL BLANK</t>
  </si>
  <si>
    <t>4606-9102BA</t>
  </si>
  <si>
    <t>REMOTE LCD ANNUN FOR 4010ES</t>
  </si>
  <si>
    <t>4606-9205</t>
  </si>
  <si>
    <t>4007ES COLOR LCD ANNUN, PLAT</t>
  </si>
  <si>
    <t>4603-9101BA</t>
  </si>
  <si>
    <t>LCD ANNUNCIATOR BA</t>
  </si>
  <si>
    <t>ID NET PHOTO SENSOR AUSTRALIA</t>
  </si>
  <si>
    <t>4098-9733EA</t>
  </si>
  <si>
    <t>HEAT SENSOR AUSTRALIA</t>
  </si>
  <si>
    <t>4098-9734</t>
  </si>
  <si>
    <t>HIGH TEMP HEAT SENSOR</t>
  </si>
  <si>
    <t>4098-9747</t>
  </si>
  <si>
    <t>CO CARTRIDGE EXTENDED LIFE</t>
  </si>
  <si>
    <t>4098-9750</t>
  </si>
  <si>
    <t>SSD IN-DUCT SENSOR HOUS WITH REL</t>
  </si>
  <si>
    <t>4098-9750C</t>
  </si>
  <si>
    <t>IN-DUCT SENSOR NO RELAY CANADI</t>
  </si>
  <si>
    <t>4098-9751</t>
  </si>
  <si>
    <t>4098-9755</t>
  </si>
  <si>
    <t>DUCT SENSOR HOUSING</t>
  </si>
  <si>
    <t>4098-9755EA</t>
  </si>
  <si>
    <t>DUCT SENSOR HOUSING, EA</t>
  </si>
  <si>
    <t>4098-9756</t>
  </si>
  <si>
    <t>DUCT SENSOR HOUSING 4-WIRE</t>
  </si>
  <si>
    <t>4098-9764BA</t>
  </si>
  <si>
    <t>PHOTO SENSOR WITH HEAT, BA</t>
  </si>
  <si>
    <t>4098-9764BK</t>
  </si>
  <si>
    <t>PHOTO SENSOR WITH HEAT, BK</t>
  </si>
  <si>
    <t>4098-9767</t>
  </si>
  <si>
    <t>IDNET ISOLATOR2 BASE</t>
  </si>
  <si>
    <t>4098-9771</t>
  </si>
  <si>
    <t>CO SOUNDER BASE EXTENDED LIFE</t>
  </si>
  <si>
    <t>4098-9772</t>
  </si>
  <si>
    <t>520HZ SOUNDER BASE</t>
  </si>
  <si>
    <t>4098-9773</t>
  </si>
  <si>
    <t>520HZ SOUNDER BASE WITH CO</t>
  </si>
  <si>
    <t>4098-9774</t>
  </si>
  <si>
    <t>SSD PHOTO SENSOR BLACK</t>
  </si>
  <si>
    <t>4098-9775</t>
  </si>
  <si>
    <t>SSD SENSOR BASE W/ LED BLACK</t>
  </si>
  <si>
    <t>4098-9776</t>
  </si>
  <si>
    <t>SSD SENSOR BASE BLACK</t>
  </si>
  <si>
    <t>4098-9777</t>
  </si>
  <si>
    <t>SENSOR BASE W/ ISOLATOR BLACK</t>
  </si>
  <si>
    <t>4098-9778</t>
  </si>
  <si>
    <t>SSD HEAT SENSOR BLACK</t>
  </si>
  <si>
    <t>4098-9780</t>
  </si>
  <si>
    <t>2 WIRE RELAY SENSOR BASE</t>
  </si>
  <si>
    <t>4098-9780E</t>
  </si>
  <si>
    <t>2 WIRE RELAY SENSOR BASE ENHANCE</t>
  </si>
  <si>
    <t>new model</t>
  </si>
  <si>
    <t>701p</t>
  </si>
  <si>
    <t>smoke detector</t>
  </si>
  <si>
    <t>601p old model</t>
  </si>
  <si>
    <t>HONEYWELL</t>
  </si>
  <si>
    <t>SYSTEM SENSOR</t>
  </si>
  <si>
    <t>2-wire Smoke Detector with base (B801RA)</t>
  </si>
  <si>
    <t>Heat Detector with base (B801RA)</t>
  </si>
  <si>
    <t>B801RA</t>
  </si>
  <si>
    <t>Conventional Detector Base-800 series</t>
  </si>
  <si>
    <t>M400K</t>
  </si>
  <si>
    <t>Breakglass Call Point (Conventional)with base (PS031W)</t>
  </si>
  <si>
    <t>Note: Laging walang stock, please offer MCP2A</t>
  </si>
  <si>
    <t>MORLEY LITE</t>
  </si>
  <si>
    <t>MCP2A/R470SF/01</t>
  </si>
  <si>
    <t>Manual Call Point Red with Back Box</t>
  </si>
  <si>
    <t>Bell 6" 24VDC</t>
  </si>
  <si>
    <t>SSM24-8</t>
  </si>
  <si>
    <t>Bell 8" 24VDC</t>
  </si>
  <si>
    <t>SYS-HS</t>
  </si>
  <si>
    <t>Horn / Strobe</t>
  </si>
  <si>
    <t>FIRELITE - UL LISTED</t>
  </si>
  <si>
    <t>2W-B</t>
  </si>
  <si>
    <t>SYSTEM SENSOR i3 Series</t>
  </si>
  <si>
    <t>2WT-B</t>
  </si>
  <si>
    <t>manual call point</t>
  </si>
  <si>
    <t>BG-12LRA</t>
  </si>
  <si>
    <t>FIRELITE Dual-Action Agent Release Stations</t>
  </si>
  <si>
    <t>ANN-80</t>
  </si>
  <si>
    <t>Annunciator</t>
  </si>
  <si>
    <t>MORLEY DXC</t>
  </si>
  <si>
    <t>HM/FHSE  HM/FHSE-AP</t>
  </si>
  <si>
    <t>Morley-IAS addressable HEAT detectors</t>
  </si>
  <si>
    <t>HM/PSE    HM/PSE-AP</t>
  </si>
  <si>
    <t>Morley-IAS addressable Optical SMOKE detector</t>
  </si>
  <si>
    <t>WSS-PR-N05</t>
  </si>
  <si>
    <t>MORLEY-IAS Addressable Wall Sounder Beacon</t>
  </si>
  <si>
    <t>MI/B501AP/IV</t>
  </si>
  <si>
    <t>Plug-in Detector Base for Addressable SD, HD, Strobe</t>
  </si>
  <si>
    <t>BSS-DR-N05</t>
  </si>
  <si>
    <t>Morley - IAS-Addressable Integrated Detector Base alternative for MI/B501AP/IV</t>
  </si>
  <si>
    <t>HM/MCP/GLASS</t>
  </si>
  <si>
    <t>MORLEY-IAS Addressable Manual Call Point</t>
  </si>
  <si>
    <t>PS031W</t>
  </si>
  <si>
    <t>Surface Mounting Box for MCP</t>
  </si>
  <si>
    <t>MI/MCP/FLEX</t>
  </si>
  <si>
    <t>MORLEY-IAS ADDRESSABLE FLEXIBLE MANUAL CALL POINT</t>
  </si>
  <si>
    <t>MI/D240CMO</t>
  </si>
  <si>
    <t>240V SingleOutput Control Module</t>
  </si>
  <si>
    <t>MI/DCMOE</t>
  </si>
  <si>
    <t>Single Output Control Module</t>
  </si>
  <si>
    <t>MI/DCZRME</t>
  </si>
  <si>
    <t>Conventional Zone interface Module</t>
  </si>
  <si>
    <t>MI/DMMIE</t>
  </si>
  <si>
    <t>Single Channel Input Module</t>
  </si>
  <si>
    <t>020-910</t>
  </si>
  <si>
    <t>Expansion Mimic PCB</t>
  </si>
  <si>
    <t>709-601-001</t>
  </si>
  <si>
    <t>MORLEY-IAS Active Repeater Panel</t>
  </si>
  <si>
    <t>ALL PANELS ARE EXCLUSIVE OF BACK-UP BATTERIES. 12V 7AH BACK-UP BATTERY - 550.00 EACH</t>
  </si>
  <si>
    <t>709-701-001</t>
  </si>
  <si>
    <t>MORLEY-IAS Passive Repeater Panel</t>
  </si>
  <si>
    <t>714/001/105</t>
  </si>
  <si>
    <t>DXc Half loop Fire Alarm Control Panel</t>
  </si>
  <si>
    <t>714/001/115</t>
  </si>
  <si>
    <t>DXc1 One loop Fire Alarm Control Panel</t>
  </si>
  <si>
    <t>714/001/225</t>
  </si>
  <si>
    <t>DXc2 Two loop Fire Alarm Control Panel</t>
  </si>
  <si>
    <t>714/001/245</t>
  </si>
  <si>
    <t>DXc4 Four loop Fire Alarm Control Panel</t>
  </si>
  <si>
    <t>795-099</t>
  </si>
  <si>
    <t>MORLEY-IAS Comsec Protection System</t>
  </si>
  <si>
    <t>795/111</t>
  </si>
  <si>
    <t>MORLEY-IAS 2 Loops Expansion Card</t>
  </si>
  <si>
    <t>BLE/KIT</t>
  </si>
  <si>
    <t>MORLEY PSoC 4 Bluetooth Low Energy</t>
  </si>
  <si>
    <t>020-891</t>
  </si>
  <si>
    <t>MORLEY-IAS USB Upload/Download Lead</t>
  </si>
  <si>
    <t>H/355R</t>
  </si>
  <si>
    <t>Rate-compensated thermal detector</t>
  </si>
  <si>
    <t>HML/100/4A</t>
  </si>
  <si>
    <t>4 Zone Fire Alarm Control Panel</t>
  </si>
  <si>
    <t>HML/100/6A</t>
  </si>
  <si>
    <t>6 Zone Fire Alarm Control Panel</t>
  </si>
  <si>
    <t>HML/100/8A</t>
  </si>
  <si>
    <t>8 Zone Fire Alarm Control Panel</t>
  </si>
  <si>
    <t>HML/PSE</t>
  </si>
  <si>
    <t>Photo-Electric Smoke Detector</t>
  </si>
  <si>
    <t>HML/RHSE</t>
  </si>
  <si>
    <t>Heat Detector</t>
  </si>
  <si>
    <t>HML/PTSE</t>
  </si>
  <si>
    <t>Photo-Electric Smoke &amp; Heat Detector</t>
  </si>
  <si>
    <t>B/401</t>
  </si>
  <si>
    <t>Plug in detector base</t>
  </si>
  <si>
    <t>MHR/1</t>
  </si>
  <si>
    <t>Red Mini Horn, Red, UL certified</t>
  </si>
  <si>
    <t>S300RPTU</t>
  </si>
  <si>
    <t>Hand Held Programmer</t>
  </si>
  <si>
    <t>4208U-4208SN</t>
  </si>
  <si>
    <t>8 Zone Expansion Module</t>
  </si>
  <si>
    <t>STX / SMX MORLEY UL</t>
  </si>
  <si>
    <t>615-000-002</t>
  </si>
  <si>
    <t>STX 1 loop panel supporting up to 98devices , GREY PLASTIC ENCLOSURE</t>
  </si>
  <si>
    <t>615-000-002-R</t>
  </si>
  <si>
    <t>STX 1 loop panel supporting up to 98devices , RED PLASTIC ENCLOSURE</t>
  </si>
  <si>
    <t>615-000-102-R</t>
  </si>
  <si>
    <t>STX 1 loop panel supporting up to 198devices , RED PLASTIC ENCLOSURE•</t>
  </si>
  <si>
    <t>615-000-202-R</t>
  </si>
  <si>
    <t>STX 2 loop panel supporting up to 396devices , RED PLASTIC ENCLOSURE</t>
  </si>
  <si>
    <t>915-100-102-R</t>
  </si>
  <si>
    <t>SMX 1 loop panel supporting up to 198 devices , RED METAL ENCLOSURE</t>
  </si>
  <si>
    <t>915-100-202-R</t>
  </si>
  <si>
    <t>SMX 2 loop panel supporting up to 396 devices , RED METAL ENCLOSURE</t>
  </si>
  <si>
    <t>915-100-402-R</t>
  </si>
  <si>
    <t>SMX 4 loop panel supporting up to 792 devices , RED METAL ENCLOSURE</t>
  </si>
  <si>
    <t>315-040</t>
  </si>
  <si>
    <t>LED ANNUNCIATOR</t>
  </si>
  <si>
    <t>315-080</t>
  </si>
  <si>
    <t>HM/PSE/UL/W</t>
  </si>
  <si>
    <t>HONEYWELL ADDRESSABLE Photoelectric Smoke Detector W/ B501 Base</t>
  </si>
  <si>
    <t>HM/FHSE/UL</t>
  </si>
  <si>
    <t>HONEYWELL ADDRESSABLE Heat Detector (W/ B501 Base)</t>
  </si>
  <si>
    <t>HM/MCP/GLASS/UL</t>
  </si>
  <si>
    <t>HONEYWELL ADDRESSABLE Manual Call Point</t>
  </si>
  <si>
    <t>MUS041W</t>
  </si>
  <si>
    <t>HONEYWELL Surface Mounting Box, Red</t>
  </si>
  <si>
    <t>HM/DCMO/UL</t>
  </si>
  <si>
    <t>HONEYWELL ADDRESSABLE Control Module</t>
  </si>
  <si>
    <t>HM/DCZRM/UL</t>
  </si>
  <si>
    <t>HONEYWELL ADDRESSABLE Interface Module</t>
  </si>
  <si>
    <t>HM/DISO/UL</t>
  </si>
  <si>
    <t>HONEYWELL Isolator Module</t>
  </si>
  <si>
    <t>HM/D240CMO/UL</t>
  </si>
  <si>
    <t>HONEYWELL ADDRESSABLE Relay Module</t>
  </si>
  <si>
    <t>HM/DMMI/UL</t>
  </si>
  <si>
    <t>HONEYWELL ADDRESSABLE Monitor Module</t>
  </si>
  <si>
    <t>HM/MM3E/UL</t>
  </si>
  <si>
    <t>HONEYWELL ADDRESSABLE Mini-Monitor Module</t>
  </si>
  <si>
    <t>315-508</t>
  </si>
  <si>
    <t>HONEYWELL BLUETOOTH DONGLE</t>
  </si>
  <si>
    <t>CONVENTIONAL SYSTEM</t>
  </si>
  <si>
    <t>OSD-3230</t>
  </si>
  <si>
    <t>CONVENTIONAL OPTICAL SMOKE DETECTOR (NEW)/ WITH BASE</t>
  </si>
  <si>
    <t>NEW SYSTEM SENSOR PANEL</t>
  </si>
  <si>
    <t>SS/2ZEC</t>
  </si>
  <si>
    <t>System Sensor Compact Series 2 Zone Fire Alarm Control Panel</t>
  </si>
  <si>
    <t>SS/4ZEC</t>
  </si>
  <si>
    <t>System Sensor Compact Series 4 Zone Fire Alarm Control Panel</t>
  </si>
  <si>
    <t>SS/6ZEC</t>
  </si>
  <si>
    <t>System Sensor Compact Series 6 Zone Fire Alarm Control Panel</t>
  </si>
  <si>
    <t>SS/8ZE</t>
  </si>
  <si>
    <t>System Sensor 8 Zone Fire Alarm Control Panel</t>
  </si>
  <si>
    <t>(NEW) MORLEY MAX EN</t>
  </si>
  <si>
    <t>MA-1000-02</t>
  </si>
  <si>
    <t>Morley-IAS Max 1 Loop panel</t>
  </si>
  <si>
    <t>MA-2000-02</t>
  </si>
  <si>
    <t>Morley-IAS Max Dual Loop Networkable</t>
  </si>
  <si>
    <t>MA-8000-02</t>
  </si>
  <si>
    <t>Morley-IAS Max 4 Loop Expandable to 8 Loop</t>
  </si>
  <si>
    <t>MA-LIB2-02</t>
  </si>
  <si>
    <t>1 Expansion card loop Morley-IAS for MA-8000 total 6 loop, 2 Expansion card loop Morley-IAS for MA-8000 total 8 loop</t>
  </si>
  <si>
    <t>FAASTFLEX</t>
  </si>
  <si>
    <t>FLX-010</t>
  </si>
  <si>
    <t>FAAST FLeXTM ASPIRATING DETECTOR FAAST FLEX 1-pipe Stand-alone</t>
  </si>
  <si>
    <t>FLX-020</t>
  </si>
  <si>
    <t>FAAST FLeXTM ASPIRATING DETECTOR FAAST FLEX 2-pipe Stand-alone</t>
  </si>
  <si>
    <t>GAMEWELL BY HONEYWELL</t>
  </si>
  <si>
    <t>Fire Alarm</t>
  </si>
  <si>
    <t>1100-0450</t>
  </si>
  <si>
    <t>Command Center, Blank Plate, Single Size (Pack Of 3
Plates)</t>
  </si>
  <si>
    <t>1100-0455</t>
  </si>
  <si>
    <t>Asm-16 Programmable Switch Module</t>
  </si>
  <si>
    <t>1100-0503</t>
  </si>
  <si>
    <t>Anu-48 Led Driver Module</t>
  </si>
  <si>
    <t>Devices, Modules, Pulls &amp; Accessories</t>
  </si>
  <si>
    <t>AMM-2F</t>
  </si>
  <si>
    <t>Addressable Monitor Module, Class “B”</t>
  </si>
  <si>
    <t>AMM-2IF</t>
  </si>
  <si>
    <t>Addressable Dual Monitor Module, 2 Circuit</t>
  </si>
  <si>
    <t>AMM-2RIF</t>
  </si>
  <si>
    <t>Addressable 2 Input / 2 Output Module</t>
  </si>
  <si>
    <t>AMM-4F</t>
  </si>
  <si>
    <t>Addressable Monitor Module, Class “A”</t>
  </si>
  <si>
    <t>AMM-4SF</t>
  </si>
  <si>
    <t>Addressable Sub-Loop Module, Class “A”</t>
  </si>
  <si>
    <t>AOM-2RF</t>
  </si>
  <si>
    <t>Addressable Output Relay Control Module</t>
  </si>
  <si>
    <t>AOM-2SF</t>
  </si>
  <si>
    <t>Addressable Output Signal Module</t>
  </si>
  <si>
    <t>ASD-PL3R</t>
  </si>
  <si>
    <t>Analog Photoelectronic Sensor, Remote Test Capable,
Velociti Only, Bright White Color</t>
  </si>
  <si>
    <t>ASD-PTL3</t>
  </si>
  <si>
    <t>Analog Photoelectronic Sensor With 135° Thermal
Sensor, Velociti Only, Bright White Color</t>
  </si>
  <si>
    <t>ATD-L3</t>
  </si>
  <si>
    <t>Thermal Sensor 135°, Velociti Only, Bright White Color</t>
  </si>
  <si>
    <t>ATD-L3H</t>
  </si>
  <si>
    <t>Thermal Sensor 190°, Velociti Only, Bright White Color</t>
  </si>
  <si>
    <t>ATD-L3R</t>
  </si>
  <si>
    <t>Thermal sensor Rate of Rise 15° / 135°, Velociti only, bright white color</t>
  </si>
  <si>
    <t>ASD-PL3</t>
  </si>
  <si>
    <t>Analog photoelectronic sensor, Velociti only, bright white color</t>
  </si>
  <si>
    <t>BASE</t>
  </si>
  <si>
    <t>B200S-LF-WH</t>
  </si>
  <si>
    <t>Intelligent, Addressable, Programmable Low Frequency Plug-In Sounder Base. High Or Low Volume Output With Ansi Temporal 3 Or Temporal 4, Continuous March Time
Or Custom Tone; White</t>
  </si>
  <si>
    <t>B200SR-LF-WH</t>
  </si>
  <si>
    <t>Intelligent Low-Frequency Plug-In Sunder Base With
Ansi Temporal 3 Or Continous Tone; White</t>
  </si>
  <si>
    <t>B200SR-WH</t>
  </si>
  <si>
    <t>Intelligent Plug-In Sounder Base With Ansi Temporal 3 Or
Continuous Tone; White</t>
  </si>
  <si>
    <t>B200S-WH</t>
  </si>
  <si>
    <t>Intelligent, Addressable, Programmable Plug-In Sounder Base High Or Low Volume Output With Ansi Temporal 3 Or Temporal 4, Continuous, March Or Custom Tone;
White</t>
  </si>
  <si>
    <t>B224BI-WH</t>
  </si>
  <si>
    <t>Intelligent Isolator Base; White</t>
  </si>
  <si>
    <t>B224RB-WH</t>
  </si>
  <si>
    <t>Intelligent Relay Base; White</t>
  </si>
  <si>
    <t>B300-6</t>
  </si>
  <si>
    <t>Intelligent Flanged Mounting Base; 6" Inch; White</t>
  </si>
  <si>
    <t>B501-BL</t>
  </si>
  <si>
    <t>Intelligent Detector Base, Without Flange; Black</t>
  </si>
  <si>
    <t>B501-WHITE</t>
  </si>
  <si>
    <t>4" Base, No Flange, Bright White Color</t>
  </si>
  <si>
    <t>CB500</t>
  </si>
  <si>
    <t>Control Module Barrier, Required By Ul To Separate Power Limited And Non Power Limited Wiring In Modules</t>
  </si>
  <si>
    <t>E3BB-BA2</t>
  </si>
  <si>
    <t>A2 Size, Remote Enclosure, Black, W/Inner Door, Lcd Slot
(Lcd-E3, Lcd-Slp)</t>
  </si>
  <si>
    <t>AUDIO | ECS</t>
  </si>
  <si>
    <t>ECC-FFT</t>
  </si>
  <si>
    <t>Assy,Fnl,Ecc-Fft,Fire Fighter Tel Consl</t>
  </si>
  <si>
    <t>FHS-F</t>
  </si>
  <si>
    <t>Assy,Fnl,Tel Handset,Ptt,Std 1/4" Plug</t>
  </si>
  <si>
    <t>FML-E3</t>
  </si>
  <si>
    <t>Fiber Loop Module, Multi Mode - Single Channel, Up To
2 Channels Per Rpt-E3-Utp Or Ini-Vg</t>
  </si>
  <si>
    <t>FPJ-F</t>
  </si>
  <si>
    <t>Fire Phone Jack With Contact Closure</t>
  </si>
  <si>
    <t>Network Graphic Workstations</t>
  </si>
  <si>
    <t>FPT-GATE-3</t>
  </si>
  <si>
    <t>Focalpoint Gateway-3 With Enclosure, Black</t>
  </si>
  <si>
    <t>FSL-E3</t>
  </si>
  <si>
    <t>Fiber Loop Module, Single Mode - Single Channel, Up To
2 Channels Per Rpt-E3-Utp Or Ini-Vg</t>
  </si>
  <si>
    <t>Detectors &amp; Initiating Devices</t>
  </si>
  <si>
    <t>GWMPS-1T</t>
  </si>
  <si>
    <t>Single Action Metal Pull Station, Terminals</t>
  </si>
  <si>
    <t>ISO-6</t>
  </si>
  <si>
    <t>Multi-Module, 6 Fault Isolator Module</t>
  </si>
  <si>
    <t>LCD-SLP</t>
  </si>
  <si>
    <t>Lcd Touch Screen Display Unit</t>
  </si>
  <si>
    <t>M500X</t>
  </si>
  <si>
    <t>Fault Isolator Module</t>
  </si>
  <si>
    <t>MBB-2</t>
  </si>
  <si>
    <t>Back Box, 2 Unit</t>
  </si>
  <si>
    <t>MBB-6</t>
  </si>
  <si>
    <t>Back Box, 6 Unit (Requires Mch-6)</t>
  </si>
  <si>
    <t>MCH-6</t>
  </si>
  <si>
    <t>6-Unit Mounting Chassis For Mbb-6</t>
  </si>
  <si>
    <t>MCS-CO3</t>
  </si>
  <si>
    <t>Intelligent Carbon Monoxide Sensor</t>
  </si>
  <si>
    <t>MCS-COF3</t>
  </si>
  <si>
    <t>Advanced Multi-Criteria Fire/Carbon Monoxide Detector,
Velociti Only, Bright White Color</t>
  </si>
  <si>
    <t>MCS-COP3</t>
  </si>
  <si>
    <t>Multi-Criteria Photoelectric And Co Sensor</t>
  </si>
  <si>
    <t>MCS-PTIR</t>
  </si>
  <si>
    <t>Multi-Criteria Detector With Three Sensing Elements
(Photo, Thermal, Ir) - Velociti Only, Bright White Color</t>
  </si>
  <si>
    <t>MMI-10F</t>
  </si>
  <si>
    <t>Multi-Module Input, 10 Monitor Input Module</t>
  </si>
  <si>
    <t>MMI-6SF</t>
  </si>
  <si>
    <t>Multi-Module Input, 6 Zone Sub-Loop Module</t>
  </si>
  <si>
    <t>MMO-6RF</t>
  </si>
  <si>
    <t>Multi-Module Output, 6 Relay Output Module</t>
  </si>
  <si>
    <t>MMO-6SF</t>
  </si>
  <si>
    <t>Multi-Module Output, 6 Signal Output Module</t>
  </si>
  <si>
    <t>MS-7AF</t>
  </si>
  <si>
    <t>Addressable Double Action Station</t>
  </si>
  <si>
    <t>MS-7ASF</t>
  </si>
  <si>
    <t>Addressable Single Action Pull Station</t>
  </si>
  <si>
    <t>OSI-RI-GW</t>
  </si>
  <si>
    <t>Intelligent Imaging Beam Detector, Velociti, With
Reflector</t>
  </si>
  <si>
    <t>PS-BB</t>
  </si>
  <si>
    <t>Gwmps Pull Station Backbox</t>
  </si>
  <si>
    <t>RPT-E3-UTP</t>
  </si>
  <si>
    <t>Network Repeater, Unshielded Twisted Pair</t>
  </si>
  <si>
    <t>SLC-PM</t>
  </si>
  <si>
    <t>Slp Add-On Slc Module, System Sensor. 1 Loop-318
Devices. Required For Slp Panel Order</t>
  </si>
  <si>
    <t>SLP-RED-G</t>
  </si>
  <si>
    <t>Smart Loop Panel Addressable Facp, Red Enclosure With 240V Power Supply, Lcd-Slp Display. Requires Slc-Pm
Or Slc95-Pm For Slc Loops</t>
  </si>
  <si>
    <t>ASENWARE</t>
  </si>
  <si>
    <t>CONVENTIONAL</t>
  </si>
  <si>
    <t>FIRE ALARM SYSTEM</t>
  </si>
  <si>
    <t>GT-D611 / AW-D611</t>
  </si>
  <si>
    <t>STANDALONE BATTERY SMOKE DETECTOR</t>
  </si>
  <si>
    <t>AW-WB001</t>
  </si>
  <si>
    <t>WATERPROOF BOX 10x15x7cm</t>
  </si>
  <si>
    <t>AW-CFP2166-1</t>
  </si>
  <si>
    <t>Conventional Fire Alarm Panel 1 Zone</t>
  </si>
  <si>
    <t>AW-CFP2166-2C</t>
  </si>
  <si>
    <t>Conventional Fire Alarm Panel 2 Zone - Plastic</t>
  </si>
  <si>
    <t>AW-CFP2166-4C</t>
  </si>
  <si>
    <t>Conventional Fire Alarm Panel 4 Zone - Plastic</t>
  </si>
  <si>
    <t>AW-CFP2166-6C</t>
  </si>
  <si>
    <t>Conventional Fire Alarm Panel 6 Zone - Plastic</t>
  </si>
  <si>
    <t>AW-CFP2166-8C</t>
  </si>
  <si>
    <t>Conventional Fire Alarm Panel 8 Zone - Plastic</t>
  </si>
  <si>
    <t>AW-CFP2166-12</t>
  </si>
  <si>
    <t>Conventional Fire Alarm 
 Panel 12 Zone</t>
  </si>
  <si>
    <t>AW-CFP2166-24</t>
  </si>
  <si>
    <t>Conventional Fire Alarm 
 Panel 24 Zone</t>
  </si>
  <si>
    <t>AW-CFP2166-28</t>
  </si>
  <si>
    <t>Conventional Fire Alarm 
 Panel 28 Zone</t>
  </si>
  <si>
    <t>AW-CFP2166-32</t>
  </si>
  <si>
    <t>Conventional Fire Alarm 
 Panel 32 Zone</t>
  </si>
  <si>
    <t>B122AH</t>
  </si>
  <si>
    <t>12V 2.3AH Lead Acid 
 Battery</t>
  </si>
  <si>
    <t>AW-CRP2166</t>
  </si>
  <si>
    <t>Conventional Repeater</t>
  </si>
  <si>
    <t>AW-GSM100</t>
  </si>
  <si>
    <t>GSM Module</t>
  </si>
  <si>
    <t>AW-CSD381</t>
  </si>
  <si>
    <t>Conventional Smoke 
 Detector</t>
  </si>
  <si>
    <t>AW-CTD382</t>
  </si>
  <si>
    <t>AW-CTD321</t>
  </si>
  <si>
    <t>AW-CTD322</t>
  </si>
  <si>
    <t>AW-CSH831</t>
  </si>
  <si>
    <t>Conventional Smoke &amp; 
 Heat Detector</t>
  </si>
  <si>
    <t>AW-CGD2166C</t>
  </si>
  <si>
    <t>Conventional CO Detector</t>
  </si>
  <si>
    <t>AW-SSD606D</t>
  </si>
  <si>
    <t>Standalone Smoke Detector</t>
  </si>
  <si>
    <t>AW-STD606D</t>
  </si>
  <si>
    <t>Standalone Heat Detector</t>
  </si>
  <si>
    <t>AW-SST606D</t>
  </si>
  <si>
    <t>Standalone Smoke &amp; Heat 
 Detector</t>
  </si>
  <si>
    <t>AW-CGD2166</t>
  </si>
  <si>
    <t>Standalone Gas Detector</t>
  </si>
  <si>
    <t>AW-D135-C</t>
  </si>
  <si>
    <t>Conventional Manual Call 
 Point</t>
  </si>
  <si>
    <t>AW-CMC2166-6</t>
  </si>
  <si>
    <t>Conventional Push Station</t>
  </si>
  <si>
    <t>AW-CBL2166-6</t>
  </si>
  <si>
    <t>Conventional Fire Bell 6 
 Inches</t>
  </si>
  <si>
    <t>AW-CBL2166-8</t>
  </si>
  <si>
    <t>Conventional Fire Bell 8 
 Inches</t>
  </si>
  <si>
    <t>AW-CBL2166-10</t>
  </si>
  <si>
    <t>Conventional Fire Bell 10 
 Inches</t>
  </si>
  <si>
    <t>AW-CSS-2166-2</t>
  </si>
  <si>
    <t>Conventional Strobe 
 Sounder</t>
  </si>
  <si>
    <t>AW-D316</t>
  </si>
  <si>
    <t>Conventional Sounder 
 Beacon</t>
  </si>
  <si>
    <t>AW-CFL2166</t>
  </si>
  <si>
    <t>Conventional Flash Light</t>
  </si>
  <si>
    <t>AW-EL102</t>
  </si>
  <si>
    <t>Entrance LED Indicator</t>
  </si>
  <si>
    <t>AW-BK901-100</t>
  </si>
  <si>
    <t>Beam Detector 100 meters</t>
  </si>
  <si>
    <t>AW-BK901CODER</t>
  </si>
  <si>
    <t>Beam Smoke Detector 
 Programmer</t>
  </si>
  <si>
    <t>ADDRESSABLE</t>
  </si>
  <si>
    <t>AW-FP101</t>
  </si>
  <si>
    <t>Wireless &amp; Wired 
 Addressable Fire Control 
 Panel 1 Loop</t>
  </si>
  <si>
    <t>AW-FP102</t>
  </si>
  <si>
    <t>Wireless &amp; Wired 
 Addressable Fire Control 
 Panel 2 Loops</t>
  </si>
  <si>
    <t>AW-FP103</t>
  </si>
  <si>
    <t>Wireless &amp; Wired 
 Addressable Fire Control 
 Panel 3 Loops</t>
  </si>
  <si>
    <t>AW-FP104</t>
  </si>
  <si>
    <t>Wireless &amp; Wired 
 Addressable Fire Control 
 Panel 4 Loops</t>
  </si>
  <si>
    <t>AW-FP105</t>
  </si>
  <si>
    <t>Wireless &amp; Wired 
 Addressable Fire Control 
 Panel 5 Loops</t>
  </si>
  <si>
    <t>AW-FP106</t>
  </si>
  <si>
    <t>Wireless &amp; Wired 
 Addressable Fire Control 
 Panel 6 Loops</t>
  </si>
  <si>
    <t>AW-FP107</t>
  </si>
  <si>
    <t>Wireless &amp; Wired 
 Addressable Fire Control 
 Panel 7 Loops</t>
  </si>
  <si>
    <t>AW-FP108</t>
  </si>
  <si>
    <t>Wireless &amp; Wired 
 Addressable Fire Control 
 Panel 8 Loops</t>
  </si>
  <si>
    <t>AW-FP100PR</t>
  </si>
  <si>
    <t>Printer</t>
  </si>
  <si>
    <t>AW-FP100IP</t>
  </si>
  <si>
    <t>Communication Card</t>
  </si>
  <si>
    <t>AW-FP100GSM</t>
  </si>
  <si>
    <t>GSM Communication Card</t>
  </si>
  <si>
    <t>AW-FP100GM</t>
  </si>
  <si>
    <t>Graphic Monitoring 
 Software</t>
  </si>
  <si>
    <t>AW-B12052</t>
  </si>
  <si>
    <t>12V5AH (1-2 Loops)</t>
  </si>
  <si>
    <t>AW-B12172</t>
  </si>
  <si>
    <t>12V17AH (3-8 Loops)</t>
  </si>
  <si>
    <t>AW-D101</t>
  </si>
  <si>
    <t>Addressable Smoke 
 Detector w/ base</t>
  </si>
  <si>
    <t>AW-D102</t>
  </si>
  <si>
    <t>Addressable Heat Detector w/base</t>
  </si>
  <si>
    <t>AW-D106</t>
  </si>
  <si>
    <t>Addressable Strobe 
 Sounder</t>
  </si>
  <si>
    <t>AW-D106A</t>
  </si>
  <si>
    <t>Wireless Manual Call Point</t>
  </si>
  <si>
    <t>AW-D109</t>
  </si>
  <si>
    <t>Addressable Fire Bell 6 
 Inches</t>
  </si>
  <si>
    <t>AW-D110</t>
  </si>
  <si>
    <t>Addressable Monitor 
 Module</t>
  </si>
  <si>
    <t>AW-D111</t>
  </si>
  <si>
    <t>Addressable Supervisory 
 Module</t>
  </si>
  <si>
    <t>AW-D112</t>
  </si>
  <si>
    <t>Addressable Control 
 Module</t>
  </si>
  <si>
    <t>AW-D114</t>
  </si>
  <si>
    <t>Isolator Module</t>
  </si>
  <si>
    <t>AW-D116</t>
  </si>
  <si>
    <t>Addressable Annunciator</t>
  </si>
  <si>
    <t>AW-D117</t>
  </si>
  <si>
    <t>Addressable Annunciator 
 LED Main Board</t>
  </si>
  <si>
    <t>AW-D118</t>
  </si>
  <si>
    <t>Addressable Annunciator 
 LED Extension Board</t>
  </si>
  <si>
    <t>AW-D119</t>
  </si>
  <si>
    <t>Addressable input and output module</t>
  </si>
  <si>
    <t>AW-D120</t>
  </si>
  <si>
    <t>Addressable Strobe 
 Sounder Base sounder base</t>
  </si>
  <si>
    <t>AW-D121</t>
  </si>
  <si>
    <t>Addressable Power 
 Transmitter</t>
  </si>
  <si>
    <t>LCPB FIRE ALARM SYSTEM</t>
  </si>
  <si>
    <t>AW-PR101</t>
  </si>
  <si>
    <t>Programmer</t>
  </si>
  <si>
    <t>AW-FP300</t>
  </si>
  <si>
    <t>Addressable Fire Alarm 
 Control Panel (LPCB)</t>
  </si>
  <si>
    <t>AW-FP300LC</t>
  </si>
  <si>
    <t>Loop Card</t>
  </si>
  <si>
    <t>AW-D301</t>
  </si>
  <si>
    <t>Addressable Smoke 
 Detector (LPCB)</t>
  </si>
  <si>
    <t>AW-D302</t>
  </si>
  <si>
    <t>Addressable Heat Detector 
 (LPCB)</t>
  </si>
  <si>
    <t>AW-D303</t>
  </si>
  <si>
    <t>Addressable Smoke and 
 Heat Detector (LPCB)</t>
  </si>
  <si>
    <t>AW-D305</t>
  </si>
  <si>
    <t>Addressable Manual Call 
 Point (LPCB)</t>
  </si>
  <si>
    <t>AW-D306</t>
  </si>
  <si>
    <t>Addressable Sounder 
 Beacon (LPCB)</t>
  </si>
  <si>
    <t>AW-D307</t>
  </si>
  <si>
    <t>Addressable Strobe Sounder Base (LPCB) sounder base</t>
  </si>
  <si>
    <t>AW-D314</t>
  </si>
  <si>
    <t>Loop Isolator (LPCB)</t>
  </si>
  <si>
    <t>AW-D315</t>
  </si>
  <si>
    <t>Addressable LPG Detector</t>
  </si>
  <si>
    <t>Conventional Sounder 
 Beacon (LPCB)</t>
  </si>
  <si>
    <t>AW-D319</t>
  </si>
  <si>
    <t>Addressable Input Output 
 Module</t>
  </si>
  <si>
    <t>GST</t>
  </si>
  <si>
    <t>EN</t>
  </si>
  <si>
    <t>INTELLIGENT CONTROL PANEL</t>
  </si>
  <si>
    <t>GST100</t>
  </si>
  <si>
    <t>INTELLIGENT FIRE ALARM PANEL</t>
  </si>
  <si>
    <t>SINGLE LOOP PANEL WITH CAPACITY OF 128 ADDRESSABLE DEVICES, 8 ZONE, BUILT-IN PRINTER, 2 BELL CIRCUIT, INTEGRATED PSU WITH BATTERY CHARGER, EXCLUDING BATTERIES.</t>
  </si>
  <si>
    <t>P-9943</t>
  </si>
  <si>
    <t>NETWORK CARD</t>
  </si>
  <si>
    <t>RS485 NETWORK CARD FOR GST100, SERIAL CONNECTION, 1200 METERS NETWORK RANGE,</t>
  </si>
  <si>
    <t>GST200N-1</t>
  </si>
  <si>
    <t>INTELLIGENT FIRE ALARM CONTROL PANEL</t>
  </si>
  <si>
    <t>SINGLE LOOP WITH CAPACITY OF 235 DEVICES. FLUSH-MOUNT NEW STRUCTURE. 30 ZONES, INTEGRATED WIDE RANGE PSU (100-240V) WITH BATTERY CHARGER, EXCLUDING BATTERIES (CERTIFIED BY LPCB)</t>
  </si>
  <si>
    <t>GST200N-2</t>
  </si>
  <si>
    <t>TWO LOOPS WITH CAPACITY OF 477 DEVICES. FLUSH-MOUNT NEW STRUCTURE. 30 ZONES, INTEGRATED WIDE RANGE PSU (100-240V) WITH BATTERY CHARGER, EXCLUDING BATTERIES (CERTIFIED BY LPCB)</t>
  </si>
  <si>
    <t>LC200</t>
  </si>
  <si>
    <t>SINGLE LOOP CARD</t>
  </si>
  <si>
    <t>SINGLE LOOP CARD FOR GST200 SERIES, CAPACITY OF 242 DEVICES</t>
  </si>
  <si>
    <t>P-9901A</t>
  </si>
  <si>
    <t>MICRO PRINTER</t>
  </si>
  <si>
    <t>PANEL PRINTER FOR GST200 SERIES</t>
  </si>
  <si>
    <t>P-9905</t>
  </si>
  <si>
    <t>PRINTER INTERFACE</t>
  </si>
  <si>
    <t>INTERFACING WITH EXTERNAL USB PRINTER FOR GST200 SERIES</t>
  </si>
  <si>
    <t>P-9930</t>
  </si>
  <si>
    <t>COMMUNICATION CARD</t>
  </si>
  <si>
    <t>COMPATIBLE WITH USB PORT AND SERIAL PORT, RS232 COMMUNICATION BOARD OF GST200 SERIES, FOR SYSTEM COMMISSIONING AND GMC CONNECTION</t>
  </si>
  <si>
    <t>P-9930ModBus</t>
  </si>
  <si>
    <t>MODBUS COMMUNICATION CARD</t>
  </si>
  <si>
    <t>MODBUS COMMUNICATION CARD FOR INTEGRATING GST200 SERIES PANEL INTO BMS SYSTEM IN RS232</t>
  </si>
  <si>
    <t>P-9940A</t>
  </si>
  <si>
    <t>CLASS A RS485 NETWORK CARD</t>
  </si>
  <si>
    <t>RS485 NETWORK CARD FOR GST200 SERIES PANEL AND GST-NRP00, MAXIMUM 1200 METERS, CLASS A CONNECTION</t>
  </si>
  <si>
    <t>P-9960</t>
  </si>
  <si>
    <t>CLASS B CAN NETWORK CARD</t>
  </si>
  <si>
    <t>CAN NETWORK CARD FOR GST200 SERIES PANEL , MAXIMUM 3000 METERS, 110 PANELS WITHIN EACH BRANCH</t>
  </si>
  <si>
    <t>P-9960A</t>
  </si>
  <si>
    <t>CLASS A CAN NETWORK CARD</t>
  </si>
  <si>
    <t>CAN NETWORK CARD FOR GST200 SERIES PANEL, MAXIMUM 3000 METERS, CLASS A CONNECTION</t>
  </si>
  <si>
    <t>GST-IFP8</t>
  </si>
  <si>
    <t>MODULARIZED 8 LOOP WITH CAPACITY OF 1936 DEVICES. FLUSH-MOUNT NEW STRUCTURE. 140 ZONE, 2 BELL CIRCUIT, BUILT-IN PRINTER, INTEGRATED PSU WITH BATTERY CHARGER, EXCLUDING BATTERIES, 1 LOOP CARD CONFIGURED AS STANDARD(2 LOOPS) (CERTIFIED BY LPCB)</t>
  </si>
  <si>
    <t>GST-IFP8SG</t>
  </si>
  <si>
    <t>LCIFP8</t>
  </si>
  <si>
    <t>DUAL LOOP CARD</t>
  </si>
  <si>
    <t>DUAL LOOP CARD FOR GST-IFP8, CAPACITY OF 484 DEVICES</t>
  </si>
  <si>
    <t>P-9904</t>
  </si>
  <si>
    <t>INTERFACING WITH EXTERNAL USB PRINTER, FOR GST-IFP8</t>
  </si>
  <si>
    <t>P-9935</t>
  </si>
  <si>
    <t>COMPATIBLE WITH USB PORT AND SERIAL PORT, RS232 COMMUNICATION BOARD OF GST-IFP8, FOR SYSTEM COMMISSIONING AND GMC CONNECTION</t>
  </si>
  <si>
    <t>P-9935ModBus</t>
  </si>
  <si>
    <t>RS232 MODBUS COMMUNICATION CARD</t>
  </si>
  <si>
    <t>MODBUS COMMUNICATION CARD FOR INTEGRATING GST-IFP8 PANEL INTO BMS SYSTEM IN RS232</t>
  </si>
  <si>
    <t>P-9945A</t>
  </si>
  <si>
    <t>LOOP NETWORK CARD</t>
  </si>
  <si>
    <t>RS485 NETWORK CARD FOR GST-IFP8 TO CONNECT WITH GST CONTROL PANELS OR GST-NRP01, CLASS A CONNECTION, 1500 METRES BETWEEN PANELS</t>
  </si>
  <si>
    <t>P-9965</t>
  </si>
  <si>
    <t>CAN NETWORK CARD FOR GST-IFP8, MAXIMUM 3000 METERS, 110 PANELS WITHIN EACH BRANCH</t>
  </si>
  <si>
    <t>P-9945RP</t>
  </si>
  <si>
    <t>REPEATER CARD</t>
  </si>
  <si>
    <t>RS485 REPEATER CARD FOR GST-IFP8</t>
  </si>
  <si>
    <t>GST852RP</t>
  </si>
  <si>
    <t>LCD REPEATER PANEL</t>
  </si>
  <si>
    <t>PASSIVE LCD REPEATER. COMPATIBLE WITH GST100, GST200 SERIES, GST5000 SERIES AND GST-IFP8</t>
  </si>
  <si>
    <t>GST-NRP00</t>
  </si>
  <si>
    <t>NETWORK REPEATER PANEL</t>
  </si>
  <si>
    <t>ACTIVE REPEATER WITH FULL FUNCTION CONTROL. COMPATIBLE WITH GST200 SERIES, GST5000 SERIES AND GST-IFP8 PANEL, ADDITIONAL NETWORK CARD NEED TO BE ORDERED</t>
  </si>
  <si>
    <t>GST8903</t>
  </si>
  <si>
    <t>INTELLIGENT GRAPHIC REPEATER PANEL</t>
  </si>
  <si>
    <t>GRAPHIC REPEATER PANEL MAIN BOARD AND INDICATION BOARD ONLY, 99 ZONE/DEVICE ALARM INDICATION LED</t>
  </si>
  <si>
    <t>GST8903-A1</t>
  </si>
  <si>
    <t>CUSTOMIZED GRAPHIC REPEATER PANEL WITH A1 CASE</t>
  </si>
  <si>
    <t>GST8903-A2</t>
  </si>
  <si>
    <t>CUSTOMIZED GRAPHIC REPEATER PANEL WITH A2 CASE</t>
  </si>
  <si>
    <t>GST8903-A3</t>
  </si>
  <si>
    <t>CUSTOMIZED GRAPHIC REPEATER PANEL WITH A3 CASE</t>
  </si>
  <si>
    <t>P-9903</t>
  </si>
  <si>
    <t>LOOP RELAY MODULE</t>
  </si>
  <si>
    <t>EXTEND LOOP DISTANCE AND INCREASE CURRENT CAPACITY, 24VDC REQUIRED</t>
  </si>
  <si>
    <t>CAN100S</t>
  </si>
  <si>
    <t>CAN RELAY</t>
  </si>
  <si>
    <t>RELAY MODULE TO EXPAND CAN NETWORK DISTANCE FOR 3000 METERS MORE</t>
  </si>
  <si>
    <t>CAN100H-4</t>
  </si>
  <si>
    <t>CAN HUB</t>
  </si>
  <si>
    <t>CAN NETWORK HUB, 4 ROUTES</t>
  </si>
  <si>
    <t>CAN100H-8</t>
  </si>
  <si>
    <t>CAN NETWORK HUB, 8 ROUTES</t>
  </si>
  <si>
    <t>CAN100H-12</t>
  </si>
  <si>
    <t>CAN NETWORK HUB, 12 ROUTES</t>
  </si>
  <si>
    <t>CAN100H-16</t>
  </si>
  <si>
    <t>CAN NETWORK HUB, 16 ROUTES</t>
  </si>
  <si>
    <t>CAN100F</t>
  </si>
  <si>
    <t>CAN-FIBRE CONVERTOR</t>
  </si>
  <si>
    <t>CONVERTING BETWEEN CAN AND FIBRE-OPTIC SIGNALS</t>
  </si>
  <si>
    <t>INTELLIGENT DETECTORS</t>
  </si>
  <si>
    <t>DI-9101E</t>
  </si>
  <si>
    <t>INTELLIGENT COMBINATION HEAT PHOTOELECTRIC SMOKE DETECTOR</t>
  </si>
  <si>
    <t>INTELLIGENT COMBINATION HEAT PHOTOELECTRIC SMOKE DETECTOR, WITH REMOTE INDICATOR OUTPUT AND MAGNETIC TEST FUNCTION, WITHOUT BASE (CERTIFIED BY LPCB)</t>
  </si>
  <si>
    <t>DI-9102E</t>
  </si>
  <si>
    <t>INTELLIGENT PHOTOELECTRIC SMOKE DETECTOR</t>
  </si>
  <si>
    <t>INTELLIGENT PHOTOELECTRIC SMOKE DETECTOR, WITH REMOTE INDICATOR OUTPUT AND MAGNETIC TEST FUNCTION, WITHOUT BASE (CERTIFIED BY LPCB)</t>
  </si>
  <si>
    <t>DI-9103E</t>
  </si>
  <si>
    <t>INTELLIGENT RATE OF RISE AND FIXED TEMPERATURE HEAT DETECTOR</t>
  </si>
  <si>
    <t>INTELLIGENT RATE OF RISE AND FIXED TEMPERATURE HEAT DETECTOR, PROGRAMMABLE A1R/A2S/BS ALARM, WITH REMOTE INDICATOR OUTPUT AND MAGNETIC TEST FUNCTION, WITHOUT BASE(CERTIFIED BY LPCB)</t>
  </si>
  <si>
    <t>DB-01</t>
  </si>
  <si>
    <t>COMMON DETECTOR BASE</t>
  </si>
  <si>
    <t>COMMON DETECTOR BASE FOR DI-910XE SERIES DETECTORS AND FOR DC-910XE SERIES DETECTORS USING EOLR</t>
  </si>
  <si>
    <t>DB-01-B</t>
  </si>
  <si>
    <t>Common Detector Base</t>
  </si>
  <si>
    <t>Common Detector Base for DI-910xE Series Detectors and for DC-910xE series Detectors using EOLR，Black Color</t>
  </si>
  <si>
    <t>I-9104</t>
  </si>
  <si>
    <t>INTELLIGENT ULTRAVIOLET FLAME DETECTOR</t>
  </si>
  <si>
    <t>INTELLIGENT ULTRA-VIOLET FLAME DETECTOR, WITHOUT BASE, COMPATIBLE BASE DZ-03</t>
  </si>
  <si>
    <t>DI-9101E-B</t>
  </si>
  <si>
    <t>Intelligent Combination Heat Photoelectric Smoke Detector</t>
  </si>
  <si>
    <t>Intelligent Combination Heat Photoelectric Smoke Detector, With Remote Indicator Output and Magnetic Test Function,Without base, Black Color  (Certified by LPCB)</t>
  </si>
  <si>
    <t>DZ-03</t>
  </si>
  <si>
    <t>COMMON DETECTOR BASE FOR I/C SERIES DETECTORS</t>
  </si>
  <si>
    <t>I-9105R</t>
  </si>
  <si>
    <t>INTELLIGENT REFLECTIVE BEAM DETECTOR</t>
  </si>
  <si>
    <t>INTELLIGENT REFLECTIVE BEAM DETECTOR WITH 4 PIECES REFLECTORS, CAPABLE USED AS CONVENTIONAL DETECTOR, FIRE AND FAULT SIGNAL RELAYS AVAILABLE, 24VDC REQUIRED, DETECTION RANGE 8-100 METERS (CERTIFIED BY LPCB)</t>
  </si>
  <si>
    <t>DI-9105E</t>
  </si>
  <si>
    <t>Intelligent Reflective Beam Detector</t>
  </si>
  <si>
    <t>Intelligent Reflective Beam Detector with 4 pieces Reflectors, Loop powered,integral
 visible laser pointer and 2 bits digital tube for easy alignment. Detection Range
 5-100 Meters (Certified by LPCB)</t>
  </si>
  <si>
    <t>RF-9105R</t>
  </si>
  <si>
    <t>Reflector</t>
  </si>
  <si>
    <t>optional accessories for beam dectectors to enlarge the reflective area</t>
  </si>
  <si>
    <t>NRM-9105</t>
  </si>
  <si>
    <t>Non-reflective mask</t>
  </si>
  <si>
    <t>optional accessories for reflector, paste it on refector to reduce the reflective area for the detection distance between beam detector and reflector abvoe 5 meters less than 10 meters</t>
  </si>
  <si>
    <t>I-9602LW-LPG</t>
  </si>
  <si>
    <t>ADDRESSABLE GAS DETECTOR FOR LPG</t>
  </si>
  <si>
    <t>AVAILABLE FOR LPG ON ORDER, 24VDC POWERED, WITH LOCAL BUZZER ALARM</t>
  </si>
  <si>
    <t>I-9602LW-NG</t>
  </si>
  <si>
    <t>ADDRESSABLE GAS DETECTOR FOR NATURAL GAS</t>
  </si>
  <si>
    <t>AVAILABLE FOR NATURAL GAS ON ORDER, 24DC POWERED, WITH LOCAL BUZZER ALARM</t>
  </si>
  <si>
    <t>P-9910B</t>
  </si>
  <si>
    <t>HAND HELD PROGRAMMER</t>
  </si>
  <si>
    <t>PORTABLE PROGRAMMING TOOL FOR ADDRESSING, PRESETTING AND TESTING OF DEVICES</t>
  </si>
  <si>
    <t>INTELLIGENT MANUAL CALL POINT</t>
  </si>
  <si>
    <t>DI-9204E</t>
  </si>
  <si>
    <t>DIGITAL MANUAL CALL POINT</t>
  </si>
  <si>
    <t>FLUSH MOUNT RESETTABLE (NON-BREAKING GLASS), SUPPLIED WITH SURFACE MOUNT BACK BOX AND SPECIAL RESET KEY,(CERTIFIED BY LPCB)</t>
  </si>
  <si>
    <t>D-92FC</t>
  </si>
  <si>
    <t>PROTECTIVE FLIP COVER</t>
  </si>
  <si>
    <t>PROTECTS CALL POINT FROM ACCIDENTAL OPERATION, SUITABLE FOR DI-9204E, DC-9204E, DI-M9204 AND DC-M9204</t>
  </si>
  <si>
    <t>D-92WPB</t>
  </si>
  <si>
    <t>WATER PROOF BOX</t>
  </si>
  <si>
    <t>WATER PROOF BOX SUITABLE FOR DI-9204E, DC-9204E, DI-M9204 AND DC-M9204, IP66</t>
  </si>
  <si>
    <t>INTELLIGENT SOUNDERS</t>
  </si>
  <si>
    <t>I-9401N</t>
  </si>
  <si>
    <t>ADDRESSABLE SOUDER STROBE</t>
  </si>
  <si>
    <t>ADDRESSABLE COMBINED SOUNDER AND STROBE, 24VDC REQUIRED</t>
  </si>
  <si>
    <t>I-9403</t>
  </si>
  <si>
    <t>INTELLIGENT SOUNDER STROBE</t>
  </si>
  <si>
    <t>ADDRESSABLE SOUNDER WITH VISIBLE INDICATOR, 16 TONES, HIGH/LOW CONSUMPTION MODES, CAN BE LOOP POWERED OR 24VDC POWERED, 83-89DB (CERTIFIED BY LPCB)</t>
  </si>
  <si>
    <t>I-9404</t>
  </si>
  <si>
    <t>INTELLIGENT SOUNDER</t>
  </si>
  <si>
    <t>ADDRESSABLE SOUNDER, 16 TONES, HIGH/LOW CONSUMPTION MODES, CAN BE LOOP POWERED OR 24VDC POWERED, 83-89DB (CERTIFIED BY LPCB)</t>
  </si>
  <si>
    <t>C-94DB</t>
  </si>
  <si>
    <t>DEEP BASE</t>
  </si>
  <si>
    <t>DEEP BASE OF I-9403 I-9404 C-9403 C-9404 FOR SURFACE CABLE ENTRY
  (CERTIFIED BY LPCB)</t>
  </si>
  <si>
    <t>DI-9405</t>
  </si>
  <si>
    <t>ADDRESSABLE BASE MOUNT SOUNDER</t>
  </si>
  <si>
    <t>SANDWICH STRUCTURE FOR EASY INSTALLATION FOR "D" SERIES INTELLIGENT DETECTORS (CERTIFIED BY LPCB)</t>
  </si>
  <si>
    <t>DI-9406</t>
  </si>
  <si>
    <t>ADDRESSABLE BASE MOUNT SOUNDER STROBE</t>
  </si>
  <si>
    <t>SANDWICH STRUCTURE FOR EASY INSTALLATION FOR "D“ SERIES INTELLIGENT DETECTORS (CERTIFIED BY LPCB)</t>
  </si>
  <si>
    <t>INTELLIGENT MODULES</t>
  </si>
  <si>
    <t>DI-9309</t>
  </si>
  <si>
    <t>ADDRESSABLE MULTI-CHANNEL INTERFACE</t>
  </si>
  <si>
    <t>INDIVIDUAL CONTROL FOR 2 DRY-CONTACT OUTPUTS AND 1-16 INPUTS, 24VDC REQUIRED, WITHOUT CASE</t>
  </si>
  <si>
    <t>DC-9504E</t>
  </si>
  <si>
    <t>BASE MOUNT SHORT CIRCUIT ISOLATOR</t>
  </si>
  <si>
    <t>BASE MOUNTED ISOLATOR FOR DI-910XE SERIES DETECTORS</t>
  </si>
  <si>
    <t>C-9302</t>
  </si>
  <si>
    <t>INTERPOSING RELAY MODULE</t>
  </si>
  <si>
    <t>AC CONTROL RELAY FOR POWER SWITCHING</t>
  </si>
  <si>
    <t>DI-9300E</t>
  </si>
  <si>
    <t>DIGITAL SINGLE INPUT MODULE</t>
  </si>
  <si>
    <t>LOOP POWERED, DIN-RAIL MOUNT OR SURFACE MOUNT, MONITOR N/O OR N/C DRY CONTACT INPUT WITH CABLE SUPERVISED FUNCTION. (CERTIFIED BY LPCB)</t>
  </si>
  <si>
    <t>DI-9301E</t>
  </si>
  <si>
    <t>DIGITAL SINGLE INPUT AND OUTPUT MODULE</t>
  </si>
  <si>
    <t>LOOP POWERED, DIN-RAIL MOUNT OR SURFACE MOUNT, PROVIDE N/O DRY CONTACT OUTPUT. (CERTIFIED BY LPCB)</t>
  </si>
  <si>
    <t>DI-9302E</t>
  </si>
  <si>
    <t>High Voltage Relay Module</t>
  </si>
  <si>
    <t>Loop powered, Din-rail or surface mounted, provides two groups dry contact output
 (N/O COM N/C), relay capacity 220VAC /5A, also possible receives switch signal (dry contact, either N/O or N/C) from field equipment</t>
  </si>
  <si>
    <t>DI-9305E</t>
  </si>
  <si>
    <t>DIGITAL SINGLE RISER OUTPUT MODULE</t>
  </si>
  <si>
    <t>LOOP POWERED, DIN-RAIL MOUNT OR SURFACE MOUNT, PROVIDE I/O DRY CONTACT OUTPUT. (CERTIFIED BY LPCB)</t>
  </si>
  <si>
    <t>DI-9319E</t>
  </si>
  <si>
    <t>DIGITAL ZONE MONITOR MODULE</t>
  </si>
  <si>
    <t>INPUT MODULE FOR FAULT AND ALARM MONITORING, DIN-RAIL MOUNT OR SURFACE MOUNT, CAPABLE CONNECT CONVENTIONAL DETECTORS INTO ADDRESSABLE SYSTEM, PROVIDE N/O OR N/C DRY CONTACT FIRE ALARM OUTPUT , (CERTIFIED BY LPCB)</t>
  </si>
  <si>
    <t>DC-9503E</t>
  </si>
  <si>
    <t>LOOP ISOLATOR MODULE</t>
  </si>
  <si>
    <t>DIN-RAIL MOUNT OR SURFACE MOUNT, ZONAL SHORT CIRCUIT LOOP ISOLATOR (MAX. 128 PER LOOP) (CERTIFIED BY LPCB)</t>
  </si>
  <si>
    <t>GST-MBX22</t>
  </si>
  <si>
    <t>MODULE BOX</t>
  </si>
  <si>
    <t>OPTIONAL ACCESSOIRES FOR D SERIES DIN-RAIL MOUNT MODULES CENTRALIZE INSTALLATION, INCLUDE MOUNTING STRIP AND CABLE TRUNKING. ABLE TO STORE UP TO 10 PCS SMALL SIZE OR 6 PCS BIG SIZE MODULES,</t>
  </si>
  <si>
    <t>GST-MBX29</t>
  </si>
  <si>
    <t>OPTIONAL ACCESSOIRES FOR D SERIES DIN-RAIL MOUNT MODULES CENTRALIZE INSTALLATION, INCLUDE MOUNTING STRIP AND CABLE TRUNKING.ABLE TO STORE UP TO 20 PCS SMALL SIZE OR 12 PCS BIG SIZE MODULES.</t>
  </si>
  <si>
    <t>D-93TC1</t>
  </si>
  <si>
    <t>DIN-RAIL MODULE TRANSPARENT COVER 1U</t>
  </si>
  <si>
    <t>TRANSPARENT PROTECTION COVER FOR DIN-RAIL MOUNT SINGLE INPUT MODULE OR LOOP ISOLATOR MODULE</t>
  </si>
  <si>
    <t>D-93TC2</t>
  </si>
  <si>
    <t>DIN-RAIL MODULE TRANSPARENT COVER 2U</t>
  </si>
  <si>
    <t>TRANSPARENT PROTECTION COVER FOR DIN-RAIL MOUNT SINGLE INPUT AND OUTPUT,SINGLE RISER OR ZONE MONITOR MODULE</t>
  </si>
  <si>
    <t>B-9310</t>
  </si>
  <si>
    <t>SURFACE MOUNTING BOXES FOR MODULES</t>
  </si>
  <si>
    <t>SURFACE MOUNT BACK BOX FOR MODULES</t>
  </si>
  <si>
    <t>I-9314</t>
  </si>
  <si>
    <t>INTELLIGENT DOOR LAMP</t>
  </si>
  <si>
    <t>PROGRAMMABLE ALARM INDICATION LINKED TO ANY ONE OR GROUP OF DEVICES.</t>
  </si>
  <si>
    <t>C-9314P</t>
  </si>
  <si>
    <t>PASSIVE REMOTE INDICATOR</t>
  </si>
  <si>
    <t>COMPATIBLE WITH D SERIES AND I/C SERIES DETECTORS</t>
  </si>
  <si>
    <t>INTELLIGENT SOFTWARE</t>
  </si>
  <si>
    <t>GST-GMC3.0</t>
  </si>
  <si>
    <t>GRAPHIC MONITOR CENTER</t>
  </si>
  <si>
    <t>COMPUTER BASED SOFTWARE, ENABLING COMPLETE COLOUR GRAPHIC CONTROL AND DISPLAY SYSTEM, PROVIDING A WINDOW ON TO THE FIRE ALARM SYSTEM, COMPATIBLE WITH GST-IFP8 AND GST200 SERIES PANEL, COMPUTER NOT INCLUDED</t>
  </si>
  <si>
    <t>DEF-KEY</t>
  </si>
  <si>
    <t>USB DONGLE</t>
  </si>
  <si>
    <t>DONGLE KEY,ACCESS CONTROL OF GST DEFINITION SOFTWARE (3.0 AND LATER VERSION OR GST-IFP4-DEF</t>
  </si>
  <si>
    <t>DEF-KEY-TIMER</t>
  </si>
  <si>
    <t>DONGLE KEY, WITH TIMER FUNCTION,ACCESS CONTROL OF GST DEFINITION SOFTWARE (3.0 AND LATER VERSION) OR GST-IFP4-DEF</t>
  </si>
  <si>
    <t>CONVENTIONAL CONTROL PANEL</t>
  </si>
  <si>
    <t>GST101</t>
  </si>
  <si>
    <t>CONVENTIONAL FIRE ALARM CONTROL PANEL</t>
  </si>
  <si>
    <t>1 ZONE, 2 SOUNDER CIRCUIT, 1 FIRE OUTPUT, 1 FAULT OUTPUT, BUILT-IN BATTERY CHARGER, EXCLUDING BATTERIES</t>
  </si>
  <si>
    <t>GST102A</t>
  </si>
  <si>
    <t>2 ZONE, 3 PROGRAMMABLE SOUNDER CIRCUIT, REPEATER OUTPUT AGAINST PER ZONE, 1 FIRE OUTPUT, 1 FAULT OUTPUT, BUILT-IN BATTERY CHARGER, EXCLUDING BATTERIES (CERTIFIED BY LPCB)</t>
  </si>
  <si>
    <t>RB102A</t>
  </si>
  <si>
    <t>RELAY BOARD</t>
  </si>
  <si>
    <t>RELAY BOARD FOR GST102A, FOR ZONAL FAULT AND FIRE ALARM SIGNAL OUTPUT</t>
  </si>
  <si>
    <t>GST104A</t>
  </si>
  <si>
    <t>4 ZONE, 3 PROGRAMMABLE SOUNDER CIRCUIT, REPEATER OUTPUT AGAINST PER ZONE, 1 FIRE OUTPUT, 1 FAULT OUTPUT, BUILT-IN BATTERY CHARGER, EXCLUDING BATTERIES (CERTIFIED BY LPCB)</t>
  </si>
  <si>
    <t>RB104A</t>
  </si>
  <si>
    <t>RELAY BOARD FOR GST104A, FOR ZONAL FAULT AND FIRE ALARM SIGNAL OUTPUT</t>
  </si>
  <si>
    <t>GST108A</t>
  </si>
  <si>
    <t>8 ZONE, 3 PROGRAMMABLE SOUNDER CIRCUIT, REPEATER OUTPUT AGAINST PER ZONE, 1 FIRE OUTPUT, 1 FAULT OUTPUT, BUILT-IN BATTERY CHARGER, EXCLUDING BATTERIES (CERTIFIED BY LPCB)</t>
  </si>
  <si>
    <t>RB108A</t>
  </si>
  <si>
    <t>RELAY BOARD FOR GST108A, FOR ZONAL FAULT AND FIRE ALARM SIGNAL OUTPUT</t>
  </si>
  <si>
    <t>GST116A</t>
  </si>
  <si>
    <t>16 ZONE, 4 PROGRAMMABLE SOUNDER CIRCUIT, REPEATER OUTPUT AGAINST PER ZONE, 1 FIRE OUTPUT, 1 FAULT OUTPUT, BUILT-IN BATTERY CHARGER, EXCLUDING BATTERIES. THE RELAY BOARD WITH IS AN OPTIONAL UNIT ON ORDER. THE PANEL CAN ONLY HAVE ONE OF THE EXTENSION BOARD OR RELAY BOARD. (CERTIFIED BY LPCB)</t>
  </si>
  <si>
    <t>RB116A</t>
  </si>
  <si>
    <t>RELAY BOARD FOR GST116A, FOR ZONAL FAULT AND FIRE ALARM SIGNAL OUTPUT</t>
  </si>
  <si>
    <t>GST-RP16</t>
  </si>
  <si>
    <t>CONVENTIONAL REPEATER PANEL</t>
  </si>
  <si>
    <t>16 ZONES ALARM AND GENERAL FAULT INDICATION, COMPATIBLE WITH GST102A, GST104A, GST108A AND GST116A PANELS</t>
  </si>
  <si>
    <t>CONVENTIONAL DETECTORS</t>
  </si>
  <si>
    <t>C-9104</t>
  </si>
  <si>
    <t>CONVENTIONAL ULTRAVIOLET FLAME DETECTOR</t>
  </si>
  <si>
    <t>CONVENTIONAL ULTRAVIOLET FLAME DETECTOR, WITHOUT BASE</t>
  </si>
  <si>
    <t>DC-9101E</t>
  </si>
  <si>
    <t>CONVENTIONAL COMBINATION HEAT PHOTOELECTRIC SMOKE DETECTOR</t>
  </si>
  <si>
    <t>CONVENTIONAL COMBINATION HEAT PHOTOELECTRIC SMOKE DETECTOR, WITH REMOTE INDICATOR OUTPUT AND MAGNETIC TEST FUNCTION, WITHOUT BASE (CERTIFIED BY LPCB)</t>
  </si>
  <si>
    <t>DC-9101E-B</t>
  </si>
  <si>
    <t>Conventional Combination  Heat　Photoelectric　Smoke　Detector</t>
  </si>
  <si>
    <t>Conventional Combination  Heat　Photoelectric　Smoke　Detector,
 With Remote Indicator Output and Magnetic Test Function, Without Base (Certified by LPCB)</t>
  </si>
  <si>
    <t>DC-9102E</t>
  </si>
  <si>
    <t>CONVENTIONAL PHOTOELECTRIC SMOKE DETECTOR</t>
  </si>
  <si>
    <t>CONVENTIONAL PHOTOELECTRIC SMOKE DETECTOR, WITH REMOTE INDICATOR OUTPUT AND MAGNETIC TEST FUNCTION, WITHOUT BASE (CERTIFIED BY LPCB)</t>
  </si>
  <si>
    <t>DC-9103E</t>
  </si>
  <si>
    <t>CONVENTIONAL RATE OF RISE AND FIXED TEMPERATURE HEAT DETECTOR</t>
  </si>
  <si>
    <t>CONVENTIONAL PHOTOELECTRIC SMOKE DETECTOR, PROGRAMMABLE A1R/A2S/BS ALARM, WITH REMOTE INDICATOR OUTPUT AND MAGNETIC TEST FUNCTION, WITHOUT BASE (CERTIFIED BY LPCB)</t>
  </si>
  <si>
    <t>DC-9105E</t>
  </si>
  <si>
    <t>Conventional Reflective Beam Detector</t>
  </si>
  <si>
    <t>Conventional Reflective Beam Detector with 4 pieces Reflectors,24V powered,integral visible 
laser pointer and 2 bits digital tube for easy alignment. Detection Range 5-100 Meters, 
with N/O fire relay output and N/C fault relay output (Certified by LPCB)</t>
  </si>
  <si>
    <t>DB-01D</t>
  </si>
  <si>
    <t>DIODE BASE</t>
  </si>
  <si>
    <t>COMMON DETECTOR BASE WITH DIODE FOR INNOVATION DETECTOR USING DP-9907 AEOL</t>
  </si>
  <si>
    <t>DP-9907</t>
  </si>
  <si>
    <t>ACTIVE END OF LINE UNIT</t>
  </si>
  <si>
    <t>ACTIVE END OF LINE UNIT FOR CONVENTIONAL SYSTEM USING DIODE BASE, ENABLING LINE CONTINUITY IN CASE OF DETECTOR REMOVING, COMPATIBLE WITH "DC" SERIES DETECTORS</t>
  </si>
  <si>
    <t>C-9602LW-LPG</t>
  </si>
  <si>
    <t>CONVENTIONAL GAS DETECTOR FOR LPG, 220VAC</t>
  </si>
  <si>
    <t>AVAILABLE FOR LPG ON ORDER, 220VAC POWERED, N/O RELAY OUTPUT, WITH LOCAL BUZZER ALARM</t>
  </si>
  <si>
    <t>C-9602LW-NG</t>
  </si>
  <si>
    <t>CONVENTIONAL GAS DETECTOR FOR NATURAL GAS, 220VAC</t>
  </si>
  <si>
    <t>AVAILABLE FOR NATURAL GAS ON ORDER, 220VAC POWERED, N/O RELAY OUTPUT, WITH LOCAL BUZZER ALARM</t>
  </si>
  <si>
    <t>R6601</t>
  </si>
  <si>
    <t>CONVENTIONAL SMOKE DETECTOR. 4 -WIRE DETECTORS</t>
  </si>
  <si>
    <t>CONVENTIONAL OPTICAL DETECTOR, 12-28VDC POWER, N/O RELAY OUTPUT, WITHOUT BASE</t>
  </si>
  <si>
    <t>R6602</t>
  </si>
  <si>
    <t>CONVENTIONAL HEAT DETECTOR. 4 - WIRE DETECTOR</t>
  </si>
  <si>
    <t>CONVENTIONAL FT AND RR HEAT DETECTOR, 12-28VDC POWER, N/O RELAY OUTPUT, WITHOUT BASE</t>
  </si>
  <si>
    <t>S-9102R</t>
  </si>
  <si>
    <t>STAND ALONE SMOKE DETECTOR</t>
  </si>
  <si>
    <t>LOCAL BUZZER ALARM, MANUAL TEST BUTTON, CONTACT RATING 30VDC @ 60MA</t>
  </si>
  <si>
    <t>S-9102N</t>
  </si>
  <si>
    <t>LOCAL BUZZER ALARM, MANUAL TEST BUTTON, NETWORK FUNCTION</t>
  </si>
  <si>
    <t>CONVENTIONAL MANUAL CALL POINT</t>
  </si>
  <si>
    <t>DC-9204E</t>
  </si>
  <si>
    <t>INNOVATIVE CONVENTIONAL MANUAL CALL POINT</t>
  </si>
  <si>
    <t>RESETTABLE (NON-BREAKING GLASS), SUPPLIED WITH SURFACE MOUNT BACK BOX AND SPECIAL RESET KEY(CERTIFIED BY LPCB)</t>
  </si>
  <si>
    <t>CONVENTIONAL SOUNDERS</t>
  </si>
  <si>
    <t>C-9401N</t>
  </si>
  <si>
    <t>CONVENTIONAL SOUDER STROBE</t>
  </si>
  <si>
    <t>CONVENTIONAL COMBINED SOUDER STROBE C-9401N</t>
  </si>
  <si>
    <t>C-9403</t>
  </si>
  <si>
    <t>CONVENTIONAL SOUNDER STROBE</t>
  </si>
  <si>
    <t>2 TONES, CONVENTIONAL SOUNDER WITH VISIBLE INDICATOR, TONE 1, (CERTIFIED BY LPCB)</t>
  </si>
  <si>
    <t>C-9404</t>
  </si>
  <si>
    <t>CONVENTIONAL SOUNDER</t>
  </si>
  <si>
    <t>2 TONES, CONVENTIONAL SOUNDER. TONE 1,(CERTIFIED BY LPCB)</t>
  </si>
  <si>
    <t>GST-JL</t>
  </si>
  <si>
    <t>BELL</t>
  </si>
  <si>
    <t>6" RED GONG, 24VDC, NOMINAL 21MA, 95DB(24VDC) AT 3M</t>
  </si>
  <si>
    <t>GAS RELEASE CONTROL SYSTEM</t>
  </si>
  <si>
    <t>GST301</t>
  </si>
  <si>
    <t>EXTINGUISHING CONTROL PANEL</t>
  </si>
  <si>
    <t>CONVENTIONAL GAS RELEASE CONTROL PANEL, 2+1 DETECTION ZONES, INTEGRATED PSU WITH BATTERY CHARGER, EXCLUDING BATTERIES</t>
  </si>
  <si>
    <t>GST303</t>
  </si>
  <si>
    <t>ADDRESSABLE GAS RELEASE CONTROL PANEL, 3 OUTPUT ZONES, 24VDC POWERED</t>
  </si>
  <si>
    <t>GST306</t>
  </si>
  <si>
    <t>ADDRESSABLE GAS RELEASE CONTROL PANEL, 6 OUTPUT ZONES, 24VDC POWERED</t>
  </si>
  <si>
    <t>C-9317</t>
  </si>
  <si>
    <t>EMERGENCY GAS OVERRIDE CONTROL</t>
  </si>
  <si>
    <t>EMERGENCY START/ABORT SWITCH, COMPATIBLE WITH GST301, GST303 AND GST306</t>
  </si>
  <si>
    <t>C-9318</t>
  </si>
  <si>
    <t>GAS EXTINGUISHING WARNING INDICATOR</t>
  </si>
  <si>
    <t>BACKLIGHT LED LIGHTING WARNING INDICATOR</t>
  </si>
  <si>
    <t>C-9329</t>
  </si>
  <si>
    <t>GAS EXTINGUISHING CONTROL RELAY MODULE</t>
  </si>
  <si>
    <t>INTERFACE MODULE FOR GST303 AND GST306, ENABLING CABLE MONITORING AND SIGNAL CONFIRMATION</t>
  </si>
  <si>
    <t>FLAME PROOF PRODUCTS</t>
  </si>
  <si>
    <t>DI-9204Exd</t>
  </si>
  <si>
    <t>DIGITAL FLAME-PROOF MANUAL CALL POINT</t>
  </si>
  <si>
    <t>FLAME PROOF MANUAL CALL POINT, IP65, EXDⅡBT6 GB/DIP A20 TA,T6 (CERTIFIED BY ATEX)</t>
  </si>
  <si>
    <t>DI-9104Exd</t>
  </si>
  <si>
    <t>DIGITAL FLAME-PROOF UV FLAME DETECTOR</t>
  </si>
  <si>
    <t>POSSIBLE BE ADDRESSABLE BY APPLIED ADDRESSABLE LOOP, OR CONVENTIONAL BY APPLIED 24VDC (CERTIFIED BY ATEX)</t>
  </si>
  <si>
    <t>D-9105RExd</t>
  </si>
  <si>
    <t>DIGITAL FLAME PROOF REFLECTIVE BEAM DETECTOR</t>
  </si>
  <si>
    <t>POSSIBLE BE ADDRESSABLE BY APPLIED ADDRESSABLE LOOP, OR CONVENTIONAL BY APPLIED 24VDC</t>
  </si>
  <si>
    <t>D-9107RExd</t>
  </si>
  <si>
    <t>DIGITAL FLAME PROOF DUAL IR FLAME DETECTOR</t>
  </si>
  <si>
    <t>INTRINSICALLY SAFE PRODUCTS</t>
  </si>
  <si>
    <t>DC-9101(IS)</t>
  </si>
  <si>
    <t>INTRINSICALLY SAFE CONVENTIONAL COMBINATION HEAT PHOTOELECTRIC SMOKE DETECTOR</t>
  </si>
  <si>
    <t>INTRINSICALLY SAFE CONVENTIONAL COMBINATION HEAT PHOTOELECTRIC SMOKE DETECTOR, 3 LEVEL SENSITIVITIES AND FIXED TEMPERATURE OR RATE OF RISE PROGRAMMABLE MODE, MAGNETIC TEST. APPLICABLE TO ZONE 1 AND ZONE 2 OF AREAS WITH EXPLOSION-PROOF REQUIREMENT IN PETROLEUM AND CHEMICAL INDUSTRIES.</t>
  </si>
  <si>
    <t>DC-9102(IS)</t>
  </si>
  <si>
    <t>INTRINSICALLY SAFE CONVENTIONAL PHOTOELECTRIC SMOKE DETECTOR</t>
  </si>
  <si>
    <t>INTRINSICALLY SAFE CONVENTIONAL PHOTOELECTRIC SMOKE DETECTOR, APPLICABLE TO ZONE 1 AND ZONE 2 OF AREAS WITH EXPLOSION-PROOF REQUIREMENT IN PETROLEUM, CHEMICAL INDUSTRIES.</t>
  </si>
  <si>
    <t>DC-9103(IS)</t>
  </si>
  <si>
    <t>INTRINSICALLY SAFE CONVENTIONAL RATE OF RISE AND FIXED TEMPERATURE HEAT DETECTOR</t>
  </si>
  <si>
    <t>INTRINSICALLY SAFE CONVENTIONAL RATE OF RISE AND FIXED TEMPERATURE HEAT DETECTOR, A1R/BS ALARM LEVEL. APPLICABLE TO ZONE 1 AND ZONE 2 OF AREAS WITH EXPLOSION-PROOF REQUIREMENT IN PETROLEUM, CHEMICAL INDUSTRIES.</t>
  </si>
  <si>
    <t>DB-01(IS)</t>
  </si>
  <si>
    <t>INTRINSICALLY SAFE DC SERIES DETECTOR BASE</t>
  </si>
  <si>
    <t>DC-9202(IS)</t>
  </si>
  <si>
    <t>INTRINSICALLY SAFE CONVENTIONAL MANUAL CALL POINT</t>
  </si>
  <si>
    <t>INTRINSICALLY SAFE CONVENTIONAL MANUAL CALL POINT, APPLICABLE TO INFLAMMABLE AND EXPLOSIVE AREAS IN PETROLEUM, CHEMICAL INDUSTRIES.</t>
  </si>
  <si>
    <t>DC-9403(IS)</t>
  </si>
  <si>
    <t>INTRINSICALLY SAFE CONVENTIONAL SOUNDER STROBE</t>
  </si>
  <si>
    <t>DC-9404(IS)</t>
  </si>
  <si>
    <t>INTRINSICALLY SAFE CONVENTIONAL SOUNDER</t>
  </si>
  <si>
    <t>INTERFACES AND ZENER BARRIER</t>
  </si>
  <si>
    <t>I-9332</t>
  </si>
  <si>
    <t>EXPLOSION PROOF INPUT INTERFACE</t>
  </si>
  <si>
    <t>ADDRESSABLE EXPLOSION PROOF INTERFACE FOR INTRINSICALLY SAFE DETECTORS AND MCP, WITH BUILT IN ZENER BARRIER, 24VDC REQUIRED</t>
  </si>
  <si>
    <t>I-9333</t>
  </si>
  <si>
    <t>EXPLOSION PROOF OUTPUT INTERFACE</t>
  </si>
  <si>
    <t>ADDRESSABLE EXPLOSION PROOF INTERFACE FOR INTRINSICALLY SAFE SOUNDER AND STROBE, WITH BUILT IN ZENER BARRIER, 24VDC REQUIRED</t>
  </si>
  <si>
    <t>GST-AS-200</t>
  </si>
  <si>
    <t>ZENER BARRIER</t>
  </si>
  <si>
    <t>2 LINE ZENER BARRIER, WITH 1-LINE GROUNDING</t>
  </si>
  <si>
    <t>GST-AS-300</t>
  </si>
  <si>
    <t>2 LINE ZENER BARRIER</t>
  </si>
  <si>
    <t>POWER SUPPLIES</t>
  </si>
  <si>
    <t>PSU24-5</t>
  </si>
  <si>
    <t>INTELLIGENT PSU</t>
  </si>
  <si>
    <t>5A 24VDC INTELLIGENT PSU, DISPLAY SHOWS DC OUTPUT VOLTAGE AND LOAD CURRENT, FULLY MONITORED WITH SELF TEST FACILITIES, EXCLUDING BATTERIES</t>
  </si>
  <si>
    <t>PSU24-5A</t>
  </si>
  <si>
    <t>INTELLIGENT NETWORK PSU</t>
  </si>
  <si>
    <t>PSU24-5 PLUS ADDRESSABLE FUNCTIONS</t>
  </si>
  <si>
    <t>PSU24-10</t>
  </si>
  <si>
    <t>10A 24VDC INTELLIGENT PSU, DISPLAY SHOWS AC INPUT VOLTAGE, DC OUTPUT VOLTAGE AND LOAD CURRENT, FULLY MONITORED WITH SELF TEST FACILITIES, EXCLUDING BATTERIES</t>
  </si>
  <si>
    <t>PSU24-10A</t>
  </si>
  <si>
    <t>PSU24-10 PLUS ADDRESSABLE FUNCTIONS</t>
  </si>
  <si>
    <t>FIRE TELEPHONE</t>
  </si>
  <si>
    <t>GST-FT8WN</t>
  </si>
  <si>
    <t>FIRE TELEPHONE PANEL</t>
  </si>
  <si>
    <t>8 ZONE WALL MOUNT, 24VDC POWERED, ZONE LINE MONITORED FOR FAULT OF OPEN CIRCUIT AND SHORT CIRCUIT, NETWORKABLE WITH FT24N AND FT40N PANELS</t>
  </si>
  <si>
    <t>GST-FT24N</t>
  </si>
  <si>
    <t>24 ZONE RACK MOUNT, 24VDC POWERED, ZONE LINE MONITORED FOR FAULT OF OPEN CIRCUIT AND SHORT CIRCUIT, NETWORKABLE WITH FT8WN AND FT40N PANELS</t>
  </si>
  <si>
    <t>GST-FT40N</t>
  </si>
  <si>
    <t>CONVENTIONAL FIRE TELEPHONE PANEL, 40 ZONE RACK MOUNT, 24VDC POWERED, NETWORKABLE WITH OTHER FIRE TELEPHONE PANELS</t>
  </si>
  <si>
    <t>P-9911 (F)</t>
  </si>
  <si>
    <t>FIXED FIRE TELEPHONE HANDSET</t>
  </si>
  <si>
    <t>P-9911 (M)</t>
  </si>
  <si>
    <t>FIRE TELEPHONE MOBILE HANDSET</t>
  </si>
  <si>
    <t>P-9911(H)</t>
  </si>
  <si>
    <t>HANDS FREE SPEAKER FIRE TELEPHONE</t>
  </si>
  <si>
    <t>HAND FREE FIRE TELEPHONE</t>
  </si>
  <si>
    <t>P-9911 (J)</t>
  </si>
  <si>
    <t>FIRE TELEPHONE JACK SOCKET</t>
  </si>
  <si>
    <t>VOICE ALARM</t>
  </si>
  <si>
    <t>APS-120W</t>
  </si>
  <si>
    <t>STANDALONE VOICE ALARM PANEL</t>
  </si>
  <si>
    <t>STANDALONE VA PANEL INTEGRATED WITH BUILT-IN PRE-RECORD VOICE MESSAGES, EMERGENCY MICROPHONE AND BATTERY CHARGER, EXCLUDING BATTERIES.</t>
  </si>
  <si>
    <t>UL</t>
  </si>
  <si>
    <t>FACP</t>
  </si>
  <si>
    <t>GST-IFP4MN</t>
  </si>
  <si>
    <t>TOUCH SCREEN, MODULARIZE DESIGN, WITH CAPACITY UP TO 12 LOOPS/2904-POINTS. GRAY COLOR CABINET, WALL-MOUNT OR FLUSH- MOUNT STRUCTURE, BUILT-IN MICRO PRINTER (PR-400), MAIN CPU CARD (MP-400+MP-401),NAC CARD (NC-400),POWER SUPPLY AND BATTERY CHARGER (CHARGE UP TO 65 AH). LOOP CARD, ZONE DISPLAY(CONTROL) PANEL, EXTERNAL BATTERY BOX AND BATTERY EXCLUDED. OPTIONAL RED OR WHITE COLOR CABINET CAN BE ORDERED SEPARATELY.UL LISTED.</t>
  </si>
  <si>
    <t>GST-IFP4M</t>
  </si>
  <si>
    <t>TOUCH SCREEN, MODULARIZE DESIGN, WITH CAPACITY UP TO 6 LOOPS/1452-POINTS. GRAY COLOR CABINET, WALL-MOUNT OR FLUSH- MOUNT STRUCTURE, BUILT-IN MAIN CPU CARD (MP-400+MP-401),NAC CARD (NC-400),POWER SUPPLY AND BATTERY CHARGER (CHARGE UP TO 65 AH). LOOP CARD, ZONE DISPLAY(CONTROL) PANEL, EXTERNAL BATTERY BOX AND BATTERY EXCLUDED.</t>
  </si>
  <si>
    <t>GST-IFP4M-S</t>
  </si>
  <si>
    <t>TOUCH SCREEN, MODULARIZE DESIGN, WITH CAPACITY UP TO 6 LOOPS/1452-POINTS. RED COLOR CABINET, WALL-MOUNT OR FLUSH- MOUNT STRUCTURE, BUILT-IN MAIN CPU CARD (MP-400+MP-401),NAC CARD (NC-400),POWER SUPPLY AND BATTERY CHARGER (CHARGE UP TO 65 AH). LOOP CARD, ZONE DISPLAY(CONTROL) PANEL, EXTERNAL BATTERY BOX AND BATTERY EXCLUDED.</t>
  </si>
  <si>
    <t>GST-IFP4M-S-R</t>
  </si>
  <si>
    <t>Intelligent Fire Alarm Control Panel</t>
  </si>
  <si>
    <t xml:space="preserve">Touch screen, modularize design, with capacity up to 6 loops/1452-points. 
Red color small size cabinet, wall-mount or flush- mount structure, built-in main CPU card 
(MP-400+MP-401),NAC card (NC-400),power supply and battery charger (charge up to 65 AH). Loop card and external battery box and battery excluded. </t>
  </si>
  <si>
    <t>PR-400</t>
  </si>
  <si>
    <t>THERMAL PRINTER</t>
  </si>
  <si>
    <t>THERMAL PRINTER FOR GST-IFP4</t>
  </si>
  <si>
    <t>PR-400B</t>
  </si>
  <si>
    <t>Thermal Printer for GST-IFP4</t>
  </si>
  <si>
    <t>MP-401</t>
  </si>
  <si>
    <t>CPU CARD</t>
  </si>
  <si>
    <t>CPU CARD, ADDITIONAL MP-401 TO P-9980 FOR CPU REDUNDANCY</t>
  </si>
  <si>
    <t>LC-401</t>
  </si>
  <si>
    <t>SINGLE LOOP CARD FOR GST-IFP4M PANEL, CAPACITY 242 POINTS</t>
  </si>
  <si>
    <t>LC-402</t>
  </si>
  <si>
    <t>DUAL LOOP CARD FOR GST-IFP4M PANEL, CAPACITY 484 POINTS</t>
  </si>
  <si>
    <t>P-9966A</t>
  </si>
  <si>
    <t>CAN NETWORK CARD</t>
  </si>
  <si>
    <t>CAN NETWORK CARD FOR GST-IFP4M PANEL NETWORKING, MAXIMUM 3000 METERS BETWEEN TWO NODES, CLASS A CONNECTION.</t>
  </si>
  <si>
    <t>P-9983</t>
  </si>
  <si>
    <t>FIBER NETWORK CARD</t>
  </si>
  <si>
    <t>FIBER NETWORK CARD FOR GST-IFP4M PANEL NETWORKING, MAXIMUM 20KM BETWEEN TWO NODES, SINGLE MODE FIBER, LC TYPE CONNECTORS. CLASS A CONNECTION.</t>
  </si>
  <si>
    <t>P-9956-Modbus</t>
  </si>
  <si>
    <t>MODBUS CARD</t>
  </si>
  <si>
    <t>MODBUS COMMUNICATION CARD FOR INTEGRATING GST-IFP4M PANEL INTO BMS SYSTEM IN RS232/422/485</t>
  </si>
  <si>
    <t>IFPx-BAC-Lic</t>
  </si>
  <si>
    <t>BACNET LICENSE</t>
  </si>
  <si>
    <t>SOFT LICENSE TO ACTIVE GST-IFPX SERIES PANEL BACNET INTERFACE</t>
  </si>
  <si>
    <t>P-9981</t>
  </si>
  <si>
    <t>ZONE DISPLAY PANEL</t>
  </si>
  <si>
    <t>ZONE DISPLAY PANEL WITH 40 BICOLOR(RED&amp;GREEN) USER DEFINED LED INDICATORS TO DISPLAY RED, GREEN AND YELLOW( RED &amp; GREEN BOTH ON) COLOR</t>
  </si>
  <si>
    <t>P-9981F</t>
  </si>
  <si>
    <t>ZONE DISPLAY PANEL WITH 40 FIXED COLOR (RED AND YELLOW IN SEQUENCE) USER DEFINED LED INDICATORS TO DISPLAY RED AND YELLOW COLOR ONLY</t>
  </si>
  <si>
    <t>P-9982</t>
  </si>
  <si>
    <t>ZONE DISPLAY AND CONTROL PANEL</t>
  </si>
  <si>
    <t>ZONE DISPLAY AND CONTROL PANEL WITH 40 BICOLOR(RED&amp;GREEN) USER DEFINED LED INDICATORS TO DISPLAY RED, GREEN AND YELLOW( RED &amp; GREEN BOTH ON) COLOR AND 20 USER DEFINED BUTTONS</t>
  </si>
  <si>
    <t>P-9982F</t>
  </si>
  <si>
    <t>ZONE DISPLAY AND CONTROL PANEL WITH 40 FIXED COLOR (RED AND YELLOW IN SEQUENCE) USER DEFINED LED INDICATORS TO DISPLAY RED AND YELLOW COLOR ONLY AND 20 USER DEFINED BUTTONS</t>
  </si>
  <si>
    <t>GST-MNA2C</t>
  </si>
  <si>
    <t>NETWORK ANNUNCIATOR</t>
  </si>
  <si>
    <t>TOUCH SCREEN, ACTIVE ANNUNCIATOR WITH FULL FUNCTION MONITOR AND CONTROL. COMPATIBLE WITH GST-IFPXM SERIES PANEL, BUILT IN CAN CLASS A NETWORK INTERFACE, UL LISTED</t>
  </si>
  <si>
    <t>GST-MNA2F</t>
  </si>
  <si>
    <t>TOUCH SCREEN, ACTIVE ANNUNCIATOR WITH FULL FUNCTION MONITOR AND CONTROL. COMPATIBLE WITH GST-IFPXM SERIES PANEL, BUILT IN OPTICAL FIBER NETWORK INTERFACE, LC TYPE CONNECTOR FOR SINGLE MODE FIBER,UL LISTED</t>
  </si>
  <si>
    <t>GST-BAT65-G</t>
  </si>
  <si>
    <t>BATTERY BOX</t>
  </si>
  <si>
    <t>EXTERNAL BATTERY BOX FOR GST-IFP4M PANEL, TO STORE BATTERY CAPACITY UP TO 65AH, GRAY COLOR. OPTIONAL RED OR WHITE COLOR BATTERY BOX CAN BE ORDERED SEPARATELY</t>
  </si>
  <si>
    <t>GST-BAT65-R</t>
  </si>
  <si>
    <t>EXTERNAL BATTERY BOX FOR GST-IFP4M PANEL, TO STORE BATTERY CAPACITY UP TO 65AH, RED COLOR.</t>
  </si>
  <si>
    <t>GST-M200</t>
  </si>
  <si>
    <t>SINGLE LOOP FIRE ALARM CONTROL PANEL, CAPACITY OF 230 INTELLIGENT DEVICES, 2 STYLE Y NOTIFICATION APPLIANCE CIRCUITS (NAC), 3 FIXED RELAY OUTPUTS FOR FIRE/FAULT/SUPERVISORY, EXCLUDING BATTERIES(CERTIFIED BY UL)</t>
  </si>
  <si>
    <t>P-M9930Modbus</t>
  </si>
  <si>
    <t>MODBUS COMMUNICATION CARD FOR INTEGRATING GST-M200 PANEL INTO BMS SYSTEM IN RS232</t>
  </si>
  <si>
    <t>GstGMC-M2.2</t>
  </si>
  <si>
    <t>Graphic Monitor Center</t>
  </si>
  <si>
    <t>Computer Based Software, Enabling Complete Color graphic Control and Display system, Providing a Window on to the Fire Alarm System, Compatible with GST-M200 fire alarm control panel ,Computer not Included</t>
  </si>
  <si>
    <t>GST-IFPx-GMC-S</t>
  </si>
  <si>
    <t>Computer Based Software, Enabling Complete Color graphic Control and Display system, Providing a Window on to the Fire Alarm System, Compatible with GST-IFP4M Series fire alarm control panel ,Computer not Included; project less than 500 points</t>
  </si>
  <si>
    <t>GST-IFPx-GMC-M</t>
  </si>
  <si>
    <t>Computer Based Software, Enabling Complete Color graphic Control and Display system, Providing a Window on to the Fire Alarm System, Compatible with GST-IFP4M Series fire alarm control panel ,Computer not Included ; Project from 500 upto 2000 points</t>
  </si>
  <si>
    <t>GST-IFPx-GMC-L</t>
  </si>
  <si>
    <t>Computer Based Software, Enabling Complete Color graphic Control and Display system, Providing a Window on to the Fire Alarm System, Compatible with GST-IFP4M Series fire alarm control panel ,Computer not Included ; Project more than 2000 points</t>
  </si>
  <si>
    <t>USB Dongle</t>
  </si>
  <si>
    <t>Dongle key,Access control of GST Definition software (3.0 and later version or GST-IFP4-Def</t>
  </si>
  <si>
    <t>Dongle key, with timer function,Access control of GST Definition software (3.0 and later version) or GST-IFP4-Def</t>
  </si>
  <si>
    <t>Portable Programming Tool for Addressing, Presetting and Testing of Addressable Devices</t>
  </si>
  <si>
    <t>TYY</t>
  </si>
  <si>
    <t>YF3-0004L</t>
  </si>
  <si>
    <t>Fire Alarm Control Panel 4 Zone</t>
  </si>
  <si>
    <t>YF3-0002L</t>
  </si>
  <si>
    <t>YF3-0008L</t>
  </si>
  <si>
    <t>Fire Alarm Control Panel 8 Zone</t>
  </si>
  <si>
    <t>YF3-0012L</t>
  </si>
  <si>
    <t>Fire Alarm Control Panel 12 Zone</t>
  </si>
  <si>
    <t>YF3-0016L</t>
  </si>
  <si>
    <t>Fire Alarm Control Panel 16 Zone</t>
  </si>
  <si>
    <t>YF3-0020L</t>
  </si>
  <si>
    <t>Fire Alarm Control Panel 20 Zone</t>
  </si>
  <si>
    <t>YF3-0024L</t>
  </si>
  <si>
    <t>Fire Alarm Control Panel 24 Zone</t>
  </si>
  <si>
    <t>Detector &amp; Accessories</t>
  </si>
  <si>
    <t>YDS-S01</t>
  </si>
  <si>
    <t>Photoelectric Smoke Detector (Two wires)</t>
  </si>
  <si>
    <t>YDT-S01</t>
  </si>
  <si>
    <t>Conventional Fixed Temperature Heat Detector</t>
  </si>
  <si>
    <t>YFD-01</t>
  </si>
  <si>
    <t>Conventional Fixed Temperature Heat Detector(Two wires)</t>
  </si>
  <si>
    <t>YM-P01</t>
  </si>
  <si>
    <t>Conventional Manual Call Point w/ LED Indicator</t>
  </si>
  <si>
    <t>YIL-01</t>
  </si>
  <si>
    <t>Indicating Lamp (LED)</t>
  </si>
  <si>
    <t>YFB-6</t>
  </si>
  <si>
    <t>Fire Alarm Bell 6" (24V DC)</t>
  </si>
  <si>
    <t>YSD-30L</t>
  </si>
  <si>
    <t>Conventional Optical Smoke Detector (Four wires, 12VDC)</t>
  </si>
  <si>
    <t>Surface-mounting Type Ceiling / Wall Speaker</t>
  </si>
  <si>
    <t>YSP-0403D</t>
  </si>
  <si>
    <t>4 inch, 3W Speaker</t>
  </si>
  <si>
    <t>YFR-3-001</t>
  </si>
  <si>
    <t>TYY ADDRESSABLE 1 LOOP FIRE ALARM CONTROL PANEL (255ADD) (WITHOUT PRINTER) +5" COLOR TOUCH SCREEN (MINI)</t>
  </si>
  <si>
    <t>YR3-01</t>
  </si>
  <si>
    <t>TYY ADDRESSABLE MONITORING/CONTROL MODULE (WITH EOL)</t>
  </si>
  <si>
    <t>YDS-R301</t>
  </si>
  <si>
    <t>TYY ADDRESSABLE PHOTOELECTRIC SMOKE DETECTOR (WITH EOL)</t>
  </si>
  <si>
    <t>YDT-R301</t>
  </si>
  <si>
    <t>TYY ADDRESSABLE FIXED TEMPERATURE HEAT DETECTOR (WITH EOL)</t>
  </si>
  <si>
    <t>YDD-R302</t>
  </si>
  <si>
    <t>TYY ADDRESSABLE RATE OF RISE HEAT DETECTOR (WITH EOL)</t>
  </si>
  <si>
    <t>YM-R301</t>
  </si>
  <si>
    <t>TYY ADDRESSABLE MANUAL CALL POINT (WITH EOL)</t>
  </si>
  <si>
    <t>HOCHIKI</t>
  </si>
  <si>
    <t>HJ Panels &amp; Peripherals</t>
  </si>
  <si>
    <t>RPP-EDW05B(JE)</t>
  </si>
  <si>
    <t>5 Zone Fire Alarm Control Panel</t>
  </si>
  <si>
    <t>RPS-AAW10(JE)</t>
  </si>
  <si>
    <t>10 Zone Fire Alarm Control Panel</t>
  </si>
  <si>
    <t>FWI-1</t>
  </si>
  <si>
    <t>Signal Transfer Unit for RPS-
 AAW10(JE)</t>
  </si>
  <si>
    <t>RPV-AAW20(JE)</t>
  </si>
  <si>
    <t>20 Zone Fire Alarm Control Panel</t>
  </si>
  <si>
    <t>PEX-51C</t>
  </si>
  <si>
    <t>5 Zone Sub-Indication Panel (Japan ver.)</t>
  </si>
  <si>
    <t>PEX-101C</t>
  </si>
  <si>
    <t>10 Zone Sub-Indication Panel (Japan ver.)</t>
  </si>
  <si>
    <t>PEX-201C</t>
  </si>
  <si>
    <t>20 Zone Sub-Indication Panel (Japan ver.)</t>
  </si>
  <si>
    <t>PEX-301C</t>
  </si>
  <si>
    <t>30 Zone Sub-Indication Panel (Japan ver.)</t>
  </si>
  <si>
    <t>PEX-401C</t>
  </si>
  <si>
    <t>40 Zone Sub-Indication Panel (Japan ver.)</t>
  </si>
  <si>
    <t>PEX-501C</t>
  </si>
  <si>
    <t>50 Zone Sub-Indication Panel (Japan ver.)</t>
  </si>
  <si>
    <t>SC-PA</t>
  </si>
  <si>
    <t>20-AA600A</t>
  </si>
  <si>
    <t>Standby Battery for RPP-
 ABW15.20(JE); RPV-AAW15.20(JE)</t>
  </si>
  <si>
    <t>NCDB-0.45</t>
  </si>
  <si>
    <t>Standby Battery for HEX-IPE-B(JE), RPSAAW10(JE), RPV-AAW10(JE)</t>
  </si>
  <si>
    <t>NCDB-0.90</t>
  </si>
  <si>
    <t>Standby Battery for RPQ-ABW30(JE)</t>
  </si>
  <si>
    <t>NCDB-1.20</t>
  </si>
  <si>
    <t>Standby Battery for RPQ-
 ABW40,50(JE)</t>
  </si>
  <si>
    <t>HJ Detectors &amp; Bases</t>
  </si>
  <si>
    <t>DFG-60BLJ</t>
  </si>
  <si>
    <t>Fixed Temperature Heat Detector Waterproof - 60°C, No base is required, 2-wire</t>
  </si>
  <si>
    <t>DFG-60BLKJ</t>
  </si>
  <si>
    <t>Fixed Temperature Heat Detector Waterproof - 60°C, No base is required, 3-wire</t>
  </si>
  <si>
    <t>DFG-1W70L</t>
  </si>
  <si>
    <t>Fixed Temperature Heat Detector - 
 70°C (use YBR-RL/1)</t>
  </si>
  <si>
    <t>DFH-1A70</t>
  </si>
  <si>
    <t>Fixed Temperature Heat Detector, 
 Waterproof- 70°C</t>
  </si>
  <si>
    <t>FFH-2E070</t>
  </si>
  <si>
    <t>Fixed Temperature Heat Detector - 
 Explosionproof (70°C)</t>
  </si>
  <si>
    <t>FFH-2E080</t>
  </si>
  <si>
    <t>Fixed Temperature Heat Detector - 
 Explosionproof (80°C)</t>
  </si>
  <si>
    <t>FFH-2E090</t>
  </si>
  <si>
    <t>Fixed Temperature Heat Detector - 
 Explosionproof (90°C)</t>
  </si>
  <si>
    <t>FFH-2E100</t>
  </si>
  <si>
    <t>Fixed Temperature Heat Detector - 
 Explosionproof (100°C)</t>
  </si>
  <si>
    <t>FFH-2E120</t>
  </si>
  <si>
    <t>Fixed Temperature Heat Detector - 
 Explosionproof (120°C)</t>
  </si>
  <si>
    <t>FFH-2E150</t>
  </si>
  <si>
    <t>Fixed Temperature Heat Detector - 
 Explosionproof (150°C)</t>
  </si>
  <si>
    <t>27021-5-1-060</t>
  </si>
  <si>
    <t>Fixed Temperature Heat Detector 
 Surface Mount Type - 60°C</t>
  </si>
  <si>
    <t>27021-5-1-070</t>
  </si>
  <si>
    <t>Fixed Temperature Heat Detector 
 Surface Mount Type - 70°C</t>
  </si>
  <si>
    <t>27021-5-1-080</t>
  </si>
  <si>
    <t>Fixed Temperature Heat Detector 
 Surface Mount Type - 80°C</t>
  </si>
  <si>
    <t>27021-5-1-090</t>
  </si>
  <si>
    <t>Fixed Temperature Heat Detector 
 Surface Mount Type - 90°C</t>
  </si>
  <si>
    <t>27021-5-1-100</t>
  </si>
  <si>
    <t>Fixed Temperature Heat Detector 
 Surface Mount Type - 100°C</t>
  </si>
  <si>
    <t>27021-5-1-120</t>
  </si>
  <si>
    <t>Fixed Temperature Heat Detector 
 Surface Mount Type - 120°C</t>
  </si>
  <si>
    <t>27021-5-1-150</t>
  </si>
  <si>
    <t>Fixed Temperature Heat Detector 
 Surface Mount Type - 150°C</t>
  </si>
  <si>
    <t>W27021-6-1-060</t>
  </si>
  <si>
    <t>Fixed Temperature Heat Detector - 
 60°C - Waterproof</t>
  </si>
  <si>
    <t>W27021-6-1-070</t>
  </si>
  <si>
    <t>Fixed Temperature Heat Detector - 
 70°C - Waterproof</t>
  </si>
  <si>
    <t>W27021-6-1-080</t>
  </si>
  <si>
    <t>Fixed Temperature Heat Detector - 
 80°C - Waterproof</t>
  </si>
  <si>
    <t>W27021-6-1-090</t>
  </si>
  <si>
    <t>Fixed Temperature Heat Detector - 
 90°C - Waterproof</t>
  </si>
  <si>
    <t>W27021-6-1-100</t>
  </si>
  <si>
    <t>Fixed Temperature Heat Detector - 
 100°C - Waterproof</t>
  </si>
  <si>
    <t>W27021-6-1-120</t>
  </si>
  <si>
    <t>Fixed Temperature Heat Detector - 
 120°C - Waterproof</t>
  </si>
  <si>
    <t>W27021-6-1-150</t>
  </si>
  <si>
    <t>Fixed Temperature Heat Detector - 
 150°C - Waterproof</t>
  </si>
  <si>
    <t>YSC-01B</t>
  </si>
  <si>
    <t>Signal Converter for Gas Detector</t>
  </si>
  <si>
    <t>YF-417C</t>
  </si>
  <si>
    <t>Gas Detector (LP)</t>
  </si>
  <si>
    <t>YF-517C</t>
  </si>
  <si>
    <t>Gas Detector (City)</t>
  </si>
  <si>
    <t>SH-5910</t>
  </si>
  <si>
    <t>Mounting Bracket For Gas Detector</t>
  </si>
  <si>
    <t>SPC-ET</t>
  </si>
  <si>
    <t>BEAM SMOKE DETECTOR (2-wire)</t>
  </si>
  <si>
    <t>SPC-24</t>
  </si>
  <si>
    <t>BEAM DETECTOR</t>
  </si>
  <si>
    <t>Filter Test Filter</t>
  </si>
  <si>
    <t>TBF-E</t>
  </si>
  <si>
    <t>TEST FILTER FOR SPC-ET</t>
  </si>
  <si>
    <t>YBF-RL/4H5 (LPC)</t>
  </si>
  <si>
    <t>Mounting LED Base w/Remote 
 Terminal</t>
  </si>
  <si>
    <t>YBN-R/4C (LPC)</t>
  </si>
  <si>
    <t>Conventional Plain Mounting Base</t>
  </si>
  <si>
    <t>YBN-UA</t>
  </si>
  <si>
    <t>Recess Base Adaptor - Flush Type</t>
  </si>
  <si>
    <t>YZQ-A</t>
  </si>
  <si>
    <t>Fitting Material for Recess Base, for 
 YBN-UA, inner 5pcs</t>
  </si>
  <si>
    <t>YBO-R/4C (LPC)</t>
  </si>
  <si>
    <t>Mounting Base w/Remote LED 
 Terminal</t>
  </si>
  <si>
    <t>YBR-RL/1</t>
  </si>
  <si>
    <t>Mounting Base w/LED</t>
  </si>
  <si>
    <t>YBR-RL/2</t>
  </si>
  <si>
    <t>Mounting Base w/LED with S terminal</t>
  </si>
  <si>
    <t>DHA-2L</t>
  </si>
  <si>
    <t>Rate of Rise Linear Heat Detector</t>
  </si>
  <si>
    <t>AK-M</t>
  </si>
  <si>
    <t>Copper Tube (100m/unit)</t>
  </si>
  <si>
    <t>FBB-150K</t>
  </si>
  <si>
    <t>6" Motor bell (UL)</t>
  </si>
  <si>
    <t>FBB-150I</t>
  </si>
  <si>
    <t>Fire Alarm Bell</t>
  </si>
  <si>
    <t>FBB-150ID</t>
  </si>
  <si>
    <t>Fire Alarm Bell w/Diode</t>
  </si>
  <si>
    <t>FBB-150JW</t>
  </si>
  <si>
    <t>Fire Alarm Bell - Weatherproof</t>
  </si>
  <si>
    <t>TL-14D</t>
  </si>
  <si>
    <t>Local Indication Lamp</t>
  </si>
  <si>
    <t>TL-14DW</t>
  </si>
  <si>
    <t>Local Indication Lamp - Waterproof</t>
  </si>
  <si>
    <t>EMB-6</t>
  </si>
  <si>
    <t>Fire Alarm Bell - Explosionproof</t>
  </si>
  <si>
    <t>TPLD-R</t>
  </si>
  <si>
    <t>Local Indication Lamp - Explosionproof</t>
  </si>
  <si>
    <t>FLF-H</t>
  </si>
  <si>
    <t>Remote Indicator Lamp (without plate)</t>
  </si>
  <si>
    <t>WN6001W</t>
  </si>
  <si>
    <t>Plate for FLF-H</t>
  </si>
  <si>
    <t>WN3700020</t>
  </si>
  <si>
    <t>Installation Fitting for WN6001W</t>
  </si>
  <si>
    <t>PPE-1(JE)</t>
  </si>
  <si>
    <t>Manual Call Point - CL1, with telephone jack</t>
  </si>
  <si>
    <t>PPE-2(JE)</t>
  </si>
  <si>
    <t>Manual Call Point - CL2 - Embedded, no telephone jack</t>
  </si>
  <si>
    <t>PPE-B</t>
  </si>
  <si>
    <t>Mounting Backbox for PPE</t>
  </si>
  <si>
    <t>PDC-1</t>
  </si>
  <si>
    <t>Manual Call Point - Explosionproof</t>
  </si>
  <si>
    <t>KSP-10HSGW(JE)</t>
  </si>
  <si>
    <t>Combination Box (Local Lamp, CL1 MCP &amp; Bell) - Weatherproof, without backbox</t>
  </si>
  <si>
    <t>KSP-20HSG(JE)</t>
  </si>
  <si>
    <t>Combination Box (Local Lamp, CL2 
 MCP &amp; Bell), without backbox</t>
  </si>
  <si>
    <t>KSP-20HSGW(JE)</t>
  </si>
  <si>
    <t>Combination Box (Local Lamp, CL2 MCP &amp; Bell) - Weatherproof, without backbox</t>
  </si>
  <si>
    <t>KSB-00RSDW</t>
  </si>
  <si>
    <t>Surface Mount Backbox (for 
 Combination Box)</t>
  </si>
  <si>
    <t>KSB-00USD</t>
  </si>
  <si>
    <t>Flush Mount Backbox (for 
 Combination Box)</t>
  </si>
  <si>
    <t>Fireman Telephone Handset</t>
  </si>
  <si>
    <t>ARS-B104</t>
  </si>
  <si>
    <t>Door Release</t>
  </si>
  <si>
    <t>SCF-001</t>
  </si>
  <si>
    <t>Noise Filter</t>
  </si>
  <si>
    <t>HA FireNET PLUS FACP</t>
  </si>
  <si>
    <t>FN-1127/220V</t>
  </si>
  <si>
    <t>FN-1127US0ERS-220 ANALOG/ 
 ADDRESSABLE FIRE CONTROL PANEL 
 220V (2 LOOP/4AMP PS), RED</t>
  </si>
  <si>
    <t>FN-1127N/220V</t>
  </si>
  <si>
    <t>FN-1127US1ERS-220 ANALOG 
 /ADDRESSABLE FIRE CONTROL PANEL 
 220V (2 LOOP/4AMP PS) W/NETWORK 
 CARD W/MANUAL, RED</t>
  </si>
  <si>
    <t>FN-LCD-S-R</t>
  </si>
  <si>
    <t>FN-LCDSUS00RS-024 SERIAL 
 ANNUNCIATOR (RED)</t>
  </si>
  <si>
    <t>HA FireNET FACP EXPANDERS</t>
  </si>
  <si>
    <t>FNP-1127-SLC</t>
  </si>
  <si>
    <t>SINGLE SLC LOOP EXPANDER CARD 
 (FireNET PLUS ONLY)</t>
  </si>
  <si>
    <t>FN-4127-NIC</t>
  </si>
  <si>
    <t>HAS555 NETWORK INTERFACE CARD 
 (FireNET &amp; FireNET Plus)</t>
  </si>
  <si>
    <t>FN-4127-IO</t>
  </si>
  <si>
    <t>HAS560 16 CHANNEL INPUT/OUTPUT 
 BOARD</t>
  </si>
  <si>
    <t>HA Latitude FACP</t>
  </si>
  <si>
    <t>LA302H1-10</t>
  </si>
  <si>
    <t>FireNET Latitude - 2 loop, 5.25A PSU, 
 D5, 1 aperture (surface), Enable Key, Red</t>
  </si>
  <si>
    <t>LA303H1-10</t>
  </si>
  <si>
    <t>FireNET Latitude - 2 loop, 10.25A PSU, 
 D5, 1 aperture (surface), Enable Key, Red</t>
  </si>
  <si>
    <t>LA903H5-10</t>
  </si>
  <si>
    <t>FireNET Latitude - 10 loop, 10.25A 
 PSU, D6, 1 aperture (surface), Enable Key, Red</t>
  </si>
  <si>
    <t>LA903H1-10</t>
  </si>
  <si>
    <t>FireNET Latitude - 2 loop, 8 Slot, 10.25A PSU, M6, 1 aperture (surface), Enable Key, Red</t>
  </si>
  <si>
    <t>LFC00NC-10</t>
  </si>
  <si>
    <t>FireNET Latitude Vision Network 
 Repeater, surface, Red</t>
  </si>
  <si>
    <t>S723-HA</t>
  </si>
  <si>
    <t>FireNET Latitude network module 
 (Ethernet and IFAM)</t>
  </si>
  <si>
    <t>S791-HA</t>
  </si>
  <si>
    <t>FireNET Latitude 8 way relay module</t>
  </si>
  <si>
    <t>S788-HA</t>
  </si>
  <si>
    <t>FireNET Latitude Media Gateway module</t>
  </si>
  <si>
    <t>S758-HA</t>
  </si>
  <si>
    <t>FireNET Latitude 2 loop card * for 
 replacement order purpose (if any) 
 ONLY</t>
  </si>
  <si>
    <t>HA Sensor</t>
  </si>
  <si>
    <t>ATJ-EA</t>
  </si>
  <si>
    <t>ACC-V</t>
  </si>
  <si>
    <t>MULTI SENSOR PHOTO HEAT</t>
  </si>
  <si>
    <t>HA Sensor Bases</t>
  </si>
  <si>
    <t>YBN-NSA-4</t>
  </si>
  <si>
    <t>4" ANALOG SENSOR BASE, BONE</t>
  </si>
  <si>
    <t>HSB-NSA-6</t>
  </si>
  <si>
    <t>6" ANALOG SENSOR BASE, BONE</t>
  </si>
  <si>
    <t>ASB-7</t>
  </si>
  <si>
    <t>ANALOG SOUNDER BASE (AUX 
 POWER), BONE</t>
  </si>
  <si>
    <t>ASBL</t>
  </si>
  <si>
    <t>ANALOG SOUNDER BASE LOW 
 FREQUENCY</t>
  </si>
  <si>
    <t>SCI-B4</t>
  </si>
  <si>
    <t>Short circuit isolator analog sensor base 4", Bone</t>
  </si>
  <si>
    <t>SCI-B6</t>
  </si>
  <si>
    <t>Short circuit isolator analog sensor base 6", Bone</t>
  </si>
  <si>
    <t>RAI-LED</t>
  </si>
  <si>
    <t>REMOTE ALARM LED INDICATOR FOR 
 ANALOG SENSORS</t>
  </si>
  <si>
    <t>HA MODULES</t>
  </si>
  <si>
    <t>DCP-FRCME-M</t>
  </si>
  <si>
    <t>FAST RESPONSE CONTACT 
 MONITORING MODULE</t>
  </si>
  <si>
    <t>DCP-FRCME-P</t>
  </si>
  <si>
    <t>FAST RESPONSE CONTACT MONITOR, 
 WITH PIGTAILS</t>
  </si>
  <si>
    <t>DCP-FRCMA</t>
  </si>
  <si>
    <t>FAST RESPONSE CONTACT MONITOR 
 FOR 4" BOX CLASS "A"</t>
  </si>
  <si>
    <t>DCP-FRCMA-I</t>
  </si>
  <si>
    <t>FAST RESPONSE CONTACT MONITOR 
 FOR 4" BOX CLASS "A" ISOLATOR</t>
  </si>
  <si>
    <t>DCP-CZM</t>
  </si>
  <si>
    <t>CONVENTIONAL ZONE INPUT MODULE</t>
  </si>
  <si>
    <t>DCP-DIMM</t>
  </si>
  <si>
    <t>DUAL INPUT MONITOR MODULE</t>
  </si>
  <si>
    <t>DCP-R2ML</t>
  </si>
  <si>
    <t>DUAL RELAY MODULE 4", 2 AMPS @ 
 24VDC or 1 AMP @ 120VAC</t>
  </si>
  <si>
    <t>DCP-R2ML-I</t>
  </si>
  <si>
    <t>DUAL RELAY MODULE 4", 2 AMPS @24VDC or 1 AMP @ 120VAC, w/ISOLATOR</t>
  </si>
  <si>
    <t>DCP-R2MH</t>
  </si>
  <si>
    <t>DUAL RELAY MODULE 4", 8 AMPS @ 
 24VDC or 2 AMPS @ 120VAC</t>
  </si>
  <si>
    <t>DCP-R2MH-I</t>
  </si>
  <si>
    <t>DUAL RELAY MODULE 4", 8 AMPS @ 24VDC or 2 AMPS @ 120VAC, w/ISOLATOR</t>
  </si>
  <si>
    <t>DCP-SOM-A</t>
  </si>
  <si>
    <t>SUPERVISED OUTPUT MODULE 4" 
 CLASS "A"</t>
  </si>
  <si>
    <t>DCP-SOM-AI</t>
  </si>
  <si>
    <t>SUPERVISED OUTPUT MODULE 4" 
 CLASS "A" ISOLATOR</t>
  </si>
  <si>
    <t>DCP-SOM-R</t>
  </si>
  <si>
    <t>SUPERVISED OUTPUT MODULE 
 PREACTION RELEASING MODULE</t>
  </si>
  <si>
    <t>DCP-SCI</t>
  </si>
  <si>
    <t>SHORT CIRCUIT ISOLATOR</t>
  </si>
  <si>
    <t>ALO-V</t>
  </si>
  <si>
    <t>SMOKE DETECTOR</t>
  </si>
  <si>
    <t>TCH-B200</t>
  </si>
  <si>
    <t>PROGRAMMER (HAND HELD)</t>
  </si>
  <si>
    <t>HORING-LIH</t>
  </si>
  <si>
    <t>FIRE ALARM SYSTEM 24VC</t>
  </si>
  <si>
    <t>AH: 00212 - 2z</t>
  </si>
  <si>
    <t>2-ZONES FIRE ALARM CONTROL PANEL W/ BACK-UP BATTERY</t>
  </si>
  <si>
    <t>Made in Taiwan</t>
  </si>
  <si>
    <t>AH: 00212 - 4z</t>
  </si>
  <si>
    <t>4-ZONES FIRE ALARM CONTROL PANEL W/ BACK-UP BATTERY</t>
  </si>
  <si>
    <t>AH: 00212 - 6z</t>
  </si>
  <si>
    <t>6-ZONES FIRE ALARM CONTROL PANEL W/ BACK-UP BATTERY</t>
  </si>
  <si>
    <t>AH: 00212 - 8z</t>
  </si>
  <si>
    <t>8-ZONES FIRE ALARM CONTROL PANEL W/ BACK-UP BATTERY</t>
  </si>
  <si>
    <t>AH: 00212 - 10z</t>
  </si>
  <si>
    <t>10-ZONES FIRE ALARM CONTROL PANEL W/ BACK-UP BATTERY</t>
  </si>
  <si>
    <t>AHC-871 FIRE ALARM CONTROL PANEL</t>
  </si>
  <si>
    <t>AHC-871 - 15z</t>
  </si>
  <si>
    <t>15-ZONES FIRE ALARM CONTROL PANEL W/ BACK-UP BATTERY</t>
  </si>
  <si>
    <t>AHC-871 - 20z</t>
  </si>
  <si>
    <t>20-ZONES FIRE ALARM CONTROL PANEL W/ BACK-UP BATTERY</t>
  </si>
  <si>
    <t>AHC-871 - 25z</t>
  </si>
  <si>
    <t>25-ZONES FIRE ALARM CONTROL PANEL W/ BACK-UP BATTERY</t>
  </si>
  <si>
    <t>AHC-871 - 30z</t>
  </si>
  <si>
    <t>30-ZONES FIRE ALARM CONTROL PANEL W/ BACK-UP BATTERY</t>
  </si>
  <si>
    <t>AHC-871 - 35z</t>
  </si>
  <si>
    <t>35-ZONES FIRE ALARM CONTROL PANEL W/ BACK-UP BATTERY</t>
  </si>
  <si>
    <t>AHC-871 - 40z</t>
  </si>
  <si>
    <t>40-ZONES FIRE ALARM CONTROL PANEL W/ BACK-UP BATTERY</t>
  </si>
  <si>
    <t>ACCESSORIES OF FACP</t>
  </si>
  <si>
    <t>EDB01</t>
  </si>
  <si>
    <t>REFLECTIVE BEAM DETECTOR</t>
  </si>
  <si>
    <t>AH-9717</t>
  </si>
  <si>
    <t>Manual Call Point w/base ( Reset Type )</t>
  </si>
  <si>
    <t>220 VAC and 24 VDC; Fire-Proof Plastic Case; w/ Phone Jack and Reset Botton</t>
  </si>
  <si>
    <t>AH-0217 WITH COVER</t>
  </si>
  <si>
    <t>220 VAC and 24 VDC; Fire-Proof Plastic Case; w/ Phone Jack and Reset Botton (Horing Lih)</t>
  </si>
  <si>
    <t>QA-31</t>
  </si>
  <si>
    <t>Single Station Smoke Detector 9 VDC</t>
  </si>
  <si>
    <t>Photoelectric Type; 85db/3m Sound Output; Comply to UL217/EN54/CNS/CE; Fire-Proof Casing</t>
  </si>
  <si>
    <t>AHS-871</t>
  </si>
  <si>
    <t>Photoelectric Smoke Detector 24 VDC UL Approved</t>
  </si>
  <si>
    <t>UL Listed, Comply to EN54-7/CE, Fire-Proof Casing, 24 VDC</t>
  </si>
  <si>
    <t>AH-8321</t>
  </si>
  <si>
    <t>Photoelectric Smoke Detector 24 VDC CE Approved</t>
  </si>
  <si>
    <t>CE Approved, Fire-Proof casing, 24VDC</t>
  </si>
  <si>
    <t>AHR-871</t>
  </si>
  <si>
    <t>Rate of Rise Detector, CE Approved</t>
  </si>
  <si>
    <t>AH-9315</t>
  </si>
  <si>
    <t>Combination Smoke and Heat Detector CE Approved</t>
  </si>
  <si>
    <t>AH-03127-BS</t>
  </si>
  <si>
    <t>Electronic Sounder with Beacon</t>
  </si>
  <si>
    <t>CE Approved, 114dB (max), 12~24VDC</t>
  </si>
  <si>
    <t>AH-0218</t>
  </si>
  <si>
    <t>6" f Fire Alarm Bell 24 VDC</t>
  </si>
  <si>
    <t>&gt;93dbA@1M Sound Output, 24 VDC Motorized Bell</t>
  </si>
  <si>
    <t>FIRE ALARM CONTROL PANEL QA-16</t>
  </si>
  <si>
    <t>QA-16 - 1L</t>
  </si>
  <si>
    <t>1 LOOP (250 DEVICES)</t>
  </si>
  <si>
    <t>FIRE ALARM CONTROL PANEL QA-17</t>
  </si>
  <si>
    <t>QA-16 - 2L</t>
  </si>
  <si>
    <t>2 LOOP (500 DEVICES)</t>
  </si>
  <si>
    <t>FIRE ALARM CONTROL PANEL QA-18</t>
  </si>
  <si>
    <t>QA-16 - 3L</t>
  </si>
  <si>
    <t>3 LOOP (750 DEVICES)</t>
  </si>
  <si>
    <t>FIRE ALARM CONTROL PANEL QA-19</t>
  </si>
  <si>
    <t>QA-16 - 4L</t>
  </si>
  <si>
    <t>4 LOOP (1000 DEVICES)</t>
  </si>
  <si>
    <t>PRINTER FOR ADDRESSABLE</t>
  </si>
  <si>
    <t>QA-01</t>
  </si>
  <si>
    <t>ADDRESSABLE PHOTOELECTRIC SMOKE DETECTOR</t>
  </si>
  <si>
    <t>QA-05</t>
  </si>
  <si>
    <t>ADDRESSABLE COMBINATION SMOKE &amp; HEAT DETECTOR W/ BASE</t>
  </si>
  <si>
    <t>QA-06</t>
  </si>
  <si>
    <t>ADDRESSABLE HEAT DETECTOR W/ BASE</t>
  </si>
  <si>
    <t>QA-17B</t>
  </si>
  <si>
    <t>ADDRESSABLE CONTROL MODULE W/BASE</t>
  </si>
  <si>
    <t>QA-17A</t>
  </si>
  <si>
    <t>ADDRESSABLE OUTPUT MODULE</t>
  </si>
  <si>
    <t>QA-17K</t>
  </si>
  <si>
    <t>ADDRESSABLE MONITORING MODULE</t>
  </si>
  <si>
    <t>QA-17H</t>
  </si>
  <si>
    <t>ADDRESSABLE ISOLATOR MODULE</t>
  </si>
  <si>
    <t>QA-19</t>
  </si>
  <si>
    <t>ADDRESSABLE MANUAL CALL POINT W/ BASE</t>
  </si>
  <si>
    <t>ESSER</t>
  </si>
  <si>
    <t>IQ8QUAD</t>
  </si>
  <si>
    <t>Addressable Smoke Detector with Isolator</t>
  </si>
  <si>
    <t>FIXED HEAT DETECTOR,</t>
  </si>
  <si>
    <t>FIXED HEAT DETECTOR IQ8QUAD FM</t>
  </si>
  <si>
    <t>802171.IN</t>
  </si>
  <si>
    <t>FIXED HEAT DETECTOR (CLASS B),</t>
  </si>
  <si>
    <t>802177.IN</t>
  </si>
  <si>
    <t>OPTICAL SMOKE DETECTOR,</t>
  </si>
  <si>
    <t>Addressable Smoke Detector</t>
  </si>
  <si>
    <t>OPTICAL SMOKE DETECTOR IQ8QUAD FM,</t>
  </si>
  <si>
    <t>802371.IN</t>
  </si>
  <si>
    <t>RATE-OF-RISE HEAT DETECTOR,</t>
  </si>
  <si>
    <t>Addressable Heat Detector</t>
  </si>
  <si>
    <t>RATE-OF-RISE HEAT DETECTOR</t>
  </si>
  <si>
    <t>802271.IN</t>
  </si>
  <si>
    <t>OTBLUE MULTISENSOR DETECTOR,</t>
  </si>
  <si>
    <t>802375.IN</t>
  </si>
  <si>
    <t>OTBLUE-LKM MULTISENSOR DETECTOR IQ8QUAD</t>
  </si>
  <si>
    <t>RATE-OF-RISE HEAT DET. EX (I),</t>
  </si>
  <si>
    <t>803271.EX</t>
  </si>
  <si>
    <t>OT MULTISENSOR DETECTOR</t>
  </si>
  <si>
    <t>O²T MULTISENSOR DETECTOR,</t>
  </si>
  <si>
    <t>O²T MULTISENSOR DETECTOR</t>
  </si>
  <si>
    <t>802374.IN</t>
  </si>
  <si>
    <t>O/SO OPTICAL SMOKE DETECTOR,</t>
  </si>
  <si>
    <t>O²T/F MULTISENSOR DETECTOR,</t>
  </si>
  <si>
    <t>O²T/SO MULTISENSOR DETECTOR,</t>
  </si>
  <si>
    <t>O²T/FSP MULTISENSOR DETECTOR,</t>
  </si>
  <si>
    <t>O²T/SP MULTISENSOR DETECTOR,</t>
  </si>
  <si>
    <t>OTG MULTISENSOR DETECTOR (CO),</t>
  </si>
  <si>
    <t>OTG MULTISENSOR DETECTOR (CO)</t>
  </si>
  <si>
    <t>802473.IN</t>
  </si>
  <si>
    <t>FIXED HEAT DETECTOR T-30°C,</t>
  </si>
  <si>
    <t>OPTICAL SMOKE DETECTOR EX (I),</t>
  </si>
  <si>
    <t>803371.EX</t>
  </si>
  <si>
    <t>OPTICAL SMOKE DETECTOR EX (I)</t>
  </si>
  <si>
    <t>803371.EX.IN</t>
  </si>
  <si>
    <t>O²T MULTISENSOR DETECTOR EX (I),</t>
  </si>
  <si>
    <t>803374.EX</t>
  </si>
  <si>
    <t>O²T MULTISENSOR DETECTOR EX (I)</t>
  </si>
  <si>
    <t>803374.EX.IN</t>
  </si>
  <si>
    <t>IR FLAME DETECTOR (EX) X9800</t>
  </si>
  <si>
    <t>FIXED HEAT DETECTOR</t>
  </si>
  <si>
    <t>OPTICAL SMOKE DETECTOR</t>
  </si>
  <si>
    <t>FIRERAY 100 RV WITH 4 PRISMS</t>
  </si>
  <si>
    <t>LINEAR SMOKE DETECTOR LRMX 7-70M</t>
  </si>
  <si>
    <t>REFLECTOR SET FOR LRMX</t>
  </si>
  <si>
    <t xml:space="preserve">ADDRESSABLE </t>
  </si>
  <si>
    <t>ADDRESSABLE MCP, IP 66,</t>
  </si>
  <si>
    <t>REPLACEMENT FILTER FOR UG7</t>
  </si>
  <si>
    <t>MOUNTING KIT FOR DUCTS</t>
  </si>
  <si>
    <t>PROTECTIVE COVER FOR MCPS, GB</t>
  </si>
  <si>
    <t>SURFACE SPACER FOR PROTECTIVE</t>
  </si>
  <si>
    <t>IP 55 KIT FOR PROTECTIVE COVER</t>
  </si>
  <si>
    <t>OTBLUE MULTISENSOR DETECTOR</t>
  </si>
  <si>
    <t>REMOTE INDICATOR ESSERBUS-PLUS,</t>
  </si>
  <si>
    <t>EXPLOSION-PROOF CONV. MCP,</t>
  </si>
  <si>
    <t>EX BARRIER INTRINSIC SAFE DET.,</t>
  </si>
  <si>
    <t>IQ8TAL WITH ISOLATOR,</t>
  </si>
  <si>
    <t>IQ8MCP ELECTRONIC MODULE,85319000</t>
  </si>
  <si>
    <t>STD. MCP COMPACT, IP 66/67</t>
  </si>
  <si>
    <t>IQ8MCP COMPACT, SMALL, IP66/67</t>
  </si>
  <si>
    <t>IQ8MCP COMPACT, SMALL,</t>
  </si>
  <si>
    <t>IQ8MCP COMPACT FM, SMALL, RED,</t>
  </si>
  <si>
    <t>804973.IN</t>
  </si>
  <si>
    <t>ESSERBUS TRANSPONDER IQ8FCT XS</t>
  </si>
  <si>
    <t>ESSERBUS ALARM TRANSPONDER</t>
  </si>
  <si>
    <t>ISOLATION AND ASSEMBLY BLOCK</t>
  </si>
  <si>
    <t>HOUSING FOR EX BARRIER</t>
  </si>
  <si>
    <t>CABLE GLAND FOR HOUSING 764752</t>
  </si>
  <si>
    <t>CONVERTER RS232/RS485</t>
  </si>
  <si>
    <t>COMBINED ALARM DEVICE,</t>
  </si>
  <si>
    <t>TELESCOPIC ROD</t>
  </si>
  <si>
    <t>ALARM AND MONITORING MODULE</t>
  </si>
  <si>
    <t>CONVENTIONAL MCP ELECTRONIC</t>
  </si>
  <si>
    <t>IQ8MCP ELECTRONIC MODULE,</t>
  </si>
  <si>
    <t>STD. MCP EX IP55, RED</t>
  </si>
  <si>
    <t>804920.EX</t>
  </si>
  <si>
    <t>STD. MCP COMPACT EX IP66/67</t>
  </si>
  <si>
    <t>804960.EX</t>
  </si>
  <si>
    <t>IQ8 MCP COMPACT EX IP66/67</t>
  </si>
  <si>
    <t>804961.EX</t>
  </si>
  <si>
    <t>CONVENTIONAL MCP COMPACT,</t>
  </si>
  <si>
    <t>MULTI-STIMULUS DETECTOR TESTER TF 1001</t>
  </si>
  <si>
    <t>ESSERBUS TRANSPONDER FCT SET,</t>
  </si>
  <si>
    <t>ESSERBUS TRANSPONDER 12 RELAYS</t>
  </si>
  <si>
    <t>ESSERBUS TRANSPONDER 32 LED</t>
  </si>
  <si>
    <t>ESSERBUS TRANSPONDER,</t>
  </si>
  <si>
    <t>ESSERBUS TRANSPONDER IQ8FCT LP</t>
  </si>
  <si>
    <t>ESSERBUS TRANSPONDER FOR UNIVARIO</t>
  </si>
  <si>
    <t>ESSERBUS TRANSPONDER SD</t>
  </si>
  <si>
    <t>EOL-O TERMINATING DEVICE</t>
  </si>
  <si>
    <t>EOL-I TERMINATING DEVICE</t>
  </si>
  <si>
    <t>ESSERBUS TRANSPONDER RZT,</t>
  </si>
  <si>
    <t>REFURBISHMENT ZONE TRANSPONDER</t>
  </si>
  <si>
    <t>FACP ES LINE FOR 8 ZONES, EN</t>
  </si>
  <si>
    <t>FACP COMPACT FOR 1 LOOP, EN</t>
  </si>
  <si>
    <t>SWITCHED-MODE POWER SUPPLY W.</t>
  </si>
  <si>
    <t>BME2Z002</t>
  </si>
  <si>
    <t>5 X IP65 DEEP BASE-RED</t>
  </si>
  <si>
    <t>CWR</t>
  </si>
  <si>
    <t>EN SOUNDER-RED</t>
  </si>
  <si>
    <t>CWSO-RR-S1</t>
  </si>
  <si>
    <t>O SBEACON-RED-RED LED</t>
  </si>
  <si>
    <t>CWSS-RR-S3</t>
  </si>
  <si>
    <t>BATTERY EXTENSION HOUSING FOR</t>
  </si>
  <si>
    <t>FX808313</t>
  </si>
  <si>
    <t>FX808314</t>
  </si>
  <si>
    <t>STANDARD DETECTOR BASE IQ8QUAD FM</t>
  </si>
  <si>
    <t>805590.IN</t>
  </si>
  <si>
    <t>DETECTOR BASE WITH RELAY</t>
  </si>
  <si>
    <t>Standard Detector Base with Continuity Strip</t>
  </si>
  <si>
    <t>DETECTOR BASE W. RELAY CONTACT</t>
  </si>
  <si>
    <t>805591.IN</t>
  </si>
  <si>
    <t>IP 43 MOISTURE-PROOF SM BASE</t>
  </si>
  <si>
    <t>DUMMY COVER FOR 19" RACK, 5 HU</t>
  </si>
  <si>
    <t>DUMMY COVER FOR 19" RACK, 2 HU</t>
  </si>
  <si>
    <t>EXTENSION MODULE WITH 3 ADD.</t>
  </si>
  <si>
    <t>PERIPHERAL MODULE WITH 1 ADD.</t>
  </si>
  <si>
    <t>EXTENSION MODULE WITH 1 ADD.</t>
  </si>
  <si>
    <t>BASIC MODULE IQ8CONTROL C,</t>
  </si>
  <si>
    <t>BASIC MODULE IQ8CONTROL M,</t>
  </si>
  <si>
    <t>ANALOG LOOP MODULE (8 BIT)</t>
  </si>
  <si>
    <t>784382.D0</t>
  </si>
  <si>
    <t>SERIAL ESSERNET INTERFACE EDP,</t>
  </si>
  <si>
    <t>OPERATING FRONT, GB,</t>
  </si>
  <si>
    <t>FILLER PANEL FRONT, NEUTRAL,</t>
  </si>
  <si>
    <t>OPERATING FRONT W. SZI 64, GB,</t>
  </si>
  <si>
    <t>OPERATING FRONT W. SZI 64, SG,</t>
  </si>
  <si>
    <t>ANALOG LOOP MODULE POWERED</t>
  </si>
  <si>
    <t>804382.D0</t>
  </si>
  <si>
    <t>FACP IQ8CONTROL C,</t>
  </si>
  <si>
    <t>FACP IQ8CONTROL M,</t>
  </si>
  <si>
    <t>EXTENSION MODULE CARRIER 1</t>
  </si>
  <si>
    <t>FX808322</t>
  </si>
  <si>
    <t>EXTENSION MODULE CARRIER 2</t>
  </si>
  <si>
    <t>FX808323</t>
  </si>
  <si>
    <t>DISPLAY AND OPERATING UNIT W.</t>
  </si>
  <si>
    <t>FX808324</t>
  </si>
  <si>
    <t>DISPLAY AND OPERATING UNIT FOR</t>
  </si>
  <si>
    <t>FX808324.19</t>
  </si>
  <si>
    <t>FX808324.19.</t>
  </si>
  <si>
    <t>DISPLAY AND OPERATING UNIT FM</t>
  </si>
  <si>
    <t>IFNX808324.IN</t>
  </si>
  <si>
    <t>POWER SUPPLY MODULE FM</t>
  </si>
  <si>
    <t>FX808326.IN</t>
  </si>
  <si>
    <t>REDUNDANT CONTROL MODULE FM</t>
  </si>
  <si>
    <t>FX808328.RE</t>
  </si>
  <si>
    <t>3-WAY PLUG</t>
  </si>
  <si>
    <t>.FIXN808330</t>
  </si>
  <si>
    <t>LOOP CARD ESSERBUS/ESSERBUS-PL</t>
  </si>
  <si>
    <t>FX808331</t>
  </si>
  <si>
    <t>FX808332</t>
  </si>
  <si>
    <t>NETWORK CARD ESSERNET MODULE,</t>
  </si>
  <si>
    <t>FX808340</t>
  </si>
  <si>
    <t>FX808341</t>
  </si>
  <si>
    <t>POWER SUPPLY EXTENSION FM 24 V/12 AH</t>
  </si>
  <si>
    <t>FX808363.IN</t>
  </si>
  <si>
    <t>POWER SUPPLY EXTENSION FM 24 V/24 AH</t>
  </si>
  <si>
    <t>FX808364.IN</t>
  </si>
  <si>
    <t>FACP FLEXES CONTROL FX2/2,</t>
  </si>
  <si>
    <t>FX808392</t>
  </si>
  <si>
    <t>FACP FLEXES CONTROL FX10/10,</t>
  </si>
  <si>
    <t>FX808394</t>
  </si>
  <si>
    <t>FACP FLEXES CONTROL FX18/5,</t>
  </si>
  <si>
    <t>FX808395</t>
  </si>
  <si>
    <t>FACP FLEXES CONTROL FX18/18,</t>
  </si>
  <si>
    <t>FX808397</t>
  </si>
  <si>
    <t>FACP FLEXES CONTROL FM (18 LOOPS)</t>
  </si>
  <si>
    <t>FX808397.IN</t>
  </si>
  <si>
    <t>HEAVY WEIGHT DRAWER WITH</t>
  </si>
  <si>
    <t>FX808430.10</t>
  </si>
  <si>
    <t>HEAVY WEIGHT DRAWER FM WITH</t>
  </si>
  <si>
    <t>RFX808430.18</t>
  </si>
  <si>
    <t>HEAVY WEIGHT DRAWER F. POWER</t>
  </si>
  <si>
    <t>RFX.IN808431</t>
  </si>
  <si>
    <t>HEAVY WEIGHT DRAWER FM W. POWER</t>
  </si>
  <si>
    <t>FX808431.IN</t>
  </si>
  <si>
    <t>EXPANSION MODULE CARRIER 1 FOR</t>
  </si>
  <si>
    <t>FX808432</t>
  </si>
  <si>
    <t>EXPANSION MODULE CARRIER 2 FOR</t>
  </si>
  <si>
    <t>FX808433</t>
  </si>
  <si>
    <t>MOUNTING RAIL SET FOR</t>
  </si>
  <si>
    <t>FX808434</t>
  </si>
  <si>
    <t>CONNECTION TERMINAL FOR 4</t>
  </si>
  <si>
    <t>FX808435</t>
  </si>
  <si>
    <t>CONNECTION TERMINAL FOR</t>
  </si>
  <si>
    <t>FX808436</t>
  </si>
  <si>
    <t>CONNECTION TERMINAL FOR UBEXT</t>
  </si>
  <si>
    <t>FX808437</t>
  </si>
  <si>
    <t>CONNECTION TERMINAL FOR 230 V</t>
  </si>
  <si>
    <t>FX808438</t>
  </si>
  <si>
    <t>SERVICE DRAWER, 1 HU</t>
  </si>
  <si>
    <t>FX808439</t>
  </si>
  <si>
    <t>FX808440</t>
  </si>
  <si>
    <t>CERTIFICATION SET FOR FLEXES</t>
  </si>
  <si>
    <t>FX808449</t>
  </si>
  <si>
    <t>CABLE POWER SUPPLY CASCADING 2,5M</t>
  </si>
  <si>
    <t>FX808455</t>
  </si>
  <si>
    <t>MOUNTING BRACKET FOR UNIVARIO</t>
  </si>
  <si>
    <t>STANDARD BASE UNIVARIO</t>
  </si>
  <si>
    <t>RED. INTERFACE SYS. ADP4000</t>
  </si>
  <si>
    <t>ADAPTER ADP-FBF FOR</t>
  </si>
  <si>
    <t>3-RELAY MODULE</t>
  </si>
  <si>
    <t>3-RELAY COMMON FAULT MODULE</t>
  </si>
  <si>
    <t>MCP ELECTRONIC MODULE W. ZONE</t>
  </si>
  <si>
    <t>LOOP LED REMOTE IND. PANEL</t>
  </si>
  <si>
    <t>IQ8FCT WITH ISOLATOR,</t>
  </si>
  <si>
    <t>NEUTRAL FRONT</t>
  </si>
  <si>
    <t>FX808325</t>
  </si>
  <si>
    <t>POWER SUPPLY MODULE,</t>
  </si>
  <si>
    <t>FX808326</t>
  </si>
  <si>
    <t>CONTROLLER MODULE FOR BUNDLE</t>
  </si>
  <si>
    <t>FX808328.10</t>
  </si>
  <si>
    <t>REDUNDANT CONTROL MODULE</t>
  </si>
  <si>
    <t>RFX808328.RE</t>
  </si>
  <si>
    <t>POWER SUPPLY EXTENSION,</t>
  </si>
  <si>
    <t>FX808363</t>
  </si>
  <si>
    <t>FX808364</t>
  </si>
  <si>
    <t>TOUCH SCREEN OPERATING UNIT,</t>
  </si>
  <si>
    <t>FX808460</t>
  </si>
  <si>
    <t>GMT4000 ACTIVE REPEATER PANEL</t>
  </si>
  <si>
    <t>FX808463</t>
  </si>
  <si>
    <t>REMOTE INDICATOR, RED,</t>
  </si>
  <si>
    <t>FX808464</t>
  </si>
  <si>
    <t>UV FLAME DETECTOR UNIVARIO</t>
  </si>
  <si>
    <t>INTERFACE MODULE RS232/24 V</t>
  </si>
  <si>
    <t>INTERFACE MODULE TTY/CL 20 MA</t>
  </si>
  <si>
    <t>MULTIMODE FO CONVERTER ST</t>
  </si>
  <si>
    <t>SINGLEMODE FO CONVERTER ST</t>
  </si>
  <si>
    <t>RS232/TTY SERIAL INTERFACE</t>
  </si>
  <si>
    <t>SEI2 RED. 500 KBAUD</t>
  </si>
  <si>
    <t>M4-RS485-ISO INTERFACE MODULE</t>
  </si>
  <si>
    <t>SERIAL CONNECTING CABLE FOR</t>
  </si>
  <si>
    <t>ESSERNET MODULE, 62.5 KBD</t>
  </si>
  <si>
    <t>ESSERNET MODULE, 500 KBD</t>
  </si>
  <si>
    <t>ESSERNET REPEATER, 500 KBD</t>
  </si>
  <si>
    <t>SERIAL ESSERNET INTERFACE 2</t>
  </si>
  <si>
    <t>M4-RS232-ISO INTERFACE MODULE</t>
  </si>
  <si>
    <t>M4-TTY INTERFACE MODULE</t>
  </si>
  <si>
    <t>LICENCE - OPC SERVER</t>
  </si>
  <si>
    <t>LICENCE OPC - CLIENT</t>
  </si>
  <si>
    <t>OPC DATA POINTS, DATA POINT PACKAGE</t>
  </si>
  <si>
    <t>LICENCE - WINMAG CLIENT</t>
  </si>
  <si>
    <t>WINMAG PLUS LICENCE FOR FIRE ALARM</t>
  </si>
  <si>
    <t>BASIS LICENCE - WINMAG 13631</t>
  </si>
  <si>
    <t>WINMAG LITE UPGRADE TO FULL VERSION</t>
  </si>
  <si>
    <t>TCP/IP CONV. ETHERNERT-RS232/485</t>
  </si>
  <si>
    <t>UPGRADE WINMAG V6... TO WINMAG PLUS</t>
  </si>
  <si>
    <t>WINMAG LITE PACKAGE INCL. USB-DONGLE</t>
  </si>
  <si>
    <t>IP43 PROTECTION FOR DET. BASE,</t>
  </si>
  <si>
    <t>LABEL PLATE FOR DETECTOR BASE,</t>
  </si>
  <si>
    <t>STANDARD DETECTOR BASE FOR</t>
  </si>
  <si>
    <t>MCP HOUSING, LARGE, RED,</t>
  </si>
  <si>
    <t>SPARE GLASS PANE F. SMALL MCP,</t>
  </si>
  <si>
    <t>PROTECTIVE KIT FOR MCP AND</t>
  </si>
  <si>
    <t>SM HOUSING FOR SMALL MCP,</t>
  </si>
  <si>
    <t>2 SPARE KEYS (NO. 801)</t>
  </si>
  <si>
    <t>POWER SUPPLY MODULE (802426)</t>
  </si>
  <si>
    <t>HOUSING SURFACE-MOUNT, GRAY</t>
  </si>
  <si>
    <t>HOUSING KIT</t>
  </si>
  <si>
    <t>LOOP ISOLATOR FOR TRANSPONDERS</t>
  </si>
  <si>
    <t>DETECTOR COVER FOR IQ8QUAD W/O</t>
  </si>
  <si>
    <t>EXTERNAL POWER SUPPLY DCU 2403</t>
  </si>
  <si>
    <t>PLASTIC TELESCOPIC EXTENSION</t>
  </si>
  <si>
    <t>PLASTIC TELESCOPIC ROD</t>
  </si>
  <si>
    <t>SPARE GLASS PANE FOR MCP</t>
  </si>
  <si>
    <t>PRINTER PAPER FOR PRINTER</t>
  </si>
  <si>
    <t>DUMMY COVER F. 19" RACK, 1 HU,</t>
  </si>
  <si>
    <t>MODULE HOUSING FOR TOP-HAT</t>
  </si>
  <si>
    <t>BATTERY EXTENSION HOUSING F.</t>
  </si>
  <si>
    <t>EXTENSION HOUSING FOR</t>
  </si>
  <si>
    <t>STARTER KIT EQUIPMENT PLUS W.</t>
  </si>
  <si>
    <t>FIELD BUS INTERFACE PLUS</t>
  </si>
  <si>
    <t>ADAPTER FOR DCU 2403</t>
  </si>
  <si>
    <t>IQ8ALARM IP 56 BASE, RED</t>
  </si>
  <si>
    <t>IQ8ALARM PLUS SOUNDER</t>
  </si>
  <si>
    <t>807205R</t>
  </si>
  <si>
    <t>807205W</t>
  </si>
  <si>
    <t>IQ8ALARM PLUS VISUAL ALARM DEVICE</t>
  </si>
  <si>
    <t>807214RR</t>
  </si>
  <si>
    <t>IQ8ALARM PLUS SOUNDER VAD</t>
  </si>
  <si>
    <t>807224RR</t>
  </si>
  <si>
    <t>807224RW</t>
  </si>
  <si>
    <t>IQ8ALARM PLUS VOICE SOUNDER</t>
  </si>
  <si>
    <t>807322R</t>
  </si>
  <si>
    <t>IQ8ALARM PLUS VOICE SOUNDER VAD</t>
  </si>
  <si>
    <t>807372RR</t>
  </si>
  <si>
    <t>W BEACON-RED-RED LED</t>
  </si>
  <si>
    <t>CWST-RR-S5</t>
  </si>
  <si>
    <t>EVALUATION UNIT DTS 6 KM</t>
  </si>
  <si>
    <t>970124.IN</t>
  </si>
  <si>
    <t>EVALUATION UNIT DTS 10 KM,</t>
  </si>
  <si>
    <t>970125.IN</t>
  </si>
  <si>
    <t>EXTENSION ATEX APPROVAL,</t>
  </si>
  <si>
    <t>970133.IN</t>
  </si>
  <si>
    <t>DTS INTERFACE BOX</t>
  </si>
  <si>
    <t>RELAY EXTENSION SET</t>
  </si>
  <si>
    <t>RELAY CONTROLLER SET</t>
  </si>
  <si>
    <t>HD I/O CONNECTION SET F. HIGH DENSE</t>
  </si>
  <si>
    <t>STEEL DOWEL W. STEEL CLAMP</t>
  </si>
  <si>
    <t>970143.IN</t>
  </si>
  <si>
    <t>DOWEL SETTING TOOL</t>
  </si>
  <si>
    <t>970144.IN</t>
  </si>
  <si>
    <t>MICRO SPLICE BOX</t>
  </si>
  <si>
    <t>970146.IN</t>
  </si>
  <si>
    <t>DOUBLE HEAD CABLE TIES PA6.6W,</t>
  </si>
  <si>
    <t>SENSOR CABLE CONNECTORS FOR</t>
  </si>
  <si>
    <t>SENSOR CABLE TESTING TOOL</t>
  </si>
  <si>
    <t>970151.IN</t>
  </si>
  <si>
    <t>SENSOR CABLE CONNECT. F. FO</t>
  </si>
  <si>
    <t>STEEL DOWEL W. POLYAMIDE CLAMP</t>
  </si>
  <si>
    <t>970140.IN</t>
  </si>
  <si>
    <t>STAINLESS STEEL W. POLYAM. CLAMP</t>
  </si>
  <si>
    <t>970142.IN</t>
  </si>
  <si>
    <t>USB CABLE A/B FOR 789862.10</t>
  </si>
  <si>
    <t>MULTI-STIMULUS DETECTOR TESTER TF 2001</t>
  </si>
  <si>
    <t>DETECTOR REMOVAL TOOL</t>
  </si>
  <si>
    <t>ESSERBUS HAND TOOL FOR TEST AND CONFIG.</t>
  </si>
  <si>
    <t>POL-ESS</t>
  </si>
  <si>
    <t>SMOKE CAPSULE F.MULTI-STIMULUS</t>
  </si>
  <si>
    <t>CO CAPSULE FOR MULTI-STIMULUS</t>
  </si>
  <si>
    <t>FLUSH-MOUNT KIT FOR</t>
  </si>
  <si>
    <t>4" TRIM RING/SNAP-IN MOUNTING</t>
  </si>
  <si>
    <t>ADAPTER FOR POLE 769813</t>
  </si>
  <si>
    <t>BASE COVER FOR IQ8QUAD</t>
  </si>
  <si>
    <t>VENTURI AIR DUCT MODULE UG7</t>
  </si>
  <si>
    <t>VENTURI TUBE 0,6 M FOR UG7</t>
  </si>
  <si>
    <t>WINMAG PLUS INSTALLATION MEDIA</t>
  </si>
  <si>
    <t>WM1001</t>
  </si>
  <si>
    <t>WINMAG PLUS 6 BASE LICENCE 500 POINTS</t>
  </si>
  <si>
    <t>WM2010</t>
  </si>
  <si>
    <t>WINMAG PLUS 6 BASE LICENCE 1500 POINTS</t>
  </si>
  <si>
    <t>WM2020</t>
  </si>
  <si>
    <t>WINMAG PLUS 6 BASE LICENCE 2500 POINTS</t>
  </si>
  <si>
    <t>WM2030</t>
  </si>
  <si>
    <t>WINMAG PLUS 6 BASE LICENCE 10000 POINTS</t>
  </si>
  <si>
    <t>WM2040</t>
  </si>
  <si>
    <t>WINMAG PLUS 6 BASE LICENCE 20000 POINTS</t>
  </si>
  <si>
    <t>WM2050</t>
  </si>
  <si>
    <t>WINMAG PLUS 6 BASE LICENCE 50000 POINTS</t>
  </si>
  <si>
    <t>WM2060</t>
  </si>
  <si>
    <t>ADDITIONAL 500 DATA POINTS</t>
  </si>
  <si>
    <t>WM2110</t>
  </si>
  <si>
    <t>ADDITIONAL 2,500 DATA POINTS</t>
  </si>
  <si>
    <t>WM2120</t>
  </si>
  <si>
    <t>ADDITIONAL 5,000 DATA POINTS</t>
  </si>
  <si>
    <t>WM2130</t>
  </si>
  <si>
    <t>ADDITIONAL 10,000 DATA POINTS</t>
  </si>
  <si>
    <t>WM2140</t>
  </si>
  <si>
    <t>WINMAG PLUS CLIENT - SINGLE LICENSE</t>
  </si>
  <si>
    <t>WM2200</t>
  </si>
  <si>
    <t>WINMAG PLUS CLIENT - LICENSES 5 PCS</t>
  </si>
  <si>
    <t>WM2210</t>
  </si>
  <si>
    <t>WINMAG PLUS CLIENT - LICENSES, 10 PCS</t>
  </si>
  <si>
    <t>WM2220</t>
  </si>
  <si>
    <t>WINMAG PLUS CLIENT - LICENSES, 25 PCS</t>
  </si>
  <si>
    <t>WM2230</t>
  </si>
  <si>
    <t>WINMAG PLUS UPGRADE TO NEWEST VERSION</t>
  </si>
  <si>
    <t>WM2310</t>
  </si>
  <si>
    <t>WM2320</t>
  </si>
  <si>
    <t>WM2330</t>
  </si>
  <si>
    <t>WM2340</t>
  </si>
  <si>
    <t>OPTION INTRUSION MB SERIES</t>
  </si>
  <si>
    <t>WM3010</t>
  </si>
  <si>
    <t>OPTION INTRUSION GALAXY</t>
  </si>
  <si>
    <t>WM3020</t>
  </si>
  <si>
    <t>OPTION FIRE SYSTEM ESSER</t>
  </si>
  <si>
    <t>WM3110</t>
  </si>
  <si>
    <t>OPTION FIRE SYSTEM GENT</t>
  </si>
  <si>
    <t>WM3120</t>
  </si>
  <si>
    <t>OPTION FIRE SYSTEM NOTIFIER</t>
  </si>
  <si>
    <t>WM3130</t>
  </si>
  <si>
    <t>OPTION FIRE SYSTEM HS-81</t>
  </si>
  <si>
    <t>WM3132</t>
  </si>
  <si>
    <t>OPTION VARIODYN D1</t>
  </si>
  <si>
    <t>WM3140</t>
  </si>
  <si>
    <t>OPTION ACCESS CONTROL IQ MULTIACCESS</t>
  </si>
  <si>
    <t>WM3200</t>
  </si>
  <si>
    <t>OPTION ACCESS CONTROL PRO-WATCH</t>
  </si>
  <si>
    <t>WM3201</t>
  </si>
  <si>
    <t>OPTION ACCESS CONTROL WIN-PAK</t>
  </si>
  <si>
    <t>WM3202</t>
  </si>
  <si>
    <t>OPTION HONEYWELL MAXPRO VMS</t>
  </si>
  <si>
    <t>WM3210</t>
  </si>
  <si>
    <t>OPTION DS6750/DS7700</t>
  </si>
  <si>
    <t>WM3220</t>
  </si>
  <si>
    <t>OPTION NURSE CALL</t>
  </si>
  <si>
    <t>WM3230</t>
  </si>
  <si>
    <t>OPTION DTS SYSTEM</t>
  </si>
  <si>
    <t>WM3240</t>
  </si>
  <si>
    <t>OPTION ESCAPE ROUTE</t>
  </si>
  <si>
    <t>WM3250</t>
  </si>
  <si>
    <t>OPTION GEUTEBRÜCK VIDEO</t>
  </si>
  <si>
    <t>WM3510</t>
  </si>
  <si>
    <t>OPTION DALLMEIER VIDEO</t>
  </si>
  <si>
    <t>WM3520</t>
  </si>
  <si>
    <t>OPTION QOGNIFY VIDEO</t>
  </si>
  <si>
    <t>WM3530</t>
  </si>
  <si>
    <t>OPTION VIDEO ANALOGUE</t>
  </si>
  <si>
    <t>WM3550</t>
  </si>
  <si>
    <t>OPTION REDUNDANCY</t>
  </si>
  <si>
    <t>WM4010</t>
  </si>
  <si>
    <t>OPTION MULTI-MONITOR</t>
  </si>
  <si>
    <t>WM4030</t>
  </si>
  <si>
    <t>OPTION AUTO-CAD®</t>
  </si>
  <si>
    <t>WM4040</t>
  </si>
  <si>
    <t>OPTION NOTIFICATION</t>
  </si>
  <si>
    <t>WM4120</t>
  </si>
  <si>
    <t>OPTION ESCALATION</t>
  </si>
  <si>
    <t>WM4130</t>
  </si>
  <si>
    <t>OPTION LOGIN READER</t>
  </si>
  <si>
    <t>WM4160</t>
  </si>
  <si>
    <t>WINMAG PLUS OPC SERVER</t>
  </si>
  <si>
    <t>WM5100</t>
  </si>
  <si>
    <t>WINMAG PLUS OPC CLIENT</t>
  </si>
  <si>
    <t>WM5200</t>
  </si>
  <si>
    <t>OPC/BACNET 500 TAGS</t>
  </si>
  <si>
    <t>WM5300</t>
  </si>
  <si>
    <t>WINMAG PLUS BACNET SERVER</t>
  </si>
  <si>
    <t>WM5600</t>
  </si>
  <si>
    <t>WINMAG PLUS BACNET CLIENT</t>
  </si>
  <si>
    <t>WM5700</t>
  </si>
  <si>
    <t>SOFTWARE UNIVERSAL GATEWAY FOR PC</t>
  </si>
  <si>
    <t>WM5800</t>
  </si>
  <si>
    <t>WINMAG PLUS OPTION SDK</t>
  </si>
  <si>
    <t>WM6001</t>
  </si>
  <si>
    <t>DEVELOPER PACKAGE WINMAG PLUS</t>
  </si>
  <si>
    <t>WM6002</t>
  </si>
  <si>
    <t>BOSCH</t>
  </si>
  <si>
    <t>FPC-500-4</t>
  </si>
  <si>
    <t>Conventional fire panel, 4-zone</t>
  </si>
  <si>
    <t>FCP-O320</t>
  </si>
  <si>
    <t>Conventional Smoke detector optical</t>
  </si>
  <si>
    <t>FCH-T320</t>
  </si>
  <si>
    <t>Heat detector, rate-of-rise</t>
  </si>
  <si>
    <t>MS 400</t>
  </si>
  <si>
    <t>Detector base</t>
  </si>
  <si>
    <t>FMC-120-DKM-G-R</t>
  </si>
  <si>
    <t>Manual call point indoor, red</t>
  </si>
  <si>
    <t>FMM-KEY-FORM G/H</t>
  </si>
  <si>
    <t>Key for manual call point</t>
  </si>
  <si>
    <t>W-HSR</t>
  </si>
  <si>
    <t>Wall strobe, 2-wire 15-185cd 12/24V, red</t>
  </si>
  <si>
    <t>FAH-425-T-R</t>
  </si>
  <si>
    <t>ANALOG PHOTOELECTRIC HEAT DETECTOR W/ BASE</t>
  </si>
  <si>
    <t>W-STR</t>
  </si>
  <si>
    <t>WALL STROBE, 2 WIRE 15-185CD 12/24V, RED</t>
  </si>
  <si>
    <t>FAP-425-O-R</t>
  </si>
  <si>
    <t>Smoke Detector, optical</t>
  </si>
  <si>
    <t>FPP-RNAC-8A-4C</t>
  </si>
  <si>
    <t>Power Supply, RNAC 8A 24V</t>
  </si>
  <si>
    <t>APOLLO</t>
  </si>
  <si>
    <t>Conventional MCP 170°</t>
  </si>
  <si>
    <t>SC2900-001</t>
  </si>
  <si>
    <t>Made in U.K. 8 Years Warranty</t>
  </si>
  <si>
    <t>APOLLO CONVENTIONAL DETECTORS</t>
  </si>
  <si>
    <t>55000-316APO</t>
  </si>
  <si>
    <t>Series 65 Optical Smoke Detector Standard</t>
  </si>
  <si>
    <t xml:space="preserve"> Made in U.K. 
8 Years Warranty </t>
  </si>
  <si>
    <t>55000-126APO</t>
  </si>
  <si>
    <t>Series 65 BR Heat Detector Standard</t>
  </si>
  <si>
    <t>45681-200APO</t>
  </si>
  <si>
    <t>Series 65 Standard Base</t>
  </si>
  <si>
    <t>APOLLO MANUAL CALL POINT</t>
  </si>
  <si>
    <t>55100-001APO</t>
  </si>
  <si>
    <t>Indoor Manual Call Point without LED – Red</t>
  </si>
  <si>
    <t>WATERPROOF MANUAL CALL POINT</t>
  </si>
  <si>
    <t>55100-003APO</t>
  </si>
  <si>
    <t>Conventional Waterproof Manual Call Point without LED (Red)</t>
  </si>
  <si>
    <t>58200-950APO</t>
  </si>
  <si>
    <t>Apollo Waterproof Manual Call Point (Red)</t>
  </si>
  <si>
    <t>APOLLO CONVENTIONAL SOUNDERS AND BEACONS</t>
  </si>
  <si>
    <t>29600-322</t>
  </si>
  <si>
    <t>Sonos Sounder W/ Base</t>
  </si>
  <si>
    <t>29600-323</t>
  </si>
  <si>
    <t>Sonos Sounder with beacon W/ Base</t>
  </si>
  <si>
    <t>29600-320</t>
  </si>
  <si>
    <t>CONVENTIONAL OPEN-AREA AV TIMESAVER BASE - 
SHALLOW</t>
  </si>
  <si>
    <t>APOLLO ADDRESSABLE DETECTORS</t>
  </si>
  <si>
    <t>45681-210APO</t>
  </si>
  <si>
    <t>XP95 Mounting Base</t>
  </si>
  <si>
    <t>55000-600APO</t>
  </si>
  <si>
    <t>XP95 Optical Smoke Detector</t>
  </si>
  <si>
    <t>55000-401APO</t>
  </si>
  <si>
    <t>XP95 Heat Detector High Temperature</t>
  </si>
  <si>
    <t>55000-400APO</t>
  </si>
  <si>
    <t>XP95 Heat Detector Standard</t>
  </si>
  <si>
    <t>58000-500APO</t>
  </si>
  <si>
    <t>Discovery Ionisation Smoke Detector</t>
  </si>
  <si>
    <t>58000-600APO</t>
  </si>
  <si>
    <t>Discovery Optical Smoke Detector</t>
  </si>
  <si>
    <t>58000-400APO</t>
  </si>
  <si>
    <t>Discovery Heat Detector</t>
  </si>
  <si>
    <t>55000-720APO</t>
  </si>
  <si>
    <t>Isolator</t>
  </si>
  <si>
    <t>SA5150-650</t>
  </si>
  <si>
    <t>SOTERIA UL Smoke detector, w/out Base</t>
  </si>
  <si>
    <t xml:space="preserve"> UL Listed
8Years Warranty </t>
  </si>
  <si>
    <t>SA5800-450</t>
  </si>
  <si>
    <t>SOTERIA UL heat, w/out base</t>
  </si>
  <si>
    <t>SA5100-700APO</t>
  </si>
  <si>
    <t>SOTERIA multisensor Detector (Optical/Heat)</t>
  </si>
  <si>
    <t>SA5150-750</t>
  </si>
  <si>
    <t>SOTERIA UL multisensor</t>
  </si>
  <si>
    <t>SA5000-210</t>
  </si>
  <si>
    <t>Soterial UL base</t>
  </si>
  <si>
    <t>APOLLO ADDRESSABLE PULL STATION AND SOUNDERS/BEACONS</t>
  </si>
  <si>
    <t>55100-908APO</t>
  </si>
  <si>
    <t>XP95 Manual Call Point with Isolator - Red (Surface)</t>
  </si>
  <si>
    <t>55000-001APO</t>
  </si>
  <si>
    <t>Intelligent Open-Area Sounder Red (Sonos)</t>
  </si>
  <si>
    <t>55000-005APO</t>
  </si>
  <si>
    <t>Intelligent Open-Area Sounder Beacon Red (Sonos)</t>
  </si>
  <si>
    <t>55000-278APO</t>
  </si>
  <si>
    <t>Multi-Tone Open Area Sounder (Red)</t>
  </si>
  <si>
    <t>APOLLO ANALOGUE ACCESSORIES (SWITCH MONITORS/INPUT/OUTPUT/ZONE MONITOR)</t>
  </si>
  <si>
    <t>SA4700-100APO</t>
  </si>
  <si>
    <t>Intelligent switch Monitor
Use: - interface to Sprinkler system Flow Switch
- interface to Sprinkler</t>
  </si>
  <si>
    <t>SA4700-102APO</t>
  </si>
  <si>
    <t>Intelligent Input/Output Unit, Compatible with XP95, 
Discovery and CoreProtocol digital communication protocols.</t>
  </si>
  <si>
    <t>55000-845APO</t>
  </si>
  <si>
    <t>XP95 ZONE MONITOR WITH BACK BOX &amp; WITH BUILT-IN 20 DEVICES ISOLATOR</t>
  </si>
  <si>
    <t>55000-847</t>
  </si>
  <si>
    <t>Intelligent Input/Output Unit, Compatible with XP95, Discovery and CoreProtocol digital communication protocols.</t>
  </si>
  <si>
    <t>55000-852APO</t>
  </si>
  <si>
    <t>XP95 Sounder Control Unit with Isolator</t>
  </si>
  <si>
    <t>55000-760APO</t>
  </si>
  <si>
    <t>Mini Switch Monitor</t>
  </si>
  <si>
    <t>CONVENTIONAL END-TO-END OPTICAL BEAM DETECTOR</t>
  </si>
  <si>
    <t>29600-929</t>
  </si>
  <si>
    <t>Conventional End to End Beam Optical Beam Detector</t>
  </si>
  <si>
    <t>INTELLIGENT AUTO-ALIGNING BEAM DETECTOR</t>
  </si>
  <si>
    <t>SA7100-100APO</t>
  </si>
  <si>
    <t>Intelligent Auto-Aligning Beam Detector 8-50m</t>
  </si>
  <si>
    <t>SA7100-100APO + 29600-526 (8-100M)</t>
  </si>
  <si>
    <t>Intelligent Auto-Aligning Beam Detector 8-100M</t>
  </si>
  <si>
    <t>REFLECTIVE BEAM DETECTOR BACKBOX</t>
  </si>
  <si>
    <t>29600-241</t>
  </si>
  <si>
    <t>Reflective Beam Detector Backbox</t>
  </si>
  <si>
    <t>CONVENTIONAL AUTO-ALIGNING BEAM DETECTOR WITH LASER ALIGNMENT</t>
  </si>
  <si>
    <t>29650-069</t>
  </si>
  <si>
    <t>Conventional Auto Aligning Beam Detector with Integral Laser 8-50m</t>
  </si>
  <si>
    <t>29650-070</t>
  </si>
  <si>
    <t>Additional Detector Head 8-50m</t>
  </si>
  <si>
    <t>29600-526</t>
  </si>
  <si>
    <t>Extension Kit 100m</t>
  </si>
  <si>
    <t>29600-527</t>
  </si>
  <si>
    <t>Universal Bracket for Heads and Prisms</t>
  </si>
  <si>
    <t>29600-528</t>
  </si>
  <si>
    <t>Surface Mounting Plate for Prisms</t>
  </si>
  <si>
    <t>29600-529</t>
  </si>
  <si>
    <t>Prism Mounting Plate (4 prisms 100m)</t>
  </si>
  <si>
    <t>29600-530</t>
  </si>
  <si>
    <t>Prism Mounting Plate (1 prism 8-50m)</t>
  </si>
  <si>
    <t>DISCOVERY XPERT 7 CARD</t>
  </si>
  <si>
    <t>45682-800</t>
  </si>
  <si>
    <t>XPERT Universal Address Card</t>
  </si>
  <si>
    <t>AUDIO VISUAL</t>
  </si>
  <si>
    <t>55000-877 APO</t>
  </si>
  <si>
    <t>Loop-Powered Visual Indicator (Red)</t>
  </si>
  <si>
    <t>55000-878APO</t>
  </si>
  <si>
    <t>Loop-Powered Visual Indicator (Clear)</t>
  </si>
  <si>
    <t>58000-030APO</t>
  </si>
  <si>
    <t>Discovery Open-Area Voice Sounder Visual Indicator (Red)</t>
  </si>
  <si>
    <t>45681-277APO</t>
  </si>
  <si>
    <t>Apollo XP95 Integrated Base Sounder</t>
  </si>
  <si>
    <t>45681-276APO</t>
  </si>
  <si>
    <t>Ancillary Base Sounder</t>
  </si>
  <si>
    <t>29650-001</t>
  </si>
  <si>
    <t>29650-001 Magnetic Wand</t>
  </si>
  <si>
    <t>45681-278APO</t>
  </si>
  <si>
    <t>Apollo Integrated Base Sounder without Isolator</t>
  </si>
  <si>
    <t>XPANDER</t>
  </si>
  <si>
    <t>XPA-CB-11170-APO</t>
  </si>
  <si>
    <t>Xpander A1R Heat Detector and Mounting Base</t>
  </si>
  <si>
    <t>XPA-CB-11171-APO</t>
  </si>
  <si>
    <t>Xpander CS Heat Detector and Mounting Base</t>
  </si>
  <si>
    <t>XPA-CB-12034-APO</t>
  </si>
  <si>
    <t>Xpander Optical Smoke Detector ans Mounting Base</t>
  </si>
  <si>
    <t>XPA-CB-14001-APO</t>
  </si>
  <si>
    <t>Xpander Sounder with Mounting Base (RED)</t>
  </si>
  <si>
    <t>XPA-CB-14002-APO</t>
  </si>
  <si>
    <t>Xpander Sounder with Mounting Base (WHITE)</t>
  </si>
  <si>
    <t>XPA-CB-14003-APO</t>
  </si>
  <si>
    <t>Xpander Sound VI (RED) with Mounting Base (RED)</t>
  </si>
  <si>
    <t>XPA-CB-14004-APO</t>
  </si>
  <si>
    <t>Xpander Sound VI (AMBER) with Mounting Base (WHITE)</t>
  </si>
  <si>
    <t>XPA-CB-14016-APO</t>
  </si>
  <si>
    <t>Xpander Sounder Base &amp; Optical Detector</t>
  </si>
  <si>
    <t>XPA-CB-14017-APO</t>
  </si>
  <si>
    <t>Xpander Sounder Base &amp; Heat Detector Class A1R</t>
  </si>
  <si>
    <t>XPA-CB-14018-APO</t>
  </si>
  <si>
    <t>Xpander Sounder Base &amp; Heat Detector Class CS</t>
  </si>
  <si>
    <t>XPA-CB-14020-APO</t>
  </si>
  <si>
    <t>Xpander Sounder VI Base (RED LENS) &amp; Optical Detector</t>
  </si>
  <si>
    <t>XPA-CB-14021-APO</t>
  </si>
  <si>
    <t>Xpander Sounder VI Base (RED LENS) &amp; Heat Detector A1R</t>
  </si>
  <si>
    <t>XPA-CB-14022-APO</t>
  </si>
  <si>
    <t>Xpander Sounder VI Base (RED LENS) &amp; Heat Detector CS</t>
  </si>
  <si>
    <t>XPA-CB-14024-APO</t>
  </si>
  <si>
    <t>Xpander Sounder VI Base (CLEAR LENS) &amp; Optical Detector</t>
  </si>
  <si>
    <t>XPA-CB-14025-APO</t>
  </si>
  <si>
    <t>Xpander Sounder VI Base (CLEAR LENS) &amp; Heat  Detector A1R</t>
  </si>
  <si>
    <t>XPA-HT-11170-APO</t>
  </si>
  <si>
    <t>XPander A1R Heat Detector</t>
  </si>
  <si>
    <t>XPA-HT-11171-APO</t>
  </si>
  <si>
    <t>XPander CS Heat Detector</t>
  </si>
  <si>
    <t>XPA-CB-14011-APO</t>
  </si>
  <si>
    <t>Xpander Single Channel Input/Output Unit</t>
  </si>
  <si>
    <t>XPA-CB-14012-APO</t>
  </si>
  <si>
    <t>Xpander Dual Channel Input/Output Unit</t>
  </si>
  <si>
    <t>XPA-CB-14050-APO</t>
  </si>
  <si>
    <t>Xpander 868MHx Diversity Interface Module</t>
  </si>
  <si>
    <t>XPA-CB-14006-APO</t>
  </si>
  <si>
    <t>Xpander MCP Integral Radio Base</t>
  </si>
  <si>
    <t>XPA-OP-12034-APO</t>
  </si>
  <si>
    <t>XPander Optical Smoke Detector</t>
  </si>
  <si>
    <t>XPA-SB-10023-APO</t>
  </si>
  <si>
    <t>Xpander Sounder Mounting Base (RED)</t>
  </si>
  <si>
    <t>XPA-SB-10024-APO</t>
  </si>
  <si>
    <t>Xpander Sounder Mounting Base (White)</t>
  </si>
  <si>
    <t>XPA-SN-14003-APO</t>
  </si>
  <si>
    <t>Xpander Sounder Visual Indicator Red</t>
  </si>
  <si>
    <t>XPA-SN-14004-APO</t>
  </si>
  <si>
    <t>Xpander Sounder Visual Indicator Amber</t>
  </si>
  <si>
    <t>XPA-SN-14005-APO</t>
  </si>
  <si>
    <t>Xpander Sounder Visual Indicator Clear</t>
  </si>
  <si>
    <t>XPA-SO-14001-APO</t>
  </si>
  <si>
    <t>Xpander Sounder Red</t>
  </si>
  <si>
    <t>XPA-SO-14002-APO</t>
  </si>
  <si>
    <t>Xpander Sounder White</t>
  </si>
  <si>
    <t>XPA-TE-14075-APO</t>
  </si>
  <si>
    <t>Xpander Diversity 868Mhz Survey Kit</t>
  </si>
  <si>
    <t>XPA-WB-10022-APO</t>
  </si>
  <si>
    <t>Xpander Combined Sounder Base</t>
  </si>
  <si>
    <t>XPA-WB-14036-APO</t>
  </si>
  <si>
    <t>XPA-WB-14037-APO</t>
  </si>
  <si>
    <t>Xpander Combined Sounder Visual Indicator Base (RED)</t>
  </si>
  <si>
    <t>XPA-AE-14008-APO</t>
  </si>
  <si>
    <t>Xpander Omni-Directiona Aerial</t>
  </si>
  <si>
    <t>XPA-AE-14009-APO</t>
  </si>
  <si>
    <t>Xpander Directional Aerial</t>
  </si>
  <si>
    <t>XPA-TE-14076-APO</t>
  </si>
  <si>
    <t>Xpander Diversity 868Mhz Survey Unit</t>
  </si>
  <si>
    <t>XPA-CB-14005-APO</t>
  </si>
  <si>
    <t>Xpander Sounder VI (Clear) with mounting Base( White)</t>
  </si>
  <si>
    <t>XPA-CB-14026-APO</t>
  </si>
  <si>
    <t>Xpander Sounder VI base (Clear Lens) and Heat Detector CS</t>
  </si>
  <si>
    <t>XPA-AE-14014-APO</t>
  </si>
  <si>
    <t>Xpander Weather Resistant Omni-Directional Aerial</t>
  </si>
  <si>
    <t>XPA-IN-14102-APO</t>
  </si>
  <si>
    <t>Xpander Remote Indicator Module</t>
  </si>
  <si>
    <t>MULTISENSOR DETECTOR</t>
  </si>
  <si>
    <t>58000-305APO</t>
  </si>
  <si>
    <t>Discovery CO/Heat Multisensor Detector</t>
  </si>
  <si>
    <t>58000-300APO</t>
  </si>
  <si>
    <t>Discovery Carbon Monoxide Detector</t>
  </si>
  <si>
    <t>55000-885APO</t>
  </si>
  <si>
    <t>XP95 Multisensor Detector</t>
  </si>
  <si>
    <t>6" FIRE BELL</t>
  </si>
  <si>
    <t>29600-400</t>
  </si>
  <si>
    <t>Bell</t>
  </si>
  <si>
    <t>55000-886</t>
  </si>
  <si>
    <t>XP95A Multisensor Detector</t>
  </si>
  <si>
    <t>Made in U.K. 8 years Warranty</t>
  </si>
  <si>
    <t>UL LISTED ADDRESSABLE DEVICES - DISCOVERY SERIES</t>
  </si>
  <si>
    <t>58000-450</t>
  </si>
  <si>
    <t>Discovery UL Heat Detector w/out Base</t>
  </si>
  <si>
    <t>UL Listed
8Years Warranty</t>
  </si>
  <si>
    <t>58000-750</t>
  </si>
  <si>
    <t>Discovery UL Multisensor Detector w/out Base</t>
  </si>
  <si>
    <t>UL LISTED ADDRESSABLE PULL STATION AND SOUNDERS/BEACONS</t>
  </si>
  <si>
    <t>56000-005USA</t>
  </si>
  <si>
    <t>Dual Action Addressable Manual Pull Station w/out backbox</t>
  </si>
  <si>
    <t>56000-006USA</t>
  </si>
  <si>
    <t>Backbox</t>
  </si>
  <si>
    <t>58000-011USA</t>
  </si>
  <si>
    <t>Discovery Open-Area Sounder Beacon (UL) - Red</t>
  </si>
  <si>
    <t>55000-041USA</t>
  </si>
  <si>
    <t>XP95A Intelligent Open Area Sounder (U)-Red</t>
  </si>
  <si>
    <t>XP95A UL</t>
  </si>
  <si>
    <t>55000-805USA</t>
  </si>
  <si>
    <t>XP95A Switch Monitor Module</t>
  </si>
  <si>
    <t>55000-806USA</t>
  </si>
  <si>
    <t>XP95A Priority Switch Monitor Module</t>
  </si>
  <si>
    <t>55000-790USA</t>
  </si>
  <si>
    <t>XP95A Dual Priority Switch Monitor Module</t>
  </si>
  <si>
    <t>55000-820USA</t>
  </si>
  <si>
    <t>XP95A Switch Monitor Input/Output Module</t>
  </si>
  <si>
    <t>55000-825USA</t>
  </si>
  <si>
    <t>XP95A Sounder Control Module Monitor</t>
  </si>
  <si>
    <t>55000-863USA</t>
  </si>
  <si>
    <t>XP95A Relay Output Module</t>
  </si>
  <si>
    <t>55000-859USA</t>
  </si>
  <si>
    <t>55000-765USA</t>
  </si>
  <si>
    <t>Mini Monitor Module</t>
  </si>
  <si>
    <t>45681-526</t>
  </si>
  <si>
    <t>XP95A Sounder Visual Indicator Base (red LEDs)</t>
  </si>
  <si>
    <t>55000-830</t>
  </si>
  <si>
    <t>SIEMENS</t>
  </si>
  <si>
    <t>S54433-C112-A1</t>
  </si>
  <si>
    <t>FC361-ZZ Fire panel (1 loop)</t>
  </si>
  <si>
    <t>S54433-C119-A1</t>
  </si>
  <si>
    <t>FC362-ZZ FC362 Equivalent - 2 loops
(available on August 2023)</t>
  </si>
  <si>
    <t>S54310-F101-A1</t>
  </si>
  <si>
    <t>OP360 smoke detector</t>
  </si>
  <si>
    <t>S54310-F104-A1</t>
  </si>
  <si>
    <t>HI360 heat detectors</t>
  </si>
  <si>
    <t>S54310-F102-A1</t>
  </si>
  <si>
    <t>OH360 multi-sensor detectors</t>
  </si>
  <si>
    <t>S54319-F11-A1</t>
  </si>
  <si>
    <t>DB721 DB721 Detector base with loop 
contact (1 year Warranty)</t>
  </si>
  <si>
    <t>S54319-F5-A1</t>
  </si>
  <si>
    <t>DBS720 DBS720 Sounder base (1 year 
Warranty)</t>
  </si>
  <si>
    <t>S54311-F111-A1</t>
  </si>
  <si>
    <t>4" Conventional Sounder Base
 FDM365-RP manual call points</t>
  </si>
  <si>
    <t>A5Q00013437</t>
  </si>
  <si>
    <t>FDMH295-R Back box</t>
  </si>
  <si>
    <t>S54364-F105-A</t>
  </si>
  <si>
    <t>FDS366-RR sounder beacon</t>
  </si>
  <si>
    <t>S54364-F101-A1</t>
  </si>
  <si>
    <t>FDS364-R sounder</t>
  </si>
  <si>
    <t>S54364-B1-A1</t>
  </si>
  <si>
    <t>FDB226-R FDB226-R Base (wall 
mounting) (1 year Warranty)</t>
  </si>
  <si>
    <t>S54329-F9-A1</t>
  </si>
  <si>
    <t>FDS183C-EN CON SOUND BEACON 
(EN)</t>
  </si>
  <si>
    <t>S54322-F6-A1</t>
  </si>
  <si>
    <t>FDCI723 FDCI723 Zone module, 
external powered (1 year Warranty)</t>
  </si>
  <si>
    <t>A5Q00001984</t>
  </si>
  <si>
    <t>FDCI222 FDCI222 Input modul 4-IN (1 
year Warranty)</t>
  </si>
  <si>
    <t>A5Q00002369</t>
  </si>
  <si>
    <t>FDCIO222 FDCIO222 In-/Output 
module 4-IN / OUT (1 year Warranty)</t>
  </si>
  <si>
    <t>S54312-F102-A1</t>
  </si>
  <si>
    <t>1 FDCIO361 O/P Module</t>
  </si>
  <si>
    <t>S54312-F101-A1</t>
  </si>
  <si>
    <t>FDCI361 I/P Modules</t>
  </si>
  <si>
    <t>S54312-F3-A1</t>
  </si>
  <si>
    <t>FDCH221 FDCH221 Housing (1 year 
Warranty)</t>
  </si>
  <si>
    <t>A5Q00014104</t>
  </si>
  <si>
    <t>FT2010-A1 FT2010-A1 Floor repeater 
terminal (1 year Warranty)</t>
  </si>
  <si>
    <t>A5Q00017706</t>
  </si>
  <si>
    <t>FT2011-A1 FT2011-A1 Floor repeater 
display (1 year Warranty)</t>
  </si>
  <si>
    <t>S54372-F5-A1</t>
  </si>
  <si>
    <t>DB110 DB110 Detector Base 
(Collective) (1 year Warranty)</t>
  </si>
  <si>
    <t>S54372-F4-A1</t>
  </si>
  <si>
    <t>OP110 OP110 Smoke detector - 
Collective (1 year Warranty)</t>
  </si>
  <si>
    <t>S54372-F9-A1</t>
  </si>
  <si>
    <t>HI110 HI110 Heat detector (collective,RoR) (1 year Warranty)</t>
  </si>
  <si>
    <t>S54400-S122-A1</t>
  </si>
  <si>
    <t>FP120-Z1 FP120-Z1 Power supply kit A 
70W (1 year Warranty)</t>
  </si>
  <si>
    <t>S54433-C105-A1</t>
  </si>
  <si>
    <t>FC901-U3 50 Pt Electronic Kit - Main Board - 
170W PS (1 year Warranty)</t>
  </si>
  <si>
    <t>S54433-B103-A4</t>
  </si>
  <si>
    <t>FH901-R3 FH901-R3 Cerberus housing (red) 
(Made in Germany)
(1 year Warranty)</t>
  </si>
  <si>
    <t>S54400-C14-A1</t>
  </si>
  <si>
    <t>FC922-US 252-point system with 170W 
power supply and standard operator 
interface
Consists of: One FCM2018-U3, one FP2011-
U1, one FCI2016-U1 (1 year Warranty)</t>
  </si>
  <si>
    <t>S54400-C55-A2</t>
  </si>
  <si>
    <t>FHK2002-R3 Red 2 Height Unit 1 Window 
Enclosure kit (for FC922, FC924)
Consists of: One FHB2002-R1, one FHD2004-
U1, one FHD2006-U1, one FHD2002-R3 (1 
year Warranty)</t>
  </si>
  <si>
    <t>S54400-C15-A1</t>
  </si>
  <si>
    <t>FC924-US 504-point system with 170W 
power supply and standard operator 
interface
Consists of: One FCM2018-U3, one FP2011-
U1, one FCI2017-U1</t>
  </si>
  <si>
    <t>S54400-C21-A1</t>
  </si>
  <si>
    <t>FC924-UT 504-point system with 300W 
power supply and standard operator 
interface
Consists of: One FCM2018-U3, one FP2012-
U1, one FCI2017-
with FHK20002U1 (1 year Warranty)</t>
  </si>
  <si>
    <t>S54433-B103-A3</t>
  </si>
  <si>
    <t>FH901-U3 50 pt system Black Enclosure (1 
year Warranty)</t>
  </si>
  <si>
    <t>S54400-B53-A1</t>
  </si>
  <si>
    <t>FHD2005-U1 Inner door (solid, black) (1 year 
Warranty)</t>
  </si>
  <si>
    <t>S54320-F4-A2</t>
  </si>
  <si>
    <t>OP921 Optical Smoke Detector (1 year 
Warranty)</t>
  </si>
  <si>
    <t>S54320-F5-A2</t>
  </si>
  <si>
    <t>HI921 Heat Detector (1 year Warranty)</t>
  </si>
  <si>
    <t>BPZ:500-094151</t>
  </si>
  <si>
    <t>DB-11 6" DETECTOR BASE ASSY (1 year 
Warranty)</t>
  </si>
  <si>
    <t>S54321-F7-A1</t>
  </si>
  <si>
    <t>XMS-S XMS-S Address, single act MPS 
Isolation (1 year Warranty)</t>
  </si>
  <si>
    <t>S54321-F8-A1</t>
  </si>
  <si>
    <t>XMS-D XMS-D Address, double act MPS 
Isolation (1 year Warranty)</t>
  </si>
  <si>
    <t>BPZ:500-034860</t>
  </si>
  <si>
    <t>HCP Intelligent Control Point (1 year 
Warranty)</t>
  </si>
  <si>
    <t>S54370-B3-A1</t>
  </si>
  <si>
    <t>XTRI-S Single Input Monitor Module with 
Built-In Isolator (1 year Warranty)</t>
  </si>
  <si>
    <t>S54370-B2-A1</t>
  </si>
  <si>
    <t>XTRI-D Dual Input Monitor Module, with 
Built-In Isolator (1 year Warranty)</t>
  </si>
  <si>
    <t>S54370-B1-A1</t>
  </si>
  <si>
    <t>XTRI-R Single Input Monitor Module with 
Relay with Built-In Isolator (1 year Warranty)</t>
  </si>
  <si>
    <t>BPZ:500-034850</t>
  </si>
  <si>
    <t>HZM CONVENTIONAL ZONE MODULE (1 year 
Warranty)</t>
  </si>
  <si>
    <t>S54322-F4-A1</t>
  </si>
  <si>
    <t>FDCIO422 4 Input / 4 Output Monitor 
Module (1 year Warranty)</t>
  </si>
  <si>
    <t>S54339-A3-A1</t>
  </si>
  <si>
    <t>PAD-4-9A Complete 9 amp PAD-4 kit 
(enclosure, board, 300W power supply) (1 
year Warranty)</t>
  </si>
  <si>
    <t>S54339-A1-A1</t>
  </si>
  <si>
    <t>PAD-4-6A Complete 6 amp PAD-4 kit 
(enclosure, board, 170W power supply) (1 
year Warranty)</t>
  </si>
  <si>
    <t>S54400-A39-A1</t>
  </si>
  <si>
    <t>FCA2016-U1 RS485 class A module (iso.) (1 
year Warranty)</t>
  </si>
  <si>
    <t>S54400-B16-A1</t>
  </si>
  <si>
    <t>FT2015-R3 Remote terminal (key, red) (1 
year Warranty)</t>
  </si>
  <si>
    <t>S54400-A142-A1</t>
  </si>
  <si>
    <t>FT2007-U1 LED ANNUNCIATOR DRIVER (1 
year Warranty)</t>
  </si>
  <si>
    <t>S54400-B73-A1</t>
  </si>
  <si>
    <t>FT2014-R3 Remote display (red) (1 year 
Warranty</t>
  </si>
  <si>
    <t>S54333-C92-A1</t>
  </si>
  <si>
    <t>FDAZ292 FDAZ292 ASD filter box (1 year 
Warranty)</t>
  </si>
  <si>
    <t>S54333-F17-A1</t>
  </si>
  <si>
    <t>FDA241 FDA241 Aspirating Smoke Detector 
(8H) (1 year Warranty)</t>
  </si>
  <si>
    <t>BPZ:500-699427</t>
  </si>
  <si>
    <t>PFT PORTABLE FIREFIGHTERS TELEPHONE
FIELD MOUNTED (1 year Warranty</t>
  </si>
  <si>
    <t>BPZ:500-690975</t>
  </si>
  <si>
    <t>FJ-303 PHONE JACK
FIELD MOUNTED (1 year Warranty)</t>
  </si>
  <si>
    <t>S54329-F99-A1</t>
  </si>
  <si>
    <t>SL2HSWR-F HORN STB WALL RED CLEAR 
FIRE 
(Made in Germany)
(1 year Warranty)</t>
  </si>
  <si>
    <t>BPZ:500-033270</t>
  </si>
  <si>
    <t>RPM REMOTE PRINTER MODULE (RS232,
PARALLEL PRINTER PORT)
FIELD MOUNTED (1 year Warranty)</t>
  </si>
  <si>
    <t>NUMENS</t>
  </si>
  <si>
    <t>261-001</t>
  </si>
  <si>
    <t>400-003</t>
  </si>
  <si>
    <t>4000-14</t>
  </si>
  <si>
    <t>4001-13</t>
  </si>
  <si>
    <t>4004-04/07 PSU</t>
  </si>
  <si>
    <t>401-001</t>
  </si>
  <si>
    <t>402-001</t>
  </si>
  <si>
    <t>402-003</t>
  </si>
  <si>
    <t>407-001</t>
  </si>
  <si>
    <t>407-002</t>
  </si>
  <si>
    <t>440-001</t>
  </si>
  <si>
    <t>440-002</t>
  </si>
  <si>
    <t>441-001</t>
  </si>
  <si>
    <t>442-001</t>
  </si>
  <si>
    <t>442-003</t>
  </si>
  <si>
    <t>442-004</t>
  </si>
  <si>
    <t>447-006</t>
  </si>
  <si>
    <t>460-002</t>
  </si>
  <si>
    <t>460-007</t>
  </si>
  <si>
    <t>460-009</t>
  </si>
  <si>
    <t>463-001</t>
  </si>
  <si>
    <t>487-004</t>
  </si>
  <si>
    <t>487-005</t>
  </si>
  <si>
    <t>487-007</t>
  </si>
  <si>
    <t>620-002</t>
  </si>
  <si>
    <t>620-003</t>
  </si>
  <si>
    <t>621-002</t>
  </si>
  <si>
    <t>621-006</t>
  </si>
  <si>
    <t>621-007</t>
  </si>
  <si>
    <t>622-001</t>
  </si>
  <si>
    <t>640-001</t>
  </si>
  <si>
    <t>640-004</t>
  </si>
  <si>
    <t>641-003</t>
  </si>
  <si>
    <t>641-006</t>
  </si>
  <si>
    <t>660-001</t>
  </si>
  <si>
    <t>680-001</t>
  </si>
  <si>
    <t>682-002</t>
  </si>
  <si>
    <t>684-001</t>
  </si>
  <si>
    <t>CN3021</t>
  </si>
  <si>
    <t>CN3023</t>
  </si>
  <si>
    <t>CN302A</t>
  </si>
  <si>
    <t>CN3041</t>
  </si>
  <si>
    <t>CN3043</t>
  </si>
  <si>
    <t>CN304A</t>
  </si>
  <si>
    <t>HNA-360-H2</t>
  </si>
  <si>
    <t>HNA-360-HL</t>
  </si>
  <si>
    <t>HNC-310-H2</t>
  </si>
  <si>
    <t>HNC-310-H2-U</t>
  </si>
  <si>
    <t>HNC-310-HL</t>
  </si>
  <si>
    <t>HNC-310-HR</t>
  </si>
  <si>
    <t>SNA-360-C2</t>
  </si>
  <si>
    <t>SNA-360-CL</t>
  </si>
  <si>
    <t>SNC-300-C2-U</t>
  </si>
  <si>
    <t>SNC-300-CL-U</t>
  </si>
  <si>
    <t>SNC-300-S2</t>
  </si>
  <si>
    <t>SNC-300-S2-U</t>
  </si>
  <si>
    <t>SND-500-S</t>
  </si>
  <si>
    <t>COOPER</t>
  </si>
  <si>
    <t>NON UL</t>
  </si>
  <si>
    <t>FX2202/CF-CPD</t>
  </si>
  <si>
    <t>Fire Alarm Control Panel 2 zones (no warranty)</t>
  </si>
  <si>
    <t>Fire Alarm Control Panel 2 zones  w/ AVR (w/ warranty)</t>
  </si>
  <si>
    <t>FX2204/CF-CPD</t>
  </si>
  <si>
    <t>Fire Alarm Control Panel 4 zones (no warranty)</t>
  </si>
  <si>
    <t>Fire Alarm Control Panel 4 zones w/AVR  (w/ warranty)</t>
  </si>
  <si>
    <t>EFBW8ZFLEXI</t>
  </si>
  <si>
    <t>EATON BIWIRE 8-ZONE PANEL W/ BATTERY &amp; 500W AVR</t>
  </si>
  <si>
    <t>Replacement unit of  FX2208/CF-CPD</t>
  </si>
  <si>
    <t>EFCV8Z</t>
  </si>
  <si>
    <t>Fire Alarm Control Panel 8 zones (no warranty)</t>
  </si>
  <si>
    <t>Fire Alarm Control Panel 8 zones w/ AVR (w/ warranty)</t>
  </si>
  <si>
    <t>CF50016</t>
  </si>
  <si>
    <t>Fire Alarm Control Panel 16 zones (no warranty)</t>
  </si>
  <si>
    <t>Fire Alarm Control Panel 16 zones w/ AVR (w/ warranty) w/relay board</t>
  </si>
  <si>
    <t>CPD-321 + CDBB-300</t>
  </si>
  <si>
    <t>Photoelectric  Smoke Detector + CDBB300 Base</t>
  </si>
  <si>
    <t>Other Model: EFXN533 + EFXN520</t>
  </si>
  <si>
    <t>CDBB-300 / EFXN520</t>
  </si>
  <si>
    <t>COOPER FIRE MOUNTING LOCKING BASE</t>
  </si>
  <si>
    <t>CXN-623</t>
  </si>
  <si>
    <t>Photoelectric  Smoke Detector</t>
  </si>
  <si>
    <t>CPT-341</t>
  </si>
  <si>
    <t>Combined Photo Thermal Smoke  Detector</t>
  </si>
  <si>
    <t>CFR-330</t>
  </si>
  <si>
    <t>Rate of Rise Heat Detector w/base 60deg. C</t>
  </si>
  <si>
    <t>CMT-360/EFXN524</t>
  </si>
  <si>
    <t>COOPER FIRE MEDIUM RESPONSE HEAT DETECTOR</t>
  </si>
  <si>
    <t>CHT-390</t>
  </si>
  <si>
    <t>Heat Detector  High Temperature (92°c) w/base</t>
  </si>
  <si>
    <t>CX-201</t>
  </si>
  <si>
    <t>Convntionl Manual Callpoint w/back box + Hinged Plastic Cover + Bezel for Flush Mount (to cover 2x4 utility box) MBGHCC+MBGBEZ</t>
  </si>
  <si>
    <t>CFB6D24</t>
  </si>
  <si>
    <t>Alarm Bell 24VDC Solenoid 6" 95DB</t>
  </si>
  <si>
    <t>CFB8D24</t>
  </si>
  <si>
    <t>Alarm Bell 24VDC Solenoid 8" 97DB</t>
  </si>
  <si>
    <t>HNR</t>
  </si>
  <si>
    <t>Sounder</t>
  </si>
  <si>
    <t>HSR</t>
  </si>
  <si>
    <t>Sounder/Beacon</t>
  </si>
  <si>
    <t>FL-RL-R-S</t>
  </si>
  <si>
    <t>Flashni 32 tone Horn Sounder w/Strobe (Shallow Base)</t>
  </si>
  <si>
    <t>FL-RL-R-D</t>
  </si>
  <si>
    <t>Flashni 32 tone Horn Sounder w/Strobe (Deep Base) surface mount</t>
  </si>
  <si>
    <t>ROLP-R-S</t>
  </si>
  <si>
    <t>Roshni 32 tone Horn Sounder 24VDC 102 DB Surface Mouny</t>
  </si>
  <si>
    <t>MXB-124DB</t>
  </si>
  <si>
    <t>Xenon Strobe Light 1W Flush Mount</t>
  </si>
  <si>
    <t>BW0B8Z</t>
  </si>
  <si>
    <t>Relay Board for Annunciator for 8 zones</t>
  </si>
  <si>
    <t>MDS-824</t>
  </si>
  <si>
    <t>Base Mountable Sounder</t>
  </si>
  <si>
    <t>MBD-50R/MRBFP</t>
  </si>
  <si>
    <t>Reflective Beam Detector 50M w/Mounting Bracket for MBD50R</t>
  </si>
  <si>
    <t>MBD-100R/MRBFP</t>
  </si>
  <si>
    <t>Reflective Beam Detector 50M w/Mounting Bracket for MBD100R</t>
  </si>
  <si>
    <t>FX-251/C</t>
  </si>
  <si>
    <t>Remote LED Indicator for (Doors/Hallways &amp; Remote Areas)</t>
  </si>
  <si>
    <t>CIR-301</t>
  </si>
  <si>
    <t>Remote LED Indicator for (Doors/Hallways &amp; Remote Areas) IP66</t>
  </si>
  <si>
    <t>EOLM</t>
  </si>
  <si>
    <t>Active end of Line Resistor</t>
  </si>
  <si>
    <t>SD1-EUR</t>
  </si>
  <si>
    <t>Speech Dialer</t>
  </si>
  <si>
    <t>SQ-/03/W</t>
  </si>
  <si>
    <t>Ceiling Sounder Base for attachment to any detector</t>
  </si>
  <si>
    <t>SQ-/05/W</t>
  </si>
  <si>
    <t>CX-009</t>
  </si>
  <si>
    <t>Hi-Output Sounder 102DB</t>
  </si>
  <si>
    <t>MBG-HCC</t>
  </si>
  <si>
    <t>Hinged Transparent Plastic Cover Only</t>
  </si>
  <si>
    <t>MBGBEZ</t>
  </si>
  <si>
    <t>Bezel for Flush Mount Call Point Only</t>
  </si>
  <si>
    <t>MBG-118</t>
  </si>
  <si>
    <t>Replacement Glass Only</t>
  </si>
  <si>
    <t>Y3.2-12</t>
  </si>
  <si>
    <t>Yuasa lead Acid Battery 12V 3.2Ah</t>
  </si>
  <si>
    <t>Y2.1-12</t>
  </si>
  <si>
    <t>Yuasa lead Acid Battery 12V 12 Ah</t>
  </si>
  <si>
    <t>CF-1100VDS</t>
  </si>
  <si>
    <t>Fire Alarm Control Panel Addressble 1 loop  w/ AVR  with  warranty)</t>
  </si>
  <si>
    <t>CF-1200VDS</t>
  </si>
  <si>
    <t>Fire Alarm Control Panel Addressble 2loops (No warranty)</t>
  </si>
  <si>
    <t>Fire Alarm Control Panel Addressble 2 loops  w/ AVR  with  warranty)</t>
  </si>
  <si>
    <t>CF-1200VDSNC</t>
  </si>
  <si>
    <t>Fire Alarm Control Panel Addressble 2 loops  w/ AVR  with  warranty) w/ Network Card</t>
  </si>
  <si>
    <t>CF-30002G</t>
  </si>
  <si>
    <t>Fire Alarm Control Panel 2 loops up to 200 addresses per loop  w/ AVR  with  warranty)</t>
  </si>
  <si>
    <t>CF-30002GNC</t>
  </si>
  <si>
    <t>Fire Alarm Control Panel 2 loops up to 200 addresses per loop  w/ AVR  with  warranty) w/ Network Card</t>
  </si>
  <si>
    <t>CF-30004G</t>
  </si>
  <si>
    <t>Fire Alarm Control Panel 4 loops up to 200 addresses per loop  w/ AVR  with  warranty)</t>
  </si>
  <si>
    <t>CF-30004GNC</t>
  </si>
  <si>
    <t>Fire Alarm Control Panel 4 loops up to 200 addresses per loop  w/ AVR  with  warranty) w/ Network Card</t>
  </si>
  <si>
    <t>CF-30004GP</t>
  </si>
  <si>
    <t>Fire Alarm Control Panel 4 loops up to 200 addresses per loop  w/ AVR  with  warranty) w/ Printer</t>
  </si>
  <si>
    <t>CF-30004GPNC</t>
  </si>
  <si>
    <t>Fire Alarm Control Panel 4 loops up to 200 addresses per loop  w/ AVR  with  warranty) w/ Printer w/ Network Card</t>
  </si>
  <si>
    <t>CAP-320</t>
  </si>
  <si>
    <t>Smoke Photoelectric Detector Headsw/base CAB-300</t>
  </si>
  <si>
    <t>CAPT-340</t>
  </si>
  <si>
    <t>Combined Photo Thermal Detector Heads w/ base CAB-300</t>
  </si>
  <si>
    <t>CAH-330</t>
  </si>
  <si>
    <t>Heat Multi Mode Detector Heads w/Base CAB-300</t>
  </si>
  <si>
    <t>CBG-370S</t>
  </si>
  <si>
    <t>Addressble Manual Call Point + MBGHXCC Hinged Plastic + MBGBEZ Bezel for Flush Mount Call Point</t>
  </si>
  <si>
    <t>CAS-380</t>
  </si>
  <si>
    <t>Sounder Base ceiling Mount 95db</t>
  </si>
  <si>
    <t>CAS-381</t>
  </si>
  <si>
    <t>3 tone Sounder wall mount 100DB</t>
  </si>
  <si>
    <t>CASB-383</t>
  </si>
  <si>
    <t>COOPER 3-TONE COMBINATION SOUNDER &amp; BEACON
100dB</t>
  </si>
  <si>
    <t>MIU-871</t>
  </si>
  <si>
    <t>Zone monitor Module</t>
  </si>
  <si>
    <t>MIU-872X</t>
  </si>
  <si>
    <t>Compact Zone Monitor  Module used with 20 Conv. Detectors &amp; unlimited no. of Call points</t>
  </si>
  <si>
    <t>MCIM</t>
  </si>
  <si>
    <t>Input Modules Consume 3 addresses</t>
  </si>
  <si>
    <t>MCIM-C</t>
  </si>
  <si>
    <t>Input Modules Consume 1 address</t>
  </si>
  <si>
    <t>MCIM-NF</t>
  </si>
  <si>
    <t>Non Fire Input (Required per zone of conv. Call points, flow switch, tamper switch</t>
  </si>
  <si>
    <t>MCOM-S</t>
  </si>
  <si>
    <t>Control Modules consume 1 address (use for Conv bels Sounders, Beacons, fans,blowers requires separate 24VDC power supply at times)</t>
  </si>
  <si>
    <t>CSI-350-X</t>
  </si>
  <si>
    <t>Spur Isolator Unit Soft address , Single Address, Integral Short Circuit Isolator</t>
  </si>
  <si>
    <t>MIO--1240</t>
  </si>
  <si>
    <t>1 -channel I/O Interface (mains rated 240V 1A)</t>
  </si>
  <si>
    <t>MIO-324</t>
  </si>
  <si>
    <t>3-channel I/O interface</t>
  </si>
  <si>
    <t>CIO-351</t>
  </si>
  <si>
    <t>Modules for sprinkler, magnetic door contact &amp; other motor loads</t>
  </si>
  <si>
    <t>MSU-840</t>
  </si>
  <si>
    <t>Shop interface Unit</t>
  </si>
  <si>
    <t>CF-300PRG</t>
  </si>
  <si>
    <t>Loop Connected Repeater Panel</t>
  </si>
  <si>
    <t>CF-300PRGNC</t>
  </si>
  <si>
    <t>Loop Connected Repeater Panel w/ Network Card</t>
  </si>
  <si>
    <t>MAB-50R</t>
  </si>
  <si>
    <t>Reflective Beam Detector 50R w/Mounting Bracket</t>
  </si>
  <si>
    <t>MAB-100R</t>
  </si>
  <si>
    <t>Reflective Beam Detector 100R w/Mounting Bracket</t>
  </si>
  <si>
    <t>ZPCB2252-MMR</t>
  </si>
  <si>
    <t>Master Relay Mimic Driver for 32 Programmable I/O (used if annunciator is 32 zones , annunciator is required)</t>
  </si>
  <si>
    <t>ZPCB2252-MSR</t>
  </si>
  <si>
    <t>Slave Relay mimic driver for 32 programmable I/O</t>
  </si>
  <si>
    <t>ECO-232</t>
  </si>
  <si>
    <t>Monitor Software</t>
  </si>
  <si>
    <t>USBINT2</t>
  </si>
  <si>
    <t>USB Analog System Panel Interface</t>
  </si>
  <si>
    <t>UCPD-2W</t>
  </si>
  <si>
    <t>UCHR-2W</t>
  </si>
  <si>
    <t>Rate of Rise Heat Detector 135 deg. F</t>
  </si>
  <si>
    <t>UCHT-2W</t>
  </si>
  <si>
    <t>Fixed Heat Detector  , 135 deg. F (2 wire)</t>
  </si>
  <si>
    <t>CB-2E</t>
  </si>
  <si>
    <t>Detector base only</t>
  </si>
  <si>
    <t>SG42BK2</t>
  </si>
  <si>
    <t>Manual Pull Statio, SPST Single Action</t>
  </si>
  <si>
    <t>ZRS-MCW-FR</t>
  </si>
  <si>
    <t>Synchronized Strobe wall mount</t>
  </si>
  <si>
    <t>STR</t>
  </si>
  <si>
    <t>Synchronized Strobe wall mount (Snap)</t>
  </si>
  <si>
    <t>HSR/CN127249</t>
  </si>
  <si>
    <t>Horn Sounder w/strobe wall mount (Snap)</t>
  </si>
  <si>
    <t>Horn Sounder 105db wall mount</t>
  </si>
  <si>
    <t>E70-24MCW-FR</t>
  </si>
  <si>
    <t>Cooper-Wheelock wall Speaker strobe</t>
  </si>
  <si>
    <t>Cooper-Wheelock wall Speaker strobe w/back box</t>
  </si>
  <si>
    <t>HNR/CN126292</t>
  </si>
  <si>
    <t>COOPER HORN, WALL MOUNT SNAP BASE</t>
  </si>
  <si>
    <t>ULCF30002G</t>
  </si>
  <si>
    <t>Fire Alarm Control Panel 2 loops up to 200 addresses per loop  (No warranty)</t>
  </si>
  <si>
    <t>ULCF30002GNC</t>
  </si>
  <si>
    <t>Fire Alarm Control Panel 2 loops up to 200 addresses per loop  (No warranty) w/ Networl Card</t>
  </si>
  <si>
    <t>Fire Alarm Control Panel 2 loops up to 200 addresses per loop  w/ AVR  with  warranty)  w/networkCard</t>
  </si>
  <si>
    <t>ULCF30002GP</t>
  </si>
  <si>
    <t>Fire Alarm Control Panel 2 loops up to 200 addresses per loop  (No warranty) w/ Printer</t>
  </si>
  <si>
    <t>Fire Alarm Control Panel 2 loops up to 200 addresses per loop  w/ AVR  with  warranty)  w/Printer</t>
  </si>
  <si>
    <t>ULCF30002GPNC</t>
  </si>
  <si>
    <t>Fire Alarm Control Panel 2 loops up to 200 addresses per loop  (No warranty) w/ Printer &amp; Network Card</t>
  </si>
  <si>
    <t>Fire Alarm Control Panel 2 loops up to 200 addresses per loop  w/ AVR  with  warranty)  w/Printer &amp; Network Card</t>
  </si>
  <si>
    <t>ULCF-30004G</t>
  </si>
  <si>
    <t>Fire Alarm Control Panel 4 loops up to 200 addresses per loop  (No warranty)</t>
  </si>
  <si>
    <t>ULCF-30004GNC</t>
  </si>
  <si>
    <t>Fire Alarm Control Panel 4 loops up to 200 addresses per loop  (No warranty) w/Network Card</t>
  </si>
  <si>
    <t>ULCF-30004GP</t>
  </si>
  <si>
    <t>Fire Alarm Control Panel 4 loops up to 200 addresses per loop  (No warranty) w/Printer</t>
  </si>
  <si>
    <t>ULCF-30004GPNC</t>
  </si>
  <si>
    <t>Fire Alarm Control Panel 4 loops up to 200 addresses per loop  (No warranty) w/Printer &amp; Network Card</t>
  </si>
  <si>
    <t>Fire Alarm Control Panel 4 loops up to 200 addresses per loop  w/ AVR  with  warranty) w/ Printer &amp; Network Card</t>
  </si>
  <si>
    <t>DF6000PKIT</t>
  </si>
  <si>
    <t>Standard Printer for ULCF3000/CF3000</t>
  </si>
  <si>
    <t>YPCBNCDR</t>
  </si>
  <si>
    <t>Network card for UL Series</t>
  </si>
  <si>
    <t>ULCF3000PRG</t>
  </si>
  <si>
    <t>Loop Repeater</t>
  </si>
  <si>
    <t>ULCTPR3000</t>
  </si>
  <si>
    <t>Touch Screen Repeater Panel w/Network Card</t>
  </si>
  <si>
    <t>ULCAP-320</t>
  </si>
  <si>
    <t>AddressblePhotoelectric Smoke Detector</t>
  </si>
  <si>
    <t>ULCAH-330</t>
  </si>
  <si>
    <t>Addressble Multi Mode Heat Detector</t>
  </si>
  <si>
    <t>UCAB-300</t>
  </si>
  <si>
    <t>Addressable Detector Base only</t>
  </si>
  <si>
    <t>UMPS-100</t>
  </si>
  <si>
    <t>AddressbleManual Call Point w/back Box flush mount</t>
  </si>
  <si>
    <t>ULMIU-872</t>
  </si>
  <si>
    <t>Mini Zone Monitor Module (for Convntionl Devices)</t>
  </si>
  <si>
    <t>ULMCIM-C</t>
  </si>
  <si>
    <t>Mini Single Input Module Consumes 1 address</t>
  </si>
  <si>
    <t>ULMCIM</t>
  </si>
  <si>
    <t>Mini Single Input Module Consumes 3 address</t>
  </si>
  <si>
    <t>ULMCOM</t>
  </si>
  <si>
    <t>Mini Single Output  Control Module consumes 3 address</t>
  </si>
  <si>
    <t>ULMCOM-S</t>
  </si>
  <si>
    <t>Mini Single Output  Control Module consumes 1 address</t>
  </si>
  <si>
    <t>CFVCC-5X</t>
  </si>
  <si>
    <t>Stand Alone Firemans Master Station (non Networkable) VOCALL Compact 5 lines</t>
  </si>
  <si>
    <t>CFVCCM9</t>
  </si>
  <si>
    <t>Line Echange  unit</t>
  </si>
  <si>
    <t>CFVCRH-S</t>
  </si>
  <si>
    <t>Firemans Telephone Handset</t>
  </si>
  <si>
    <t>CFVCRJP</t>
  </si>
  <si>
    <t>Vocal Jack Metal Plate</t>
  </si>
  <si>
    <t>TJ-PR</t>
  </si>
  <si>
    <t>Telephone Modular Jack w/plastic Plate</t>
  </si>
  <si>
    <t>ORENA</t>
  </si>
  <si>
    <t>OT302</t>
  </si>
  <si>
    <t>Conventional Photoelectric Smoke Detector (24VDC, 2-wires non-polarity, high quality photoelectric smoke sensor, w/o base)</t>
  </si>
  <si>
    <t>BULK ORDERS ONLY</t>
  </si>
  <si>
    <t>OT306</t>
  </si>
  <si>
    <t>Conventional Heat Detector
 (24VDC, 2-wires non-polarity, high quality temperature sensor, w/o base)</t>
  </si>
  <si>
    <t>OT101</t>
  </si>
  <si>
    <t>Conventional Smoke Detector
 (9-32VDC, 2-wires, twin LEDs for 360°visibility, with base, remote indicator output and advanced
 MCU expert algorithm software)</t>
  </si>
  <si>
    <t>OT142</t>
  </si>
  <si>
    <t>Conventional 4-Wire Relay Output Smoke
 Detector
 (9-32VDC, 4-wires, twin LEDs for 360°visibility, with base, relay contact output and advanced
 MCU expert algorithm software)</t>
  </si>
  <si>
    <t>OT102</t>
  </si>
  <si>
    <t>Conventional Heat Detector (ROR&amp;FT)
 (9-32VDC, 2-wires, twin LEDs for 360°visibility,
 Rate of Rise detection responds to greater than 15°F/min, Fixed Temperature rating: 135°F, with base, remote indicator output and advanced MCU expert algorithm software)</t>
  </si>
  <si>
    <t>OT103</t>
  </si>
  <si>
    <t>Conventional Smoke &amp; Heat Combination
 Detector
 (9-32VDC, 2-wires, twin LEDs for 360°visibility, with base, remote indicator output and advanced
 MCU expert algorithm software)</t>
  </si>
  <si>
    <t>ODZ3004 / ODZ3007</t>
  </si>
  <si>
    <t>4" Conventional Detector Base
 (for conventional detectors OT302/OT306)</t>
  </si>
  <si>
    <t>ODZ6008</t>
  </si>
  <si>
    <t>4" Conventional Sounder Base
 (Compatible with OT602/ OT603/ OT306 detector, 2-wire 24VDC operated)</t>
  </si>
  <si>
    <t>RM111</t>
  </si>
  <si>
    <t>Remote LED Indicator
 (2-wire, remote LED, red color, indicate a detector in alarm which is positioned in a hidden or obscure location)</t>
  </si>
  <si>
    <t>SL06</t>
  </si>
  <si>
    <t>Remote LED Indicator
 (2-wire, remote LED, white color, indicate a detector in alarm which is positioned in a hidden or obscure location)</t>
  </si>
  <si>
    <t>HS6401</t>
  </si>
  <si>
    <t>Conventional Infrared Radiation Beam Smoke
 Detector
 (24VDC, 3-wires, detection area 100m*14m, with interface module and relay contact output)</t>
  </si>
  <si>
    <t>BD106</t>
  </si>
  <si>
    <t>Conventional Infrared Reflective Beam Smoke
 Detector
 (24VDC, 6-wires, detection area 100m*14m, with fire and fault relay contact output)</t>
  </si>
  <si>
    <t>CF6002</t>
  </si>
  <si>
    <t>Conventional Ultra Violate Flame Detector (9-32VDC, 4-wires, detection distance 25m, with base, relay contact output, high sensitivity UV sensor and advanced MCU expert algorithm software)</t>
  </si>
  <si>
    <t>A7/IR2</t>
  </si>
  <si>
    <t>Explosion-proof Infrared Flame Detector (24VDC, Dual-wave with 2 IR sensors and advanced MCU expert algorithm software, IP66,ExdⅡCT6/DIP A20 TA, T6)</t>
  </si>
  <si>
    <t>OA300</t>
  </si>
  <si>
    <t>Conventional Manual Call Point
 (Break glass, with a test key to test it without breaking the glass)</t>
  </si>
  <si>
    <t>OA302</t>
  </si>
  <si>
    <t>Conventional Manual Call Point
 (With reusable acrylic press plate, protection cover and resettable key)</t>
  </si>
  <si>
    <t>OA306</t>
  </si>
  <si>
    <t>Conventional Manual Call Point
 (with reusable acrylic press plate, action indicator and resettable key)</t>
  </si>
  <si>
    <t>OA301</t>
  </si>
  <si>
    <t>Conventional Manual Pull Station
 (3-wires, push in and pull down call point, resettable, with reset key)</t>
  </si>
  <si>
    <t>OA311</t>
  </si>
  <si>
    <t>Conventional Manual Pull Station
 (Push in and pull down call point, resettable, with reset button and telephone jack)</t>
  </si>
  <si>
    <t>OAWP100</t>
  </si>
  <si>
    <t>Waterproof Box For Manual Call Point
 (Without manual call point)</t>
  </si>
  <si>
    <t>FQ-101</t>
  </si>
  <si>
    <t>Alarm Bell
 (6 inch, DC24V 20mA, 92dB/m, 610g)</t>
  </si>
  <si>
    <t>AGB01</t>
  </si>
  <si>
    <t>Fire Strobe Light
 (flasher, 24VDC operated, built-in self-Sync circuit module, field-selectable flash rate, low current draw)</t>
  </si>
  <si>
    <t>AGB02</t>
  </si>
  <si>
    <t>AGB08</t>
  </si>
  <si>
    <t>YA89</t>
  </si>
  <si>
    <t>Fire Alarm Siren with Bell Design
 (24VDC operated, 2 wires)</t>
  </si>
  <si>
    <t>SL106-1</t>
  </si>
  <si>
    <t>Conventional Sounder
 (24VDC operated, 2 wires)</t>
  </si>
  <si>
    <t>SL106-2</t>
  </si>
  <si>
    <t>Conventional Strobe Siren (24VDC operated, 2 wires)</t>
  </si>
  <si>
    <t>OS109</t>
  </si>
  <si>
    <t>Conventional Sounder Strobe
 (24VDC operated, 2 wires)</t>
  </si>
  <si>
    <t>OS300</t>
  </si>
  <si>
    <t>OS108</t>
  </si>
  <si>
    <t>Conventional Outdoor Waterproof Siren Alarm
 Hooter Horn Strobe
 (12/24VDC operated, 2 wires, very loud sound level 95~115dB, 8-tone selectable, flash
 120times/min)</t>
  </si>
  <si>
    <t>AGB01-W</t>
  </si>
  <si>
    <t>Accessory: Waterproof Embedded Box For
 Fire Strobe Light</t>
  </si>
  <si>
    <t>AGB08-B</t>
  </si>
  <si>
    <t>Accessory: Embedded Box For Fire Strobe
 Light</t>
  </si>
  <si>
    <t>ODH02E</t>
  </si>
  <si>
    <t>Conventional Fire Alarm Panel
 (2 zone, fire relay, fault relay and alarm sounder output, built-in battery charger, w/o battery)</t>
  </si>
  <si>
    <t>ODH04E</t>
  </si>
  <si>
    <t>Conventional Fire Alarm Panel
 (4 zone, fire relay, fault relay and alarm sounder output, built-in battery charger, w/o battery)</t>
  </si>
  <si>
    <t>ODH08E</t>
  </si>
  <si>
    <t>Conventional Fire Alarm Panel
 (8 zone, fire relay, fault relay and alarm sounder output, built-in battery charger, w/o battery)</t>
  </si>
  <si>
    <t>ODH16E</t>
  </si>
  <si>
    <t>Conventional Fire Alarm Panel
 (16 zone, fire relay, fault relay and alarm sounder output, built-in battery charger, w/o battery)</t>
  </si>
  <si>
    <t>ODH32-2</t>
  </si>
  <si>
    <t>Conventional Fire Alarm Panel
 (2 zone, 8×16 characters LCD screen, 4 alarm sounder and programmable relay outputs, delay mode configuration options, built-in battery charger, w/o battery)</t>
  </si>
  <si>
    <t>ODH32-4</t>
  </si>
  <si>
    <t>Conventional Fire Alarm Panel
 (4 zone, 8×16 characters LCD screen, 4 alarm sounder and programmable relay outputs, delay mode configuration options, built-in battery charger, w/o battery)</t>
  </si>
  <si>
    <t>ODH32-8</t>
  </si>
  <si>
    <t>Conventional Fire Alarm Panel
 (8 zone, 8×16 characters LCD screen, 4 alarm sounder and programmable relay outputs, delay mode configuration options, built-in battery charger, w/o battery)</t>
  </si>
  <si>
    <t>ODH32-16</t>
  </si>
  <si>
    <t>Conventional Fire Alarm Panel
 (16 zone, 8×16 characters LCD screen, 4 alarm sounder and programmable relay outputs, delay mode configuration options, built-in battery charger, w/o battery)</t>
  </si>
  <si>
    <t>ODH32-20</t>
  </si>
  <si>
    <t>Conventional Fire Alarm Panel
 (20 zone, 8×16 characters LCD screen, 4 alarm sounder and programmable relay outputs, delay mode configuration options, built-in battery charger, w/o battery)</t>
  </si>
  <si>
    <t>ODH32-24</t>
  </si>
  <si>
    <t>Conventional Fire Alarm Panel
 (24 zone, 8×16 characters LCD screen, 4 alarm sounder and programmable relay outputs, delay mode configuration options, built-in battery charger, w/o battery)</t>
  </si>
  <si>
    <t>ODH32E-32</t>
  </si>
  <si>
    <t>Conventional Fire Alarm Panel
 (32 zone, 8×16 characters LCD screen, 4 alarm sounder and programmable relay outputs, delay mode configuration options, built-in battery charger, w/o battery)</t>
  </si>
  <si>
    <t>ODH1004</t>
  </si>
  <si>
    <t>Conventional Fire Alarm Panel (4 zone, 1 alarm sounder output, built-in style Y (class B) notification appliance circuits (NACs), one-man walk-test programmable for silent or audible test, built-in battery charger, w/o battery)</t>
  </si>
  <si>
    <t>ODH1008</t>
  </si>
  <si>
    <t>Conventional Fire Alarm Panel (8 zone, 2 alarm sounder outputs, built-in style Y (class B) notification appliance circuits (NACs), one-man walk-test programmable for silent or audible test, built-in battery charger, w/o battery)</t>
  </si>
  <si>
    <t>ODH1016</t>
  </si>
  <si>
    <t>Conventional Fire Alarm Panel (16 zone, 2 alarm sounder outputs, built-in style Y (class B) notification appliance circuits (NACs), one-man walk-test programmable for silent or audible test, built-in battery charger, w/o battery)</t>
  </si>
  <si>
    <t>RP1016</t>
  </si>
  <si>
    <t>Conventional Fire Alarm Repeater (16 zone)</t>
  </si>
  <si>
    <t>OT602</t>
  </si>
  <si>
    <t>Addressable Photoelectric Smoke Detector (24VDC, 2-wires non-polarity, micro-processor inside with expert algorithm software, responds quickly to low-burning and smoldering fires, w/o base)</t>
  </si>
  <si>
    <t>OT603</t>
  </si>
  <si>
    <t>Addressable Heat Detector
 (24VDC, 2-wires non-polarity, micro-processor inside, be used for applications where smoke detectors are unsuitable, ideal for environments that are dirty, smoky or steamy under natural conditions, w/o base)</t>
  </si>
  <si>
    <t>OT8023</t>
  </si>
  <si>
    <t>Addressable Smoke&amp;Heat Combination
 Detector (24VDC,
 2-wires non-polarity, micro-processor inside with expert algorithm software, give early warning for the presence of heat and smoke in the supervised area. Both heat and smoke alarm can be generated individually, w/o base)</t>
  </si>
  <si>
    <t>OT202</t>
  </si>
  <si>
    <t>Addressable Combustible Gas Detector
 (24VDC, 2-wires non-polarity, micro-processor inside with expert algorithm software, w/o base)</t>
  </si>
  <si>
    <t>ODZ6004</t>
  </si>
  <si>
    <t>4" Addressable Detector Base
 (for addressable detectors OT602/OT603)</t>
  </si>
  <si>
    <t>ODZ6010</t>
  </si>
  <si>
    <t>4" Addressable Sounder Base
 (Compatible with OT602/ OT603/ OT306 detector, for Strobe Siren, 4-wires)</t>
  </si>
  <si>
    <t>OA610</t>
  </si>
  <si>
    <t>Addressable Manual Call Point
 (2-wires, resettable, with telephone jack and reset key)</t>
  </si>
  <si>
    <t>OA810</t>
  </si>
  <si>
    <t>OX620</t>
  </si>
  <si>
    <t>Addressable Hydrant Button
 (6-wires, manually alarm and start fire pump, resettable, with feedback input terminals, telephone jack and reset key)</t>
  </si>
  <si>
    <t>OS831</t>
  </si>
  <si>
    <t>Addressable Sounder &amp; Strobe
 (24VDC operated, 4 wires)</t>
  </si>
  <si>
    <t>OS99</t>
  </si>
  <si>
    <t>OM611</t>
  </si>
  <si>
    <t>Addressable Input/Output Module
 (Supervised relay module)</t>
  </si>
  <si>
    <t>OM621</t>
  </si>
  <si>
    <t>Addressable Dual Input/Output Module
 (Supervised relay module, dual contact output)</t>
  </si>
  <si>
    <t>OM612</t>
  </si>
  <si>
    <t>Addressable Input Module
 (Contact monitor module)</t>
  </si>
  <si>
    <t>OM622</t>
  </si>
  <si>
    <t>Addressable Dual Input Module
 (Contact monitor module)</t>
  </si>
  <si>
    <t>OM613</t>
  </si>
  <si>
    <t>Zone Module
 (Conventional Detectors Interface Module, connect with conventional detectors)</t>
  </si>
  <si>
    <t>OM515</t>
  </si>
  <si>
    <t>Short Circuit Isolator
 (Short circuit and over current protection)</t>
  </si>
  <si>
    <t>OMDZ51</t>
  </si>
  <si>
    <t>Module Base</t>
  </si>
  <si>
    <t>OMX</t>
  </si>
  <si>
    <t>6 in 1 Modules Container
 (Terminals box)</t>
  </si>
  <si>
    <t>OZH100</t>
  </si>
  <si>
    <t>Addressable Fire Alarm Control Panel
 (1 loop 248 address points, with battery charger, w/o battery)</t>
  </si>
  <si>
    <t>OZH4800E-2</t>
  </si>
  <si>
    <t>Addressable Fire Alarm Control Panel
 (2 loop 384 address points, with battery charger, w/o battery)</t>
  </si>
  <si>
    <t>OZH4800E</t>
  </si>
  <si>
    <t>Addressable Fire Alarm Control Panel
 (4 loop 768 address points, with battery charger, w/o battery)</t>
  </si>
  <si>
    <t>OZH4800E-8</t>
  </si>
  <si>
    <t>Addressable Fire Alarm Control Panel
 (8 loop 1536 address points, with battery charger, w/o battery)</t>
  </si>
  <si>
    <t>OZF-LCD8</t>
  </si>
  <si>
    <t>LCD Repeater
 (Remote Annunciator)</t>
  </si>
  <si>
    <t>OZH48ZL</t>
  </si>
  <si>
    <t>4 Loop Expander Card for OZH4800E FACP
 (Each loop supports 192 points, total capacity 768 points)</t>
  </si>
  <si>
    <t>OZH48ACPU</t>
  </si>
  <si>
    <t>Motherboard for OZH4800E FACP</t>
  </si>
  <si>
    <t>OZH48LCD</t>
  </si>
  <si>
    <t>LCD Screen Module for OZH4800E FACP</t>
  </si>
  <si>
    <t>OZH48NW</t>
  </si>
  <si>
    <t>Network Card
 (Communicate with other 31 addressable panels)</t>
  </si>
  <si>
    <t>OZH200CPU</t>
  </si>
  <si>
    <t>Motherboard for OZH100 FACP</t>
  </si>
  <si>
    <t>OZH100POW</t>
  </si>
  <si>
    <t>Power Supply Board for OZH100 FACP
 (Output 24V/3A, 5V/1A, with Battery Charger Unit)</t>
  </si>
  <si>
    <t>FPB10D</t>
  </si>
  <si>
    <t>Power Supply Module for OZH4800E FACP
 (Output 24V/10A, 5V/2A, with Battery Charger
 Unit, dimensions 326*165*66mm)</t>
  </si>
  <si>
    <t>TW6000</t>
  </si>
  <si>
    <t>Fire Alarm Graphics Software
 (Display the alarm/fault information and floor plan, w/o computer and CRT)</t>
  </si>
  <si>
    <t>LCC</t>
  </si>
  <si>
    <t>Fire Alarm Configuration Software
 (Tool for make configuration and programming for FACP on computer)</t>
  </si>
  <si>
    <t>PLT3000</t>
  </si>
  <si>
    <t>Remote Fire Alarm Management Cloud
 Platform Software
 (Remote configuration, diagnosis, maintenance, firmware upgrade, download, authorization, monitoring, urban fire network remote management, fire data statistical analysis and other value-added services.</t>
  </si>
  <si>
    <t>OBM</t>
  </si>
  <si>
    <t>Address Encoder
 (Handhold Programmer, read/write the address of addressable device)</t>
  </si>
  <si>
    <t>WH-T2</t>
  </si>
  <si>
    <t>Portable Mini Printer</t>
  </si>
  <si>
    <t>OZH100DM</t>
  </si>
  <si>
    <t>Addressable System Demo Case</t>
  </si>
  <si>
    <t>STANDALONE ALARMS</t>
  </si>
  <si>
    <t>OT701</t>
  </si>
  <si>
    <t>Stand-Alone Photoelectric Smoke Alarm
 (9V battery opterated, loud sound level, AC mains power, relay output and RF wireless module option)</t>
  </si>
  <si>
    <t>OT702</t>
  </si>
  <si>
    <t>Stand-Alone Vocal Smoke Alarm
 (4 AA batteries operated, both traditional buzzer and recordable voice alarm, high quality speaker and amplifier, effectively wake up the children in sleep and guide them how to escape in a fire )</t>
  </si>
  <si>
    <t>OT703</t>
  </si>
  <si>
    <t>Stand-Alone Photoelectric Smoke Alarm (9V battery opterated, test button, auto reset, smoke ASIC inside)</t>
  </si>
  <si>
    <t>OT706</t>
  </si>
  <si>
    <t>Stand-Alone Photoelectric Smoke Alarm
 (2 AA batteries opterated, loud sound level, microprocessor inside with expert algorithm software,
 GPRS/NB-IoT wireless module optional)</t>
  </si>
  <si>
    <t>OT712</t>
  </si>
  <si>
    <t>Stand-Alone Photoelectric Smoke Alarm
 (2 AA batteries opterated, loud sound level, microprocessor inside with expert algorithm software, English voice prompt)</t>
  </si>
  <si>
    <t>OT321</t>
  </si>
  <si>
    <t>AC220V Powered Photoelectric Smoke Alarm (AC220V mains power operated with 9V battery backup, loud sound level, micro-processor inside with expert algorithm software)</t>
  </si>
  <si>
    <t>JD502</t>
  </si>
  <si>
    <t>Stand-Alone Photoelectric Smoke Alarm (2 AAA batteries opterated, small size with dimensions 69*69*53mm, loud sound level, microprocessor inside with expert algorithm software, optional wireless interconnection)</t>
  </si>
  <si>
    <t>JD502C</t>
  </si>
  <si>
    <t>Stand-Alone Photoelectric Smoke Alarm (2 AAA batteries opterated, small size with dimensions 77*53mm, loud sound level, microprocessor inside with expert algorithm software, optional wireless interconnection)</t>
  </si>
  <si>
    <t>JD503</t>
  </si>
  <si>
    <t>Stand-Alone Heat Alarm
 (9V battery operated, loud sound level, microprocessor inside with expert algorithm software)</t>
  </si>
  <si>
    <t>560H</t>
  </si>
  <si>
    <t>Stand-Alone Heat Alarm
 (9V battery opterated, loud sound level, microprocessor inside with expert algorithm software)</t>
  </si>
  <si>
    <t>JD812</t>
  </si>
  <si>
    <t>AC Powered Plug-In Combustible Gas Detector (Residential usage, wide range for power supply voltage 90-240V, reliable semiconductor sensor, loud sound level, micro-processor inside with expert algorithm software)</t>
  </si>
  <si>
    <t>JD816A/B</t>
  </si>
  <si>
    <t>AC Powered Plug-In Combustible Gas Detector (Residential usage, wide range for power supply voltage 90-240V, reliable catalytic sensor, loud sound level, with voice prompt and gas
 concentration display, micro-processor inside with expert algorithm software))</t>
  </si>
  <si>
    <t>JD817</t>
  </si>
  <si>
    <t>AC Powered Plug-In Combustible Gas Detector (Residential usage, wide range for power supply voltage 90-240V, reliable catalytic sensor, loud sound level, with voice prompt and gas
 concentration display, micro-processor inside with expert algorithm software)</t>
  </si>
  <si>
    <t>SL838-35</t>
  </si>
  <si>
    <t>DN15/DN20</t>
  </si>
  <si>
    <t>Gas Solenoid Valve
 (9-24Vdc pulsed drive, shut off gas pipeline when gas leak is detected)</t>
  </si>
  <si>
    <t>Carbon Monoxide Detectors</t>
  </si>
  <si>
    <t>JD602</t>
  </si>
  <si>
    <t>AA Battery Powered Carbon Monoxide Gas Detector (Residential usage, 3 AA batteries operated, electrochemical CO sensor, gas concentration LCD display, dimensions
 100*39mm, weight 120g, loud sound level, microprocessor inside with expert algorithm software)</t>
  </si>
  <si>
    <t>JD601B</t>
  </si>
  <si>
    <t>AA Battery Powered Carbon Monoxide Gas Detector (Residential usage, 3 AA batteries operated, electrochemical CO sensor, gas concentration LCD display, dimensions 95*37mm, weight 100g, loud sound level, micro-processor inside with expert algorithm software)</t>
  </si>
  <si>
    <t>JD616</t>
  </si>
  <si>
    <t>AA Battery Powered Carbon Monoxide Gas Detector (Residential usage, 3 AA batteries operated, electrochemical CO sensor with 5 years life, gas concentration LCD display and voice prompt, dimensions 100*100*27mm, weight 120g, loud sound level, micro-processor inside with expert algorithm software)</t>
  </si>
  <si>
    <t>JD618</t>
  </si>
  <si>
    <t>AA Battery Powered Carbon Monoxide Gas Detector (comply with EN50291, Residential usage, 3 AA batteries operated, electrochemical
 CO sensor with 5 years life, gas concentration
 LCD display and voice prompt, dimensions 115*115*37mm, weight 130g, loud sound level, micro-processor inside)</t>
  </si>
  <si>
    <t>JD620C</t>
  </si>
  <si>
    <t>AA Battery Powered Carbon Monoxide Gas Detector (comply with EN50291, Residential usage, 3 AA batteries operated, electrochemical
 CO sensor with 7 years life, gas concentration
 LCD display and voice prompt, dimensions 104*39mm, weight 195g, loud sound level, microprocessor inside)</t>
  </si>
  <si>
    <t>GD31</t>
  </si>
  <si>
    <t>AA Battery Powered Carbon Monoxide Gas
 Detector (CCC certificate, Residential usage, 2
 AA batteries operated, low power consumption for 3 years battery life, gas concentration LCD display, dimensions 133*78*35mm, weight 120g, loud sound level, micro-processor inside with expert algorithm software)</t>
  </si>
  <si>
    <t>GD31AC</t>
  </si>
  <si>
    <t>AC Powered Plug-In Carbon Monoxide Gas
 Detector (CCC certificate, Residential usage, 100-
 240Vac/5V adaptor operated, low power consumption for 3 years battery life, gas concentration LCD display, dimensions 133*78*35mm, weight 120g, loud sound level, micro-processor inside)</t>
  </si>
  <si>
    <t>Combination Detectors</t>
  </si>
  <si>
    <t>JD512</t>
  </si>
  <si>
    <t>AA Battery Powered Smoke &amp; Carbon
 Monoxide 2-in-1 Combined Detector
 (Residential usage, 3 AA Batteries operated, gas concentration LCD display, low battery warning, HASH mode, dimensions 104*39mm, weight 180g, loud sound level, micro-processor inside with expert algorithm software)</t>
  </si>
  <si>
    <t>JD809</t>
  </si>
  <si>
    <t>AA Battery Powered Combustible Gas &amp;
 Carbon Monoxide 2-in-1 Combined Detector (Residential usage, 2 AA lithium batteries operated, gas concentration LCD display, low battery warning, dimensions 96*96*39mm, weight 110g, loud sound level, micro-processor inside with expert algorithm software)</t>
  </si>
  <si>
    <t>JD808</t>
  </si>
  <si>
    <t>AC Powered Plug-In Combustible Gas &amp;
 Carbon Monoxide 2-in-1 Combined Detector (Residential usage, wide range for power supply voltage 90-240V, gas concentration LCD display and voice prompt, dimensions 112*73*42mm, weight 185g, loud sound level, micro-processor inside)</t>
  </si>
  <si>
    <t>Carbon Dioxide Detectors</t>
  </si>
  <si>
    <t>ABH103</t>
  </si>
  <si>
    <t>Carbon Dioxide Detector &amp; Air Quality Monitor (Residential usage, built-in rechargable lithium battery, high sensitive CO2 sensor, gas concentration &amp; temperature &amp; humidity &amp; battery level LCD display, light &amp; sound warning, dimensions 80*50*80mm, weight 110g, microprocessor inside)</t>
  </si>
  <si>
    <t>ABH100</t>
  </si>
  <si>
    <t>Carbon Dioxide Detector &amp; Air Quality Monitor (Residential usage, built-in 1500mAh rechargable lithium battery, high sensitive CO2 sensor, gas concentration &amp; temperature &amp; humidity &amp; battery level LCD display, light &amp; sound warning, dimensions 80*52*135mm, weight 150g, microprocessor inside)</t>
  </si>
  <si>
    <t>ABH101</t>
  </si>
  <si>
    <t>Portable Carbon Dioxide Detector
 (Portable usage, built-in rechargable lithium battery, high sensitive CO2 sensor, gas concentration &amp; battery level LCD display, light &amp; sound warning, micro-processor inside)</t>
  </si>
  <si>
    <t>Cigarette Smoke Detectors</t>
  </si>
  <si>
    <t>CGD90</t>
  </si>
  <si>
    <t>High Sensitive Cigarette Smoke Detector (90-240Vac/5V adaptor operated, high sensitive smoke sensor, voice prompt, serial communication port, detection particle size range:
 0.3~10um, effective range :0~1000ug/m³, detection area 30m2, dimensions 100*37mm, loud sound level, micro-processor inside)</t>
  </si>
  <si>
    <t>CGD91</t>
  </si>
  <si>
    <t>High Sensitive Cigarette Smoke Detector (High sensitive smoke sensor, voice prompt, serial communication port, infrared remote control for 10 sensitivity levels adjustment, detection particle size range: 0.3~10um, effective range
 :0~1000ug/m³, detection area 30m2, loud sound level, micro-processor inside)</t>
  </si>
  <si>
    <t>Industrial Gas Detectors</t>
  </si>
  <si>
    <t>ABH840</t>
  </si>
  <si>
    <t>Portable 4-in-1 Multifunctional Gas Detector
 (Detect the concentration of leaking gas
 EX/H2S/CO/O2, high-precision electrochemical and catalytic combustion sensor, rechargable lithium battery 3.7Vdc 1500mAh, English voice prompt, explosion-proof ExibIIBT3 Gb, IP65, dimensions 700*35*140mm, weight 200g)</t>
  </si>
  <si>
    <t>JD108</t>
  </si>
  <si>
    <t>Gas Detection Transmitter (Single gas detection
 EX/H2S/CO/O2/CO2/NO2/SO2/H2/PH3, industry standard 4-20mA standard signal output, two 48v/1A relay outputs, self-diagnosis, infrared remote control, die-cast aluminum body, explosion-proof EXdIICT6 Gb, IP65, dimensions
 200*160*80mm, weight 1.6Kg)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</si>
</sst>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0.00_);_(* \(#,##0.00\);_(* &quot;-&quot;??_);_(@_)"/>
    <numFmt numFmtId="165" formatCode="yyyy-m"/>
    <numFmt numFmtId="166" formatCode="yyyy-mm"/>
  </numFmts>
  <fonts count="6">
    <font>
      <sz val="10.0"/>
      <color rgb="FF000000"/>
      <name val="Arial"/>
      <scheme val="minor"/>
    </font>
    <font>
      <b/>
      <sz val="13.0"/>
      <color rgb="FFFFFFFF"/>
      <name val="Arial"/>
    </font>
    <font/>
    <font>
      <color theme="1"/>
      <name val="Arial"/>
      <scheme val="minor"/>
    </font>
    <font>
      <sz val="10.0"/>
      <color theme="1"/>
      <name val="Arial"/>
      <scheme val="minor"/>
    </font>
    <font>
      <color theme="1"/>
      <name val="Calibri"/>
    </font>
  </fonts>
  <fills count="4">
    <fill>
      <patternFill patternType="none"/>
    </fill>
    <fill>
      <patternFill patternType="lightGray"/>
    </fill>
    <fill>
      <patternFill patternType="solid">
        <fgColor rgb="FF073763"/>
        <bgColor rgb="FF073763"/>
      </patternFill>
    </fill>
    <fill>
      <patternFill patternType="solid">
        <fgColor rgb="FFFF0000"/>
        <bgColor rgb="FFFF0000"/>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0" fontId="2" numFmtId="0" xfId="0" applyBorder="1" applyFont="1"/>
    <xf borderId="3" fillId="0" fontId="2" numFmtId="0" xfId="0" applyBorder="1" applyFont="1"/>
    <xf borderId="4" fillId="0" fontId="3" numFmtId="0" xfId="0" applyAlignment="1" applyBorder="1" applyFont="1">
      <alignment horizontal="center" readingOrder="0" shrinkToFit="0" vertical="center" wrapText="1"/>
    </xf>
    <xf borderId="4" fillId="0" fontId="3" numFmtId="0" xfId="0" applyAlignment="1" applyBorder="1" applyFont="1">
      <alignment readingOrder="0" shrinkToFit="0" vertical="center" wrapText="1"/>
    </xf>
    <xf borderId="4" fillId="0" fontId="3" numFmtId="0" xfId="0" applyAlignment="1" applyBorder="1" applyFont="1">
      <alignment shrinkToFit="0" vertical="center" wrapText="1"/>
    </xf>
    <xf borderId="4" fillId="0" fontId="4" numFmtId="164" xfId="0" applyAlignment="1" applyBorder="1" applyFont="1" applyNumberFormat="1">
      <alignment horizontal="center" shrinkToFit="0" vertical="center" wrapText="1"/>
    </xf>
    <xf borderId="4" fillId="0" fontId="3" numFmtId="4" xfId="0" applyAlignment="1" applyBorder="1" applyFont="1" applyNumberFormat="1">
      <alignment readingOrder="0" shrinkToFit="0" vertical="center" wrapText="1"/>
    </xf>
    <xf borderId="4" fillId="0" fontId="3" numFmtId="165" xfId="0" applyAlignment="1" applyBorder="1" applyFont="1" applyNumberFormat="1">
      <alignment readingOrder="0" shrinkToFit="0" vertical="center" wrapText="1"/>
    </xf>
    <xf borderId="4" fillId="3" fontId="3" numFmtId="0" xfId="0" applyAlignment="1" applyBorder="1" applyFill="1" applyFont="1">
      <alignment readingOrder="0" shrinkToFit="0" vertical="center" wrapText="1"/>
    </xf>
    <xf borderId="4" fillId="3" fontId="3" numFmtId="0" xfId="0" applyAlignment="1" applyBorder="1" applyFont="1">
      <alignment shrinkToFit="0" vertical="center" wrapText="1"/>
    </xf>
    <xf borderId="4" fillId="3" fontId="3" numFmtId="4" xfId="0" applyAlignment="1" applyBorder="1" applyFont="1" applyNumberFormat="1">
      <alignment readingOrder="0" shrinkToFit="0" vertical="center" wrapText="1"/>
    </xf>
    <xf borderId="4" fillId="0" fontId="3" numFmtId="0" xfId="0" applyAlignment="1" applyBorder="1" applyFont="1">
      <alignment readingOrder="0" shrinkToFit="0" vertical="center" wrapText="1"/>
    </xf>
    <xf borderId="4" fillId="0" fontId="3" numFmtId="166" xfId="0" applyAlignment="1" applyBorder="1" applyFont="1" applyNumberFormat="1">
      <alignment readingOrder="0" shrinkToFit="0" vertical="center" wrapText="1"/>
    </xf>
    <xf borderId="4" fillId="0" fontId="5" numFmtId="4" xfId="0" applyAlignment="1" applyBorder="1" applyFont="1" applyNumberFormat="1">
      <alignment horizontal="right" shrinkToFit="0" vertical="center" wrapText="1"/>
    </xf>
    <xf borderId="4" fillId="0" fontId="5" numFmtId="164" xfId="0" applyAlignment="1" applyBorder="1" applyFont="1" applyNumberFormat="1">
      <alignment horizontal="center" shrinkToFit="0" vertical="center" wrapText="1"/>
    </xf>
    <xf borderId="4" fillId="0" fontId="5" numFmtId="164" xfId="0" applyAlignment="1" applyBorder="1" applyFont="1" applyNumberFormat="1">
      <alignment horizontal="righ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ht="33.0" customHeight="1">
      <c r="A1" s="1" t="s">
        <v>0</v>
      </c>
      <c r="B1" s="2"/>
      <c r="C1" s="2"/>
      <c r="D1" s="2"/>
      <c r="E1" s="2"/>
      <c r="F1" s="2"/>
      <c r="G1" s="2"/>
      <c r="H1" s="3"/>
      <c r="I1" s="1" t="s">
        <v>1</v>
      </c>
      <c r="J1" s="3"/>
      <c r="K1" s="1" t="s">
        <v>2</v>
      </c>
      <c r="L1" s="3"/>
      <c r="M1" s="1" t="s">
        <v>3</v>
      </c>
      <c r="N1" s="3"/>
    </row>
    <row r="2">
      <c r="A2" s="4" t="s">
        <v>4</v>
      </c>
      <c r="B2" s="4" t="s">
        <v>5</v>
      </c>
      <c r="C2" s="4" t="s">
        <v>6</v>
      </c>
      <c r="D2" s="4" t="s">
        <v>7</v>
      </c>
      <c r="E2" s="4" t="s">
        <v>8</v>
      </c>
      <c r="F2" s="4" t="s">
        <v>9</v>
      </c>
      <c r="G2" s="4" t="s">
        <v>10</v>
      </c>
      <c r="H2" s="4" t="s">
        <v>11</v>
      </c>
      <c r="I2" s="4" t="s">
        <v>12</v>
      </c>
      <c r="J2" s="4" t="s">
        <v>13</v>
      </c>
      <c r="K2" s="4" t="s">
        <v>14</v>
      </c>
      <c r="L2" s="4" t="s">
        <v>15</v>
      </c>
      <c r="M2" s="4" t="s">
        <v>16</v>
      </c>
      <c r="N2" s="4" t="s">
        <v>17</v>
      </c>
    </row>
    <row r="3">
      <c r="A3" s="5" t="s">
        <v>18</v>
      </c>
      <c r="B3" s="5" t="s">
        <v>19</v>
      </c>
      <c r="C3" s="5"/>
      <c r="D3" s="6"/>
      <c r="E3" s="5" t="s">
        <v>20</v>
      </c>
      <c r="F3" s="5" t="s">
        <v>21</v>
      </c>
      <c r="G3" s="5">
        <v>550.0</v>
      </c>
      <c r="H3" s="5" t="s">
        <v>22</v>
      </c>
      <c r="I3" s="7">
        <f t="shared" ref="I3:I1972" si="1">G3*0.5+G3</f>
        <v>825</v>
      </c>
      <c r="J3" s="7">
        <f t="shared" ref="J3:J44" si="2">G3*0.3+G3</f>
        <v>715</v>
      </c>
      <c r="K3" s="7">
        <f t="shared" ref="K3:K1972" si="3">G3*0.3+G3</f>
        <v>715</v>
      </c>
      <c r="L3" s="7">
        <f t="shared" ref="L3:L1972" si="4">G3*0.2+G3</f>
        <v>660</v>
      </c>
      <c r="M3" s="7">
        <f t="shared" ref="M3:M1972" si="5">G3*0.15+G3</f>
        <v>632.5</v>
      </c>
      <c r="N3" s="7">
        <f t="shared" ref="N3:N1972" si="6">G3*0.1+G3</f>
        <v>605</v>
      </c>
    </row>
    <row r="4">
      <c r="A4" s="5" t="s">
        <v>23</v>
      </c>
      <c r="B4" s="5" t="s">
        <v>19</v>
      </c>
      <c r="C4" s="5"/>
      <c r="D4" s="6"/>
      <c r="E4" s="5" t="s">
        <v>20</v>
      </c>
      <c r="F4" s="5" t="s">
        <v>21</v>
      </c>
      <c r="G4" s="8">
        <v>1000.0</v>
      </c>
      <c r="H4" s="5" t="s">
        <v>22</v>
      </c>
      <c r="I4" s="7">
        <f t="shared" si="1"/>
        <v>1500</v>
      </c>
      <c r="J4" s="7">
        <f t="shared" si="2"/>
        <v>1300</v>
      </c>
      <c r="K4" s="7">
        <f t="shared" si="3"/>
        <v>1300</v>
      </c>
      <c r="L4" s="7">
        <f t="shared" si="4"/>
        <v>1200</v>
      </c>
      <c r="M4" s="7">
        <f t="shared" si="5"/>
        <v>1150</v>
      </c>
      <c r="N4" s="7">
        <f t="shared" si="6"/>
        <v>1100</v>
      </c>
    </row>
    <row r="5">
      <c r="A5" s="5" t="s">
        <v>23</v>
      </c>
      <c r="B5" s="5" t="s">
        <v>19</v>
      </c>
      <c r="C5" s="5"/>
      <c r="D5" s="6"/>
      <c r="E5" s="5" t="s">
        <v>24</v>
      </c>
      <c r="F5" s="5" t="s">
        <v>21</v>
      </c>
      <c r="G5" s="8">
        <v>1750.0</v>
      </c>
      <c r="H5" s="5" t="s">
        <v>22</v>
      </c>
      <c r="I5" s="7">
        <f t="shared" si="1"/>
        <v>2625</v>
      </c>
      <c r="J5" s="7">
        <f t="shared" si="2"/>
        <v>2275</v>
      </c>
      <c r="K5" s="7">
        <f t="shared" si="3"/>
        <v>2275</v>
      </c>
      <c r="L5" s="7">
        <f t="shared" si="4"/>
        <v>2100</v>
      </c>
      <c r="M5" s="7">
        <f t="shared" si="5"/>
        <v>2012.5</v>
      </c>
      <c r="N5" s="7">
        <f t="shared" si="6"/>
        <v>1925</v>
      </c>
    </row>
    <row r="6">
      <c r="A6" s="5" t="s">
        <v>23</v>
      </c>
      <c r="B6" s="5" t="s">
        <v>19</v>
      </c>
      <c r="C6" s="5"/>
      <c r="D6" s="6"/>
      <c r="E6" s="5" t="s">
        <v>25</v>
      </c>
      <c r="F6" s="5" t="s">
        <v>21</v>
      </c>
      <c r="G6" s="8">
        <v>2487.5</v>
      </c>
      <c r="H6" s="5" t="s">
        <v>22</v>
      </c>
      <c r="I6" s="7">
        <f t="shared" si="1"/>
        <v>3731.25</v>
      </c>
      <c r="J6" s="7">
        <f t="shared" si="2"/>
        <v>3233.75</v>
      </c>
      <c r="K6" s="7">
        <f t="shared" si="3"/>
        <v>3233.75</v>
      </c>
      <c r="L6" s="7">
        <f t="shared" si="4"/>
        <v>2985</v>
      </c>
      <c r="M6" s="7">
        <f t="shared" si="5"/>
        <v>2860.625</v>
      </c>
      <c r="N6" s="7">
        <f t="shared" si="6"/>
        <v>2736.25</v>
      </c>
    </row>
    <row r="7">
      <c r="A7" s="5" t="s">
        <v>23</v>
      </c>
      <c r="B7" s="5" t="s">
        <v>19</v>
      </c>
      <c r="C7" s="5"/>
      <c r="D7" s="6"/>
      <c r="E7" s="5" t="s">
        <v>26</v>
      </c>
      <c r="F7" s="5" t="s">
        <v>21</v>
      </c>
      <c r="G7" s="8">
        <v>3843.75</v>
      </c>
      <c r="H7" s="5" t="s">
        <v>22</v>
      </c>
      <c r="I7" s="7">
        <f t="shared" si="1"/>
        <v>5765.625</v>
      </c>
      <c r="J7" s="7">
        <f t="shared" si="2"/>
        <v>4996.875</v>
      </c>
      <c r="K7" s="7">
        <f t="shared" si="3"/>
        <v>4996.875</v>
      </c>
      <c r="L7" s="7">
        <f t="shared" si="4"/>
        <v>4612.5</v>
      </c>
      <c r="M7" s="7">
        <f t="shared" si="5"/>
        <v>4420.3125</v>
      </c>
      <c r="N7" s="7">
        <f t="shared" si="6"/>
        <v>4228.125</v>
      </c>
    </row>
    <row r="8">
      <c r="A8" s="5" t="s">
        <v>23</v>
      </c>
      <c r="B8" s="5" t="s">
        <v>19</v>
      </c>
      <c r="C8" s="5"/>
      <c r="D8" s="6"/>
      <c r="E8" s="5" t="s">
        <v>27</v>
      </c>
      <c r="F8" s="5" t="s">
        <v>21</v>
      </c>
      <c r="G8" s="8">
        <v>6050.0</v>
      </c>
      <c r="H8" s="5" t="s">
        <v>22</v>
      </c>
      <c r="I8" s="7">
        <f t="shared" si="1"/>
        <v>9075</v>
      </c>
      <c r="J8" s="7">
        <f t="shared" si="2"/>
        <v>7865</v>
      </c>
      <c r="K8" s="7">
        <f t="shared" si="3"/>
        <v>7865</v>
      </c>
      <c r="L8" s="7">
        <f t="shared" si="4"/>
        <v>7260</v>
      </c>
      <c r="M8" s="7">
        <f t="shared" si="5"/>
        <v>6957.5</v>
      </c>
      <c r="N8" s="7">
        <f t="shared" si="6"/>
        <v>6655</v>
      </c>
    </row>
    <row r="9">
      <c r="A9" s="5" t="s">
        <v>23</v>
      </c>
      <c r="B9" s="5" t="s">
        <v>19</v>
      </c>
      <c r="C9" s="5"/>
      <c r="D9" s="6"/>
      <c r="E9" s="5" t="s">
        <v>28</v>
      </c>
      <c r="F9" s="5" t="s">
        <v>21</v>
      </c>
      <c r="G9" s="8">
        <v>9550.0</v>
      </c>
      <c r="H9" s="5" t="s">
        <v>22</v>
      </c>
      <c r="I9" s="7">
        <f t="shared" si="1"/>
        <v>14325</v>
      </c>
      <c r="J9" s="7">
        <f t="shared" si="2"/>
        <v>12415</v>
      </c>
      <c r="K9" s="7">
        <f t="shared" si="3"/>
        <v>12415</v>
      </c>
      <c r="L9" s="7">
        <f t="shared" si="4"/>
        <v>11460</v>
      </c>
      <c r="M9" s="7">
        <f t="shared" si="5"/>
        <v>10982.5</v>
      </c>
      <c r="N9" s="7">
        <f t="shared" si="6"/>
        <v>10505</v>
      </c>
    </row>
    <row r="10">
      <c r="A10" s="5" t="s">
        <v>29</v>
      </c>
      <c r="B10" s="5" t="s">
        <v>19</v>
      </c>
      <c r="C10" s="5"/>
      <c r="D10" s="5" t="s">
        <v>30</v>
      </c>
      <c r="E10" s="5" t="s">
        <v>31</v>
      </c>
      <c r="F10" s="6"/>
      <c r="G10" s="8">
        <v>2000.0</v>
      </c>
      <c r="H10" s="5" t="s">
        <v>22</v>
      </c>
      <c r="I10" s="7">
        <f t="shared" si="1"/>
        <v>3000</v>
      </c>
      <c r="J10" s="7">
        <f t="shared" si="2"/>
        <v>2600</v>
      </c>
      <c r="K10" s="7">
        <f t="shared" si="3"/>
        <v>2600</v>
      </c>
      <c r="L10" s="7">
        <f t="shared" si="4"/>
        <v>2400</v>
      </c>
      <c r="M10" s="7">
        <f t="shared" si="5"/>
        <v>2300</v>
      </c>
      <c r="N10" s="7">
        <f t="shared" si="6"/>
        <v>2200</v>
      </c>
    </row>
    <row r="11">
      <c r="A11" s="6"/>
      <c r="B11" s="5" t="s">
        <v>32</v>
      </c>
      <c r="C11" s="6"/>
      <c r="D11" s="6"/>
      <c r="E11" s="5" t="s">
        <v>33</v>
      </c>
      <c r="F11" s="5" t="s">
        <v>34</v>
      </c>
      <c r="G11" s="8">
        <v>57940.0</v>
      </c>
      <c r="H11" s="5" t="s">
        <v>22</v>
      </c>
      <c r="I11" s="7">
        <f t="shared" si="1"/>
        <v>86910</v>
      </c>
      <c r="J11" s="7">
        <f t="shared" si="2"/>
        <v>75322</v>
      </c>
      <c r="K11" s="7">
        <f t="shared" si="3"/>
        <v>75322</v>
      </c>
      <c r="L11" s="7">
        <f t="shared" si="4"/>
        <v>69528</v>
      </c>
      <c r="M11" s="7">
        <f t="shared" si="5"/>
        <v>66631</v>
      </c>
      <c r="N11" s="7">
        <f t="shared" si="6"/>
        <v>63734</v>
      </c>
    </row>
    <row r="12">
      <c r="A12" s="5" t="s">
        <v>35</v>
      </c>
      <c r="B12" s="5" t="s">
        <v>36</v>
      </c>
      <c r="C12" s="6"/>
      <c r="D12" s="5" t="s">
        <v>37</v>
      </c>
      <c r="E12" s="5" t="s">
        <v>38</v>
      </c>
      <c r="F12" s="6"/>
      <c r="G12" s="8">
        <v>3507.39</v>
      </c>
      <c r="H12" s="5" t="s">
        <v>22</v>
      </c>
      <c r="I12" s="7">
        <f t="shared" si="1"/>
        <v>5261.085</v>
      </c>
      <c r="J12" s="7">
        <f t="shared" si="2"/>
        <v>4559.607</v>
      </c>
      <c r="K12" s="7">
        <f t="shared" si="3"/>
        <v>4559.607</v>
      </c>
      <c r="L12" s="7">
        <f t="shared" si="4"/>
        <v>4208.868</v>
      </c>
      <c r="M12" s="7">
        <f t="shared" si="5"/>
        <v>4033.4985</v>
      </c>
      <c r="N12" s="7">
        <f t="shared" si="6"/>
        <v>3858.129</v>
      </c>
    </row>
    <row r="13">
      <c r="A13" s="5" t="s">
        <v>35</v>
      </c>
      <c r="B13" s="6"/>
      <c r="C13" s="6"/>
      <c r="D13" s="5" t="s">
        <v>39</v>
      </c>
      <c r="E13" s="5" t="s">
        <v>38</v>
      </c>
      <c r="F13" s="5" t="s">
        <v>40</v>
      </c>
      <c r="G13" s="8">
        <v>2960.78</v>
      </c>
      <c r="H13" s="5" t="s">
        <v>22</v>
      </c>
      <c r="I13" s="7">
        <f t="shared" si="1"/>
        <v>4441.17</v>
      </c>
      <c r="J13" s="7">
        <f t="shared" si="2"/>
        <v>3849.014</v>
      </c>
      <c r="K13" s="7">
        <f t="shared" si="3"/>
        <v>3849.014</v>
      </c>
      <c r="L13" s="7">
        <f t="shared" si="4"/>
        <v>3552.936</v>
      </c>
      <c r="M13" s="7">
        <f t="shared" si="5"/>
        <v>3404.897</v>
      </c>
      <c r="N13" s="7">
        <f t="shared" si="6"/>
        <v>3256.858</v>
      </c>
    </row>
    <row r="14">
      <c r="A14" s="5" t="s">
        <v>35</v>
      </c>
      <c r="B14" s="6"/>
      <c r="C14" s="6"/>
      <c r="D14" s="5" t="s">
        <v>41</v>
      </c>
      <c r="E14" s="5" t="s">
        <v>42</v>
      </c>
      <c r="F14" s="6"/>
      <c r="G14" s="8">
        <v>1366.52</v>
      </c>
      <c r="H14" s="5" t="s">
        <v>22</v>
      </c>
      <c r="I14" s="7">
        <f t="shared" si="1"/>
        <v>2049.78</v>
      </c>
      <c r="J14" s="7">
        <f t="shared" si="2"/>
        <v>1776.476</v>
      </c>
      <c r="K14" s="7">
        <f t="shared" si="3"/>
        <v>1776.476</v>
      </c>
      <c r="L14" s="7">
        <f t="shared" si="4"/>
        <v>1639.824</v>
      </c>
      <c r="M14" s="7">
        <f t="shared" si="5"/>
        <v>1571.498</v>
      </c>
      <c r="N14" s="7">
        <f t="shared" si="6"/>
        <v>1503.172</v>
      </c>
    </row>
    <row r="15">
      <c r="A15" s="5" t="s">
        <v>35</v>
      </c>
      <c r="B15" s="5" t="s">
        <v>36</v>
      </c>
      <c r="C15" s="6"/>
      <c r="D15" s="5" t="s">
        <v>43</v>
      </c>
      <c r="E15" s="5" t="s">
        <v>44</v>
      </c>
      <c r="F15" s="6"/>
      <c r="G15" s="5">
        <v>349.22</v>
      </c>
      <c r="H15" s="5" t="s">
        <v>22</v>
      </c>
      <c r="I15" s="7">
        <f t="shared" si="1"/>
        <v>523.83</v>
      </c>
      <c r="J15" s="7">
        <f t="shared" si="2"/>
        <v>453.986</v>
      </c>
      <c r="K15" s="7">
        <f t="shared" si="3"/>
        <v>453.986</v>
      </c>
      <c r="L15" s="7">
        <f t="shared" si="4"/>
        <v>419.064</v>
      </c>
      <c r="M15" s="7">
        <f t="shared" si="5"/>
        <v>401.603</v>
      </c>
      <c r="N15" s="7">
        <f t="shared" si="6"/>
        <v>384.142</v>
      </c>
    </row>
    <row r="16">
      <c r="A16" s="5" t="s">
        <v>35</v>
      </c>
      <c r="B16" s="5" t="s">
        <v>36</v>
      </c>
      <c r="C16" s="6"/>
      <c r="D16" s="5" t="s">
        <v>45</v>
      </c>
      <c r="E16" s="5" t="s">
        <v>46</v>
      </c>
      <c r="F16" s="6"/>
      <c r="G16" s="8">
        <v>1852.39</v>
      </c>
      <c r="H16" s="5" t="s">
        <v>22</v>
      </c>
      <c r="I16" s="7">
        <f t="shared" si="1"/>
        <v>2778.585</v>
      </c>
      <c r="J16" s="7">
        <f t="shared" si="2"/>
        <v>2408.107</v>
      </c>
      <c r="K16" s="7">
        <f t="shared" si="3"/>
        <v>2408.107</v>
      </c>
      <c r="L16" s="7">
        <f t="shared" si="4"/>
        <v>2222.868</v>
      </c>
      <c r="M16" s="7">
        <f t="shared" si="5"/>
        <v>2130.2485</v>
      </c>
      <c r="N16" s="7">
        <f t="shared" si="6"/>
        <v>2037.629</v>
      </c>
    </row>
    <row r="17">
      <c r="A17" s="5" t="s">
        <v>35</v>
      </c>
      <c r="B17" s="6"/>
      <c r="C17" s="6"/>
      <c r="D17" s="5" t="s">
        <v>47</v>
      </c>
      <c r="E17" s="5" t="s">
        <v>48</v>
      </c>
      <c r="F17" s="6"/>
      <c r="G17" s="8">
        <v>17339.56</v>
      </c>
      <c r="H17" s="5" t="s">
        <v>22</v>
      </c>
      <c r="I17" s="7">
        <f t="shared" si="1"/>
        <v>26009.34</v>
      </c>
      <c r="J17" s="7">
        <f t="shared" si="2"/>
        <v>22541.428</v>
      </c>
      <c r="K17" s="7">
        <f t="shared" si="3"/>
        <v>22541.428</v>
      </c>
      <c r="L17" s="7">
        <f t="shared" si="4"/>
        <v>20807.472</v>
      </c>
      <c r="M17" s="7">
        <f t="shared" si="5"/>
        <v>19940.494</v>
      </c>
      <c r="N17" s="7">
        <f t="shared" si="6"/>
        <v>19073.516</v>
      </c>
    </row>
    <row r="18">
      <c r="A18" s="5" t="s">
        <v>35</v>
      </c>
      <c r="B18" s="5" t="s">
        <v>36</v>
      </c>
      <c r="C18" s="6"/>
      <c r="D18" s="5" t="s">
        <v>49</v>
      </c>
      <c r="E18" s="5" t="s">
        <v>50</v>
      </c>
      <c r="F18" s="5" t="s">
        <v>51</v>
      </c>
      <c r="G18" s="8">
        <v>3191.71</v>
      </c>
      <c r="H18" s="5" t="s">
        <v>22</v>
      </c>
      <c r="I18" s="7">
        <f t="shared" si="1"/>
        <v>4787.565</v>
      </c>
      <c r="J18" s="7">
        <f t="shared" si="2"/>
        <v>4149.223</v>
      </c>
      <c r="K18" s="7">
        <f t="shared" si="3"/>
        <v>4149.223</v>
      </c>
      <c r="L18" s="7">
        <f t="shared" si="4"/>
        <v>3830.052</v>
      </c>
      <c r="M18" s="7">
        <f t="shared" si="5"/>
        <v>3670.4665</v>
      </c>
      <c r="N18" s="7">
        <f t="shared" si="6"/>
        <v>3510.881</v>
      </c>
    </row>
    <row r="19">
      <c r="A19" s="5" t="s">
        <v>35</v>
      </c>
      <c r="B19" s="5" t="s">
        <v>36</v>
      </c>
      <c r="C19" s="6"/>
      <c r="D19" s="5" t="s">
        <v>52</v>
      </c>
      <c r="E19" s="5" t="s">
        <v>53</v>
      </c>
      <c r="F19" s="6"/>
      <c r="G19" s="8">
        <v>3021.52</v>
      </c>
      <c r="H19" s="5" t="s">
        <v>22</v>
      </c>
      <c r="I19" s="7">
        <f t="shared" si="1"/>
        <v>4532.28</v>
      </c>
      <c r="J19" s="7">
        <f t="shared" si="2"/>
        <v>3927.976</v>
      </c>
      <c r="K19" s="7">
        <f t="shared" si="3"/>
        <v>3927.976</v>
      </c>
      <c r="L19" s="7">
        <f t="shared" si="4"/>
        <v>3625.824</v>
      </c>
      <c r="M19" s="7">
        <f t="shared" si="5"/>
        <v>3474.748</v>
      </c>
      <c r="N19" s="7">
        <f t="shared" si="6"/>
        <v>3323.672</v>
      </c>
    </row>
    <row r="20">
      <c r="A20" s="5" t="s">
        <v>35</v>
      </c>
      <c r="B20" s="6"/>
      <c r="C20" s="6"/>
      <c r="D20" s="5" t="s">
        <v>54</v>
      </c>
      <c r="E20" s="5" t="s">
        <v>55</v>
      </c>
      <c r="F20" s="6"/>
      <c r="G20" s="8">
        <v>1989.04</v>
      </c>
      <c r="H20" s="5" t="s">
        <v>22</v>
      </c>
      <c r="I20" s="7">
        <f t="shared" si="1"/>
        <v>2983.56</v>
      </c>
      <c r="J20" s="7">
        <f t="shared" si="2"/>
        <v>2585.752</v>
      </c>
      <c r="K20" s="7">
        <f t="shared" si="3"/>
        <v>2585.752</v>
      </c>
      <c r="L20" s="7">
        <f t="shared" si="4"/>
        <v>2386.848</v>
      </c>
      <c r="M20" s="7">
        <f t="shared" si="5"/>
        <v>2287.396</v>
      </c>
      <c r="N20" s="7">
        <f t="shared" si="6"/>
        <v>2187.944</v>
      </c>
    </row>
    <row r="21">
      <c r="A21" s="5" t="s">
        <v>35</v>
      </c>
      <c r="B21" s="5" t="s">
        <v>36</v>
      </c>
      <c r="C21" s="6"/>
      <c r="D21" s="5" t="s">
        <v>56</v>
      </c>
      <c r="E21" s="5" t="s">
        <v>57</v>
      </c>
      <c r="F21" s="6"/>
      <c r="G21" s="8">
        <v>4497.36</v>
      </c>
      <c r="H21" s="5" t="s">
        <v>22</v>
      </c>
      <c r="I21" s="7">
        <f t="shared" si="1"/>
        <v>6746.04</v>
      </c>
      <c r="J21" s="7">
        <f t="shared" si="2"/>
        <v>5846.568</v>
      </c>
      <c r="K21" s="7">
        <f t="shared" si="3"/>
        <v>5846.568</v>
      </c>
      <c r="L21" s="7">
        <f t="shared" si="4"/>
        <v>5396.832</v>
      </c>
      <c r="M21" s="7">
        <f t="shared" si="5"/>
        <v>5171.964</v>
      </c>
      <c r="N21" s="7">
        <f t="shared" si="6"/>
        <v>4947.096</v>
      </c>
    </row>
    <row r="22">
      <c r="A22" s="5" t="s">
        <v>35</v>
      </c>
      <c r="B22" s="5" t="s">
        <v>36</v>
      </c>
      <c r="C22" s="6"/>
      <c r="D22" s="5" t="s">
        <v>58</v>
      </c>
      <c r="E22" s="5" t="s">
        <v>59</v>
      </c>
      <c r="F22" s="6"/>
      <c r="G22" s="8">
        <v>4054.0</v>
      </c>
      <c r="H22" s="5" t="s">
        <v>22</v>
      </c>
      <c r="I22" s="7">
        <f t="shared" si="1"/>
        <v>6081</v>
      </c>
      <c r="J22" s="7">
        <f t="shared" si="2"/>
        <v>5270.2</v>
      </c>
      <c r="K22" s="7">
        <f t="shared" si="3"/>
        <v>5270.2</v>
      </c>
      <c r="L22" s="7">
        <f t="shared" si="4"/>
        <v>4864.8</v>
      </c>
      <c r="M22" s="7">
        <f t="shared" si="5"/>
        <v>4662.1</v>
      </c>
      <c r="N22" s="7">
        <f t="shared" si="6"/>
        <v>4459.4</v>
      </c>
    </row>
    <row r="23">
      <c r="A23" s="5" t="s">
        <v>35</v>
      </c>
      <c r="B23" s="6"/>
      <c r="C23" s="6"/>
      <c r="D23" s="5" t="s">
        <v>60</v>
      </c>
      <c r="E23" s="5" t="s">
        <v>61</v>
      </c>
      <c r="F23" s="6"/>
      <c r="G23" s="8">
        <v>2641.93</v>
      </c>
      <c r="H23" s="5" t="s">
        <v>22</v>
      </c>
      <c r="I23" s="7">
        <f t="shared" si="1"/>
        <v>3962.895</v>
      </c>
      <c r="J23" s="7">
        <f t="shared" si="2"/>
        <v>3434.509</v>
      </c>
      <c r="K23" s="7">
        <f t="shared" si="3"/>
        <v>3434.509</v>
      </c>
      <c r="L23" s="7">
        <f t="shared" si="4"/>
        <v>3170.316</v>
      </c>
      <c r="M23" s="7">
        <f t="shared" si="5"/>
        <v>3038.2195</v>
      </c>
      <c r="N23" s="7">
        <f t="shared" si="6"/>
        <v>2906.123</v>
      </c>
    </row>
    <row r="24">
      <c r="A24" s="5" t="s">
        <v>35</v>
      </c>
      <c r="B24" s="5" t="s">
        <v>36</v>
      </c>
      <c r="C24" s="6"/>
      <c r="D24" s="5" t="s">
        <v>62</v>
      </c>
      <c r="E24" s="5" t="s">
        <v>63</v>
      </c>
      <c r="F24" s="6"/>
      <c r="G24" s="5">
        <v>443.36</v>
      </c>
      <c r="H24" s="5" t="s">
        <v>22</v>
      </c>
      <c r="I24" s="7">
        <f t="shared" si="1"/>
        <v>665.04</v>
      </c>
      <c r="J24" s="7">
        <f t="shared" si="2"/>
        <v>576.368</v>
      </c>
      <c r="K24" s="7">
        <f t="shared" si="3"/>
        <v>576.368</v>
      </c>
      <c r="L24" s="7">
        <f t="shared" si="4"/>
        <v>532.032</v>
      </c>
      <c r="M24" s="7">
        <f t="shared" si="5"/>
        <v>509.864</v>
      </c>
      <c r="N24" s="7">
        <f t="shared" si="6"/>
        <v>487.696</v>
      </c>
    </row>
    <row r="25">
      <c r="A25" s="5" t="s">
        <v>35</v>
      </c>
      <c r="B25" s="5" t="s">
        <v>36</v>
      </c>
      <c r="C25" s="6"/>
      <c r="D25" s="5" t="s">
        <v>64</v>
      </c>
      <c r="E25" s="5" t="s">
        <v>65</v>
      </c>
      <c r="F25" s="6"/>
      <c r="G25" s="8">
        <v>4114.73</v>
      </c>
      <c r="H25" s="5" t="s">
        <v>22</v>
      </c>
      <c r="I25" s="7">
        <f t="shared" si="1"/>
        <v>6172.095</v>
      </c>
      <c r="J25" s="7">
        <f t="shared" si="2"/>
        <v>5349.149</v>
      </c>
      <c r="K25" s="7">
        <f t="shared" si="3"/>
        <v>5349.149</v>
      </c>
      <c r="L25" s="7">
        <f t="shared" si="4"/>
        <v>4937.676</v>
      </c>
      <c r="M25" s="7">
        <f t="shared" si="5"/>
        <v>4731.9395</v>
      </c>
      <c r="N25" s="7">
        <f t="shared" si="6"/>
        <v>4526.203</v>
      </c>
    </row>
    <row r="26">
      <c r="A26" s="5" t="s">
        <v>35</v>
      </c>
      <c r="B26" s="5" t="s">
        <v>36</v>
      </c>
      <c r="C26" s="6"/>
      <c r="D26" s="5" t="s">
        <v>66</v>
      </c>
      <c r="E26" s="5" t="s">
        <v>67</v>
      </c>
      <c r="F26" s="6"/>
      <c r="G26" s="8">
        <v>3477.02</v>
      </c>
      <c r="H26" s="5" t="s">
        <v>22</v>
      </c>
      <c r="I26" s="7">
        <f t="shared" si="1"/>
        <v>5215.53</v>
      </c>
      <c r="J26" s="7">
        <f t="shared" si="2"/>
        <v>4520.126</v>
      </c>
      <c r="K26" s="7">
        <f t="shared" si="3"/>
        <v>4520.126</v>
      </c>
      <c r="L26" s="7">
        <f t="shared" si="4"/>
        <v>4172.424</v>
      </c>
      <c r="M26" s="7">
        <f t="shared" si="5"/>
        <v>3998.573</v>
      </c>
      <c r="N26" s="7">
        <f t="shared" si="6"/>
        <v>3824.722</v>
      </c>
    </row>
    <row r="27">
      <c r="A27" s="5" t="s">
        <v>35</v>
      </c>
      <c r="B27" s="5" t="s">
        <v>36</v>
      </c>
      <c r="C27" s="6"/>
      <c r="D27" s="5" t="s">
        <v>68</v>
      </c>
      <c r="E27" s="5" t="s">
        <v>69</v>
      </c>
      <c r="F27" s="6"/>
      <c r="G27" s="8">
        <v>1791.65</v>
      </c>
      <c r="H27" s="5" t="s">
        <v>22</v>
      </c>
      <c r="I27" s="7">
        <f t="shared" si="1"/>
        <v>2687.475</v>
      </c>
      <c r="J27" s="7">
        <f t="shared" si="2"/>
        <v>2329.145</v>
      </c>
      <c r="K27" s="7">
        <f t="shared" si="3"/>
        <v>2329.145</v>
      </c>
      <c r="L27" s="7">
        <f t="shared" si="4"/>
        <v>2149.98</v>
      </c>
      <c r="M27" s="7">
        <f t="shared" si="5"/>
        <v>2060.3975</v>
      </c>
      <c r="N27" s="7">
        <f t="shared" si="6"/>
        <v>1970.815</v>
      </c>
    </row>
    <row r="28">
      <c r="A28" s="5" t="s">
        <v>35</v>
      </c>
      <c r="B28" s="5" t="s">
        <v>36</v>
      </c>
      <c r="C28" s="6"/>
      <c r="D28" s="5" t="s">
        <v>70</v>
      </c>
      <c r="E28" s="5" t="s">
        <v>71</v>
      </c>
      <c r="F28" s="6"/>
      <c r="G28" s="8">
        <v>2444.54</v>
      </c>
      <c r="H28" s="5" t="s">
        <v>22</v>
      </c>
      <c r="I28" s="7">
        <f t="shared" si="1"/>
        <v>3666.81</v>
      </c>
      <c r="J28" s="7">
        <f t="shared" si="2"/>
        <v>3177.902</v>
      </c>
      <c r="K28" s="7">
        <f t="shared" si="3"/>
        <v>3177.902</v>
      </c>
      <c r="L28" s="7">
        <f t="shared" si="4"/>
        <v>2933.448</v>
      </c>
      <c r="M28" s="7">
        <f t="shared" si="5"/>
        <v>2811.221</v>
      </c>
      <c r="N28" s="7">
        <f t="shared" si="6"/>
        <v>2688.994</v>
      </c>
    </row>
    <row r="29">
      <c r="A29" s="5" t="s">
        <v>35</v>
      </c>
      <c r="B29" s="5" t="s">
        <v>36</v>
      </c>
      <c r="C29" s="6"/>
      <c r="D29" s="5" t="s">
        <v>72</v>
      </c>
      <c r="E29" s="5" t="s">
        <v>73</v>
      </c>
      <c r="F29" s="6"/>
      <c r="G29" s="8">
        <v>4056.62</v>
      </c>
      <c r="H29" s="5" t="s">
        <v>22</v>
      </c>
      <c r="I29" s="7">
        <f t="shared" si="1"/>
        <v>6084.93</v>
      </c>
      <c r="J29" s="7">
        <f t="shared" si="2"/>
        <v>5273.606</v>
      </c>
      <c r="K29" s="7">
        <f t="shared" si="3"/>
        <v>5273.606</v>
      </c>
      <c r="L29" s="7">
        <f t="shared" si="4"/>
        <v>4867.944</v>
      </c>
      <c r="M29" s="7">
        <f t="shared" si="5"/>
        <v>4665.113</v>
      </c>
      <c r="N29" s="7">
        <f t="shared" si="6"/>
        <v>4462.282</v>
      </c>
    </row>
    <row r="30">
      <c r="A30" s="5" t="s">
        <v>35</v>
      </c>
      <c r="B30" s="5" t="s">
        <v>36</v>
      </c>
      <c r="C30" s="6"/>
      <c r="D30" s="5" t="s">
        <v>74</v>
      </c>
      <c r="E30" s="5" t="s">
        <v>75</v>
      </c>
      <c r="F30" s="5">
        <v>2171.24</v>
      </c>
      <c r="G30" s="8">
        <v>2429.11</v>
      </c>
      <c r="H30" s="5" t="s">
        <v>22</v>
      </c>
      <c r="I30" s="7">
        <f t="shared" si="1"/>
        <v>3643.665</v>
      </c>
      <c r="J30" s="7">
        <f t="shared" si="2"/>
        <v>3157.843</v>
      </c>
      <c r="K30" s="7">
        <f t="shared" si="3"/>
        <v>3157.843</v>
      </c>
      <c r="L30" s="7">
        <f t="shared" si="4"/>
        <v>2914.932</v>
      </c>
      <c r="M30" s="7">
        <f t="shared" si="5"/>
        <v>2793.4765</v>
      </c>
      <c r="N30" s="7">
        <f t="shared" si="6"/>
        <v>2672.021</v>
      </c>
    </row>
    <row r="31">
      <c r="A31" s="5" t="s">
        <v>35</v>
      </c>
      <c r="B31" s="5" t="s">
        <v>36</v>
      </c>
      <c r="C31" s="6"/>
      <c r="D31" s="5" t="s">
        <v>76</v>
      </c>
      <c r="E31" s="5" t="s">
        <v>77</v>
      </c>
      <c r="F31" s="5">
        <v>2398.99</v>
      </c>
      <c r="G31" s="8">
        <v>3632.92</v>
      </c>
      <c r="H31" s="5" t="s">
        <v>22</v>
      </c>
      <c r="I31" s="7">
        <f t="shared" si="1"/>
        <v>5449.38</v>
      </c>
      <c r="J31" s="7">
        <f t="shared" si="2"/>
        <v>4722.796</v>
      </c>
      <c r="K31" s="7">
        <f t="shared" si="3"/>
        <v>4722.796</v>
      </c>
      <c r="L31" s="7">
        <f t="shared" si="4"/>
        <v>4359.504</v>
      </c>
      <c r="M31" s="7">
        <f t="shared" si="5"/>
        <v>4177.858</v>
      </c>
      <c r="N31" s="7">
        <f t="shared" si="6"/>
        <v>3996.212</v>
      </c>
    </row>
    <row r="32">
      <c r="A32" s="5" t="s">
        <v>35</v>
      </c>
      <c r="B32" s="5" t="s">
        <v>36</v>
      </c>
      <c r="C32" s="6"/>
      <c r="D32" s="5" t="s">
        <v>78</v>
      </c>
      <c r="E32" s="5" t="s">
        <v>79</v>
      </c>
      <c r="F32" s="6"/>
      <c r="G32" s="8">
        <v>1594.27</v>
      </c>
      <c r="H32" s="5" t="s">
        <v>22</v>
      </c>
      <c r="I32" s="7">
        <f t="shared" si="1"/>
        <v>2391.405</v>
      </c>
      <c r="J32" s="7">
        <f t="shared" si="2"/>
        <v>2072.551</v>
      </c>
      <c r="K32" s="7">
        <f t="shared" si="3"/>
        <v>2072.551</v>
      </c>
      <c r="L32" s="7">
        <f t="shared" si="4"/>
        <v>1913.124</v>
      </c>
      <c r="M32" s="7">
        <f t="shared" si="5"/>
        <v>1833.4105</v>
      </c>
      <c r="N32" s="7">
        <f t="shared" si="6"/>
        <v>1753.697</v>
      </c>
    </row>
    <row r="33">
      <c r="A33" s="5" t="s">
        <v>35</v>
      </c>
      <c r="B33" s="5" t="s">
        <v>36</v>
      </c>
      <c r="C33" s="6"/>
      <c r="D33" s="5" t="s">
        <v>80</v>
      </c>
      <c r="E33" s="5" t="s">
        <v>81</v>
      </c>
      <c r="F33" s="5">
        <v>1822.02</v>
      </c>
      <c r="G33" s="8">
        <v>3654.04</v>
      </c>
      <c r="H33" s="5" t="s">
        <v>22</v>
      </c>
      <c r="I33" s="7">
        <f t="shared" si="1"/>
        <v>5481.06</v>
      </c>
      <c r="J33" s="7">
        <f t="shared" si="2"/>
        <v>4750.252</v>
      </c>
      <c r="K33" s="7">
        <f t="shared" si="3"/>
        <v>4750.252</v>
      </c>
      <c r="L33" s="7">
        <f t="shared" si="4"/>
        <v>4384.848</v>
      </c>
      <c r="M33" s="7">
        <f t="shared" si="5"/>
        <v>4202.146</v>
      </c>
      <c r="N33" s="7">
        <f t="shared" si="6"/>
        <v>4019.444</v>
      </c>
    </row>
    <row r="34">
      <c r="A34" s="5" t="s">
        <v>35</v>
      </c>
      <c r="B34" s="5" t="s">
        <v>36</v>
      </c>
      <c r="C34" s="6"/>
      <c r="D34" s="5" t="s">
        <v>82</v>
      </c>
      <c r="E34" s="5" t="s">
        <v>83</v>
      </c>
      <c r="F34" s="6"/>
      <c r="G34" s="8">
        <v>2705.25</v>
      </c>
      <c r="H34" s="5" t="s">
        <v>22</v>
      </c>
      <c r="I34" s="7">
        <f t="shared" si="1"/>
        <v>4057.875</v>
      </c>
      <c r="J34" s="7">
        <f t="shared" si="2"/>
        <v>3516.825</v>
      </c>
      <c r="K34" s="7">
        <f t="shared" si="3"/>
        <v>3516.825</v>
      </c>
      <c r="L34" s="7">
        <f t="shared" si="4"/>
        <v>3246.3</v>
      </c>
      <c r="M34" s="7">
        <f t="shared" si="5"/>
        <v>3111.0375</v>
      </c>
      <c r="N34" s="7">
        <f t="shared" si="6"/>
        <v>2975.775</v>
      </c>
    </row>
    <row r="35">
      <c r="A35" s="5" t="s">
        <v>35</v>
      </c>
      <c r="B35" s="5" t="s">
        <v>36</v>
      </c>
      <c r="C35" s="6"/>
      <c r="D35" s="5" t="s">
        <v>84</v>
      </c>
      <c r="E35" s="5" t="s">
        <v>85</v>
      </c>
      <c r="F35" s="6"/>
      <c r="G35" s="8">
        <v>2309.55</v>
      </c>
      <c r="H35" s="5" t="s">
        <v>22</v>
      </c>
      <c r="I35" s="7">
        <f t="shared" si="1"/>
        <v>3464.325</v>
      </c>
      <c r="J35" s="7">
        <f t="shared" si="2"/>
        <v>3002.415</v>
      </c>
      <c r="K35" s="7">
        <f t="shared" si="3"/>
        <v>3002.415</v>
      </c>
      <c r="L35" s="7">
        <f t="shared" si="4"/>
        <v>2771.46</v>
      </c>
      <c r="M35" s="7">
        <f t="shared" si="5"/>
        <v>2655.9825</v>
      </c>
      <c r="N35" s="7">
        <f t="shared" si="6"/>
        <v>2540.505</v>
      </c>
    </row>
    <row r="36">
      <c r="A36" s="5" t="s">
        <v>35</v>
      </c>
      <c r="B36" s="5" t="s">
        <v>36</v>
      </c>
      <c r="C36" s="6"/>
      <c r="D36" s="5" t="s">
        <v>86</v>
      </c>
      <c r="E36" s="5" t="s">
        <v>87</v>
      </c>
      <c r="F36" s="6"/>
      <c r="G36" s="8">
        <v>2281.13</v>
      </c>
      <c r="H36" s="5" t="s">
        <v>22</v>
      </c>
      <c r="I36" s="7">
        <f t="shared" si="1"/>
        <v>3421.695</v>
      </c>
      <c r="J36" s="7">
        <f t="shared" si="2"/>
        <v>2965.469</v>
      </c>
      <c r="K36" s="7">
        <f t="shared" si="3"/>
        <v>2965.469</v>
      </c>
      <c r="L36" s="7">
        <f t="shared" si="4"/>
        <v>2737.356</v>
      </c>
      <c r="M36" s="7">
        <f t="shared" si="5"/>
        <v>2623.2995</v>
      </c>
      <c r="N36" s="7">
        <f t="shared" si="6"/>
        <v>2509.243</v>
      </c>
    </row>
    <row r="37">
      <c r="A37" s="5" t="s">
        <v>35</v>
      </c>
      <c r="B37" s="5" t="s">
        <v>36</v>
      </c>
      <c r="C37" s="6"/>
      <c r="D37" s="5" t="s">
        <v>88</v>
      </c>
      <c r="E37" s="5" t="s">
        <v>89</v>
      </c>
      <c r="F37" s="6"/>
      <c r="G37" s="8">
        <v>3585.4</v>
      </c>
      <c r="H37" s="5" t="s">
        <v>22</v>
      </c>
      <c r="I37" s="7">
        <f t="shared" si="1"/>
        <v>5378.1</v>
      </c>
      <c r="J37" s="7">
        <f t="shared" si="2"/>
        <v>4661.02</v>
      </c>
      <c r="K37" s="7">
        <f t="shared" si="3"/>
        <v>4661.02</v>
      </c>
      <c r="L37" s="7">
        <f t="shared" si="4"/>
        <v>4302.48</v>
      </c>
      <c r="M37" s="7">
        <f t="shared" si="5"/>
        <v>4123.21</v>
      </c>
      <c r="N37" s="7">
        <f t="shared" si="6"/>
        <v>3943.94</v>
      </c>
    </row>
    <row r="38">
      <c r="A38" s="5" t="s">
        <v>35</v>
      </c>
      <c r="B38" s="5" t="s">
        <v>36</v>
      </c>
      <c r="C38" s="6"/>
      <c r="D38" s="5" t="s">
        <v>90</v>
      </c>
      <c r="E38" s="5" t="s">
        <v>91</v>
      </c>
      <c r="F38" s="6"/>
      <c r="G38" s="8">
        <v>13715.53</v>
      </c>
      <c r="H38" s="5" t="s">
        <v>22</v>
      </c>
      <c r="I38" s="7">
        <f t="shared" si="1"/>
        <v>20573.295</v>
      </c>
      <c r="J38" s="7">
        <f t="shared" si="2"/>
        <v>17830.189</v>
      </c>
      <c r="K38" s="7">
        <f t="shared" si="3"/>
        <v>17830.189</v>
      </c>
      <c r="L38" s="7">
        <f t="shared" si="4"/>
        <v>16458.636</v>
      </c>
      <c r="M38" s="7">
        <f t="shared" si="5"/>
        <v>15772.8595</v>
      </c>
      <c r="N38" s="7">
        <f t="shared" si="6"/>
        <v>15087.083</v>
      </c>
    </row>
    <row r="39">
      <c r="A39" s="5" t="s">
        <v>35</v>
      </c>
      <c r="B39" s="5" t="s">
        <v>36</v>
      </c>
      <c r="C39" s="6"/>
      <c r="D39" s="5" t="s">
        <v>92</v>
      </c>
      <c r="E39" s="5" t="s">
        <v>93</v>
      </c>
      <c r="F39" s="6"/>
      <c r="G39" s="8">
        <v>12271.88</v>
      </c>
      <c r="H39" s="5" t="s">
        <v>22</v>
      </c>
      <c r="I39" s="7">
        <f t="shared" si="1"/>
        <v>18407.82</v>
      </c>
      <c r="J39" s="7">
        <f t="shared" si="2"/>
        <v>15953.444</v>
      </c>
      <c r="K39" s="7">
        <f t="shared" si="3"/>
        <v>15953.444</v>
      </c>
      <c r="L39" s="7">
        <f t="shared" si="4"/>
        <v>14726.256</v>
      </c>
      <c r="M39" s="7">
        <f t="shared" si="5"/>
        <v>14112.662</v>
      </c>
      <c r="N39" s="7">
        <f t="shared" si="6"/>
        <v>13499.068</v>
      </c>
    </row>
    <row r="40">
      <c r="A40" s="5" t="s">
        <v>35</v>
      </c>
      <c r="B40" s="5" t="s">
        <v>36</v>
      </c>
      <c r="C40" s="6"/>
      <c r="D40" s="5" t="s">
        <v>94</v>
      </c>
      <c r="E40" s="5" t="s">
        <v>95</v>
      </c>
      <c r="F40" s="6"/>
      <c r="G40" s="8">
        <v>28738.54</v>
      </c>
      <c r="H40" s="5" t="s">
        <v>22</v>
      </c>
      <c r="I40" s="7">
        <f t="shared" si="1"/>
        <v>43107.81</v>
      </c>
      <c r="J40" s="7">
        <f t="shared" si="2"/>
        <v>37360.102</v>
      </c>
      <c r="K40" s="7">
        <f t="shared" si="3"/>
        <v>37360.102</v>
      </c>
      <c r="L40" s="7">
        <f t="shared" si="4"/>
        <v>34486.248</v>
      </c>
      <c r="M40" s="7">
        <f t="shared" si="5"/>
        <v>33049.321</v>
      </c>
      <c r="N40" s="7">
        <f t="shared" si="6"/>
        <v>31612.394</v>
      </c>
    </row>
    <row r="41">
      <c r="A41" s="5" t="s">
        <v>35</v>
      </c>
      <c r="B41" s="5" t="s">
        <v>36</v>
      </c>
      <c r="C41" s="6"/>
      <c r="D41" s="5" t="s">
        <v>96</v>
      </c>
      <c r="E41" s="5" t="s">
        <v>97</v>
      </c>
      <c r="F41" s="6"/>
      <c r="G41" s="8">
        <v>15611.83</v>
      </c>
      <c r="H41" s="5" t="s">
        <v>22</v>
      </c>
      <c r="I41" s="7">
        <f t="shared" si="1"/>
        <v>23417.745</v>
      </c>
      <c r="J41" s="7">
        <f t="shared" si="2"/>
        <v>20295.379</v>
      </c>
      <c r="K41" s="7">
        <f t="shared" si="3"/>
        <v>20295.379</v>
      </c>
      <c r="L41" s="7">
        <f t="shared" si="4"/>
        <v>18734.196</v>
      </c>
      <c r="M41" s="7">
        <f t="shared" si="5"/>
        <v>17953.6045</v>
      </c>
      <c r="N41" s="7">
        <f t="shared" si="6"/>
        <v>17173.013</v>
      </c>
    </row>
    <row r="42">
      <c r="A42" s="5" t="s">
        <v>35</v>
      </c>
      <c r="B42" s="6"/>
      <c r="C42" s="6"/>
      <c r="D42" s="5" t="s">
        <v>98</v>
      </c>
      <c r="E42" s="5" t="s">
        <v>99</v>
      </c>
      <c r="F42" s="6"/>
      <c r="G42" s="8">
        <v>7006.89</v>
      </c>
      <c r="H42" s="5" t="s">
        <v>22</v>
      </c>
      <c r="I42" s="7">
        <f t="shared" si="1"/>
        <v>10510.335</v>
      </c>
      <c r="J42" s="7">
        <f t="shared" si="2"/>
        <v>9108.957</v>
      </c>
      <c r="K42" s="7">
        <f t="shared" si="3"/>
        <v>9108.957</v>
      </c>
      <c r="L42" s="7">
        <f t="shared" si="4"/>
        <v>8408.268</v>
      </c>
      <c r="M42" s="7">
        <f t="shared" si="5"/>
        <v>8057.9235</v>
      </c>
      <c r="N42" s="7">
        <f t="shared" si="6"/>
        <v>7707.579</v>
      </c>
    </row>
    <row r="43">
      <c r="A43" s="5" t="s">
        <v>35</v>
      </c>
      <c r="B43" s="5" t="s">
        <v>36</v>
      </c>
      <c r="C43" s="6"/>
      <c r="D43" s="5" t="s">
        <v>100</v>
      </c>
      <c r="E43" s="5" t="s">
        <v>101</v>
      </c>
      <c r="F43" s="6"/>
      <c r="G43" s="8">
        <v>60487.25</v>
      </c>
      <c r="H43" s="5" t="s">
        <v>22</v>
      </c>
      <c r="I43" s="7">
        <f t="shared" si="1"/>
        <v>90730.875</v>
      </c>
      <c r="J43" s="7">
        <f t="shared" si="2"/>
        <v>78633.425</v>
      </c>
      <c r="K43" s="7">
        <f t="shared" si="3"/>
        <v>78633.425</v>
      </c>
      <c r="L43" s="7">
        <f t="shared" si="4"/>
        <v>72584.7</v>
      </c>
      <c r="M43" s="7">
        <f t="shared" si="5"/>
        <v>69560.3375</v>
      </c>
      <c r="N43" s="7">
        <f t="shared" si="6"/>
        <v>66535.975</v>
      </c>
    </row>
    <row r="44">
      <c r="A44" s="5" t="s">
        <v>35</v>
      </c>
      <c r="B44" s="5" t="s">
        <v>36</v>
      </c>
      <c r="C44" s="6"/>
      <c r="D44" s="5" t="s">
        <v>102</v>
      </c>
      <c r="E44" s="5" t="s">
        <v>103</v>
      </c>
      <c r="F44" s="5" t="s">
        <v>104</v>
      </c>
      <c r="G44" s="8">
        <v>111760.02</v>
      </c>
      <c r="H44" s="5" t="s">
        <v>22</v>
      </c>
      <c r="I44" s="7">
        <f t="shared" si="1"/>
        <v>167640.03</v>
      </c>
      <c r="J44" s="7">
        <f t="shared" si="2"/>
        <v>145288.026</v>
      </c>
      <c r="K44" s="7">
        <f t="shared" si="3"/>
        <v>145288.026</v>
      </c>
      <c r="L44" s="7">
        <f t="shared" si="4"/>
        <v>134112.024</v>
      </c>
      <c r="M44" s="7">
        <f t="shared" si="5"/>
        <v>128524.023</v>
      </c>
      <c r="N44" s="7">
        <f t="shared" si="6"/>
        <v>122936.022</v>
      </c>
    </row>
    <row r="45">
      <c r="A45" s="5" t="s">
        <v>35</v>
      </c>
      <c r="B45" s="5" t="s">
        <v>36</v>
      </c>
      <c r="C45" s="6"/>
      <c r="D45" s="5" t="s">
        <v>102</v>
      </c>
      <c r="E45" s="5" t="s">
        <v>105</v>
      </c>
      <c r="F45" s="6"/>
      <c r="G45" s="8">
        <v>128520.0</v>
      </c>
      <c r="H45" s="5" t="s">
        <v>22</v>
      </c>
      <c r="I45" s="7">
        <f t="shared" si="1"/>
        <v>192780</v>
      </c>
      <c r="J45" s="7">
        <f>(G45*0.3)+G45</f>
        <v>167076</v>
      </c>
      <c r="K45" s="7">
        <f t="shared" si="3"/>
        <v>167076</v>
      </c>
      <c r="L45" s="7">
        <f t="shared" si="4"/>
        <v>154224</v>
      </c>
      <c r="M45" s="7">
        <f t="shared" si="5"/>
        <v>147798</v>
      </c>
      <c r="N45" s="7">
        <f t="shared" si="6"/>
        <v>141372</v>
      </c>
    </row>
    <row r="46">
      <c r="A46" s="5" t="s">
        <v>35</v>
      </c>
      <c r="B46" s="5" t="s">
        <v>36</v>
      </c>
      <c r="C46" s="6"/>
      <c r="D46" s="5" t="s">
        <v>102</v>
      </c>
      <c r="E46" s="5" t="s">
        <v>106</v>
      </c>
      <c r="F46" s="6"/>
      <c r="G46" s="8">
        <v>163590.0</v>
      </c>
      <c r="H46" s="5" t="s">
        <v>22</v>
      </c>
      <c r="I46" s="7">
        <f t="shared" si="1"/>
        <v>245385</v>
      </c>
      <c r="J46" s="7">
        <f t="shared" ref="J46:J1972" si="7">G46*0.3+G46</f>
        <v>212667</v>
      </c>
      <c r="K46" s="7">
        <f t="shared" si="3"/>
        <v>212667</v>
      </c>
      <c r="L46" s="7">
        <f t="shared" si="4"/>
        <v>196308</v>
      </c>
      <c r="M46" s="7">
        <f t="shared" si="5"/>
        <v>188128.5</v>
      </c>
      <c r="N46" s="7">
        <f t="shared" si="6"/>
        <v>179949</v>
      </c>
    </row>
    <row r="47">
      <c r="A47" s="5" t="s">
        <v>35</v>
      </c>
      <c r="B47" s="5" t="s">
        <v>36</v>
      </c>
      <c r="C47" s="6"/>
      <c r="D47" s="5" t="s">
        <v>107</v>
      </c>
      <c r="E47" s="5" t="s">
        <v>108</v>
      </c>
      <c r="F47" s="6"/>
      <c r="G47" s="8">
        <v>198660.0</v>
      </c>
      <c r="H47" s="5" t="s">
        <v>22</v>
      </c>
      <c r="I47" s="7">
        <f t="shared" si="1"/>
        <v>297990</v>
      </c>
      <c r="J47" s="7">
        <f t="shared" si="7"/>
        <v>258258</v>
      </c>
      <c r="K47" s="7">
        <f t="shared" si="3"/>
        <v>258258</v>
      </c>
      <c r="L47" s="7">
        <f t="shared" si="4"/>
        <v>238392</v>
      </c>
      <c r="M47" s="7">
        <f t="shared" si="5"/>
        <v>228459</v>
      </c>
      <c r="N47" s="7">
        <f t="shared" si="6"/>
        <v>218526</v>
      </c>
    </row>
    <row r="48">
      <c r="A48" s="5" t="s">
        <v>35</v>
      </c>
      <c r="B48" s="5" t="s">
        <v>36</v>
      </c>
      <c r="C48" s="6"/>
      <c r="D48" s="5" t="s">
        <v>109</v>
      </c>
      <c r="E48" s="5" t="s">
        <v>110</v>
      </c>
      <c r="F48" s="5">
        <v>5663.45</v>
      </c>
      <c r="G48" s="8">
        <v>21630.98</v>
      </c>
      <c r="H48" s="5" t="s">
        <v>22</v>
      </c>
      <c r="I48" s="7">
        <f t="shared" si="1"/>
        <v>32446.47</v>
      </c>
      <c r="J48" s="7">
        <f t="shared" si="7"/>
        <v>28120.274</v>
      </c>
      <c r="K48" s="7">
        <f t="shared" si="3"/>
        <v>28120.274</v>
      </c>
      <c r="L48" s="7">
        <f t="shared" si="4"/>
        <v>25957.176</v>
      </c>
      <c r="M48" s="7">
        <f t="shared" si="5"/>
        <v>24875.627</v>
      </c>
      <c r="N48" s="7">
        <f t="shared" si="6"/>
        <v>23794.078</v>
      </c>
    </row>
    <row r="49">
      <c r="A49" s="5" t="s">
        <v>35</v>
      </c>
      <c r="B49" s="5" t="s">
        <v>36</v>
      </c>
      <c r="C49" s="6"/>
      <c r="D49" s="5" t="s">
        <v>111</v>
      </c>
      <c r="E49" s="5" t="s">
        <v>112</v>
      </c>
      <c r="F49" s="5">
        <v>6847.76</v>
      </c>
      <c r="G49" s="8">
        <v>31883.6</v>
      </c>
      <c r="H49" s="5" t="s">
        <v>22</v>
      </c>
      <c r="I49" s="7">
        <f t="shared" si="1"/>
        <v>47825.4</v>
      </c>
      <c r="J49" s="7">
        <f t="shared" si="7"/>
        <v>41448.68</v>
      </c>
      <c r="K49" s="7">
        <f t="shared" si="3"/>
        <v>41448.68</v>
      </c>
      <c r="L49" s="7">
        <f t="shared" si="4"/>
        <v>38260.32</v>
      </c>
      <c r="M49" s="7">
        <f t="shared" si="5"/>
        <v>36666.14</v>
      </c>
      <c r="N49" s="7">
        <f t="shared" si="6"/>
        <v>35071.96</v>
      </c>
    </row>
    <row r="50">
      <c r="A50" s="5" t="s">
        <v>35</v>
      </c>
      <c r="B50" s="5" t="s">
        <v>36</v>
      </c>
      <c r="C50" s="6"/>
      <c r="D50" s="5" t="s">
        <v>113</v>
      </c>
      <c r="E50" s="5" t="s">
        <v>114</v>
      </c>
      <c r="F50" s="6"/>
      <c r="G50" s="8">
        <v>4830.85</v>
      </c>
      <c r="H50" s="5" t="s">
        <v>22</v>
      </c>
      <c r="I50" s="7">
        <f t="shared" si="1"/>
        <v>7246.275</v>
      </c>
      <c r="J50" s="7">
        <f t="shared" si="7"/>
        <v>6280.105</v>
      </c>
      <c r="K50" s="7">
        <f t="shared" si="3"/>
        <v>6280.105</v>
      </c>
      <c r="L50" s="7">
        <f t="shared" si="4"/>
        <v>5797.02</v>
      </c>
      <c r="M50" s="7">
        <f t="shared" si="5"/>
        <v>5555.4775</v>
      </c>
      <c r="N50" s="7">
        <f t="shared" si="6"/>
        <v>5313.935</v>
      </c>
    </row>
    <row r="51">
      <c r="A51" s="5" t="s">
        <v>35</v>
      </c>
      <c r="B51" s="5" t="s">
        <v>36</v>
      </c>
      <c r="C51" s="6"/>
      <c r="D51" s="5" t="s">
        <v>115</v>
      </c>
      <c r="E51" s="5" t="s">
        <v>116</v>
      </c>
      <c r="F51" s="6"/>
      <c r="G51" s="8">
        <v>3515.3</v>
      </c>
      <c r="H51" s="5" t="s">
        <v>22</v>
      </c>
      <c r="I51" s="7">
        <f t="shared" si="1"/>
        <v>5272.95</v>
      </c>
      <c r="J51" s="7">
        <f t="shared" si="7"/>
        <v>4569.89</v>
      </c>
      <c r="K51" s="7">
        <f t="shared" si="3"/>
        <v>4569.89</v>
      </c>
      <c r="L51" s="7">
        <f t="shared" si="4"/>
        <v>4218.36</v>
      </c>
      <c r="M51" s="7">
        <f t="shared" si="5"/>
        <v>4042.595</v>
      </c>
      <c r="N51" s="7">
        <f t="shared" si="6"/>
        <v>3866.83</v>
      </c>
    </row>
    <row r="52">
      <c r="A52" s="5" t="s">
        <v>35</v>
      </c>
      <c r="B52" s="5" t="s">
        <v>36</v>
      </c>
      <c r="C52" s="6"/>
      <c r="D52" s="5" t="s">
        <v>117</v>
      </c>
      <c r="E52" s="5" t="s">
        <v>118</v>
      </c>
      <c r="F52" s="6"/>
      <c r="G52" s="8">
        <v>9208.8</v>
      </c>
      <c r="H52" s="5" t="s">
        <v>22</v>
      </c>
      <c r="I52" s="7">
        <f t="shared" si="1"/>
        <v>13813.2</v>
      </c>
      <c r="J52" s="7">
        <f t="shared" si="7"/>
        <v>11971.44</v>
      </c>
      <c r="K52" s="7">
        <f t="shared" si="3"/>
        <v>11971.44</v>
      </c>
      <c r="L52" s="7">
        <f t="shared" si="4"/>
        <v>11050.56</v>
      </c>
      <c r="M52" s="7">
        <f t="shared" si="5"/>
        <v>10590.12</v>
      </c>
      <c r="N52" s="7">
        <f t="shared" si="6"/>
        <v>10129.68</v>
      </c>
    </row>
    <row r="53">
      <c r="A53" s="5" t="s">
        <v>35</v>
      </c>
      <c r="B53" s="5" t="s">
        <v>36</v>
      </c>
      <c r="C53" s="6"/>
      <c r="D53" s="5" t="s">
        <v>119</v>
      </c>
      <c r="E53" s="5" t="s">
        <v>120</v>
      </c>
      <c r="F53" s="6"/>
      <c r="G53" s="8">
        <v>17339.29</v>
      </c>
      <c r="H53" s="5" t="s">
        <v>22</v>
      </c>
      <c r="I53" s="7">
        <f t="shared" si="1"/>
        <v>26008.935</v>
      </c>
      <c r="J53" s="7">
        <f t="shared" si="7"/>
        <v>22541.077</v>
      </c>
      <c r="K53" s="7">
        <f t="shared" si="3"/>
        <v>22541.077</v>
      </c>
      <c r="L53" s="7">
        <f t="shared" si="4"/>
        <v>20807.148</v>
      </c>
      <c r="M53" s="7">
        <f t="shared" si="5"/>
        <v>19940.1835</v>
      </c>
      <c r="N53" s="7">
        <f t="shared" si="6"/>
        <v>19073.219</v>
      </c>
    </row>
    <row r="54">
      <c r="A54" s="5" t="s">
        <v>35</v>
      </c>
      <c r="B54" s="5" t="s">
        <v>36</v>
      </c>
      <c r="C54" s="6"/>
      <c r="D54" s="5" t="s">
        <v>121</v>
      </c>
      <c r="E54" s="5" t="s">
        <v>122</v>
      </c>
      <c r="F54" s="6"/>
      <c r="G54" s="8">
        <v>16368.81</v>
      </c>
      <c r="H54" s="5" t="s">
        <v>22</v>
      </c>
      <c r="I54" s="7">
        <f t="shared" si="1"/>
        <v>24553.215</v>
      </c>
      <c r="J54" s="7">
        <f t="shared" si="7"/>
        <v>21279.453</v>
      </c>
      <c r="K54" s="7">
        <f t="shared" si="3"/>
        <v>21279.453</v>
      </c>
      <c r="L54" s="7">
        <f t="shared" si="4"/>
        <v>19642.572</v>
      </c>
      <c r="M54" s="7">
        <f t="shared" si="5"/>
        <v>18824.1315</v>
      </c>
      <c r="N54" s="7">
        <f t="shared" si="6"/>
        <v>18005.691</v>
      </c>
    </row>
    <row r="55">
      <c r="A55" s="5" t="s">
        <v>35</v>
      </c>
      <c r="B55" s="5" t="s">
        <v>36</v>
      </c>
      <c r="C55" s="6"/>
      <c r="D55" s="5" t="s">
        <v>123</v>
      </c>
      <c r="E55" s="5" t="s">
        <v>124</v>
      </c>
      <c r="F55" s="6"/>
      <c r="G55" s="8">
        <v>18964.2</v>
      </c>
      <c r="H55" s="5" t="s">
        <v>22</v>
      </c>
      <c r="I55" s="7">
        <f t="shared" si="1"/>
        <v>28446.3</v>
      </c>
      <c r="J55" s="7">
        <f t="shared" si="7"/>
        <v>24653.46</v>
      </c>
      <c r="K55" s="7">
        <f t="shared" si="3"/>
        <v>24653.46</v>
      </c>
      <c r="L55" s="7">
        <f t="shared" si="4"/>
        <v>22757.04</v>
      </c>
      <c r="M55" s="7">
        <f t="shared" si="5"/>
        <v>21808.83</v>
      </c>
      <c r="N55" s="7">
        <f t="shared" si="6"/>
        <v>20860.62</v>
      </c>
    </row>
    <row r="56">
      <c r="A56" s="5" t="s">
        <v>35</v>
      </c>
      <c r="B56" s="5" t="s">
        <v>36</v>
      </c>
      <c r="C56" s="6"/>
      <c r="D56" s="5" t="s">
        <v>125</v>
      </c>
      <c r="E56" s="5" t="s">
        <v>126</v>
      </c>
      <c r="F56" s="5">
        <v>48602.4</v>
      </c>
      <c r="G56" s="8">
        <v>26052.07</v>
      </c>
      <c r="H56" s="5" t="s">
        <v>22</v>
      </c>
      <c r="I56" s="7">
        <f t="shared" si="1"/>
        <v>39078.105</v>
      </c>
      <c r="J56" s="7">
        <f t="shared" si="7"/>
        <v>33867.691</v>
      </c>
      <c r="K56" s="7">
        <f t="shared" si="3"/>
        <v>33867.691</v>
      </c>
      <c r="L56" s="7">
        <f t="shared" si="4"/>
        <v>31262.484</v>
      </c>
      <c r="M56" s="7">
        <f t="shared" si="5"/>
        <v>29959.8805</v>
      </c>
      <c r="N56" s="7">
        <f t="shared" si="6"/>
        <v>28657.277</v>
      </c>
    </row>
    <row r="57">
      <c r="A57" s="5" t="s">
        <v>35</v>
      </c>
      <c r="B57" s="5" t="s">
        <v>36</v>
      </c>
      <c r="C57" s="6"/>
      <c r="D57" s="5" t="s">
        <v>127</v>
      </c>
      <c r="E57" s="5" t="s">
        <v>128</v>
      </c>
      <c r="F57" s="5">
        <v>44836.89</v>
      </c>
      <c r="G57" s="8">
        <v>24930.63</v>
      </c>
      <c r="H57" s="5" t="s">
        <v>22</v>
      </c>
      <c r="I57" s="7">
        <f t="shared" si="1"/>
        <v>37395.945</v>
      </c>
      <c r="J57" s="7">
        <f t="shared" si="7"/>
        <v>32409.819</v>
      </c>
      <c r="K57" s="7">
        <f t="shared" si="3"/>
        <v>32409.819</v>
      </c>
      <c r="L57" s="7">
        <f t="shared" si="4"/>
        <v>29916.756</v>
      </c>
      <c r="M57" s="7">
        <f t="shared" si="5"/>
        <v>28670.2245</v>
      </c>
      <c r="N57" s="7">
        <f t="shared" si="6"/>
        <v>27423.693</v>
      </c>
    </row>
    <row r="58">
      <c r="A58" s="5" t="s">
        <v>35</v>
      </c>
      <c r="B58" s="5" t="s">
        <v>36</v>
      </c>
      <c r="C58" s="6"/>
      <c r="D58" s="5" t="s">
        <v>129</v>
      </c>
      <c r="E58" s="5" t="s">
        <v>130</v>
      </c>
      <c r="F58" s="5" t="s">
        <v>131</v>
      </c>
      <c r="G58" s="8">
        <v>837357.43</v>
      </c>
      <c r="H58" s="5" t="s">
        <v>22</v>
      </c>
      <c r="I58" s="7">
        <f t="shared" si="1"/>
        <v>1256036.145</v>
      </c>
      <c r="J58" s="7">
        <f t="shared" si="7"/>
        <v>1088564.659</v>
      </c>
      <c r="K58" s="7">
        <f t="shared" si="3"/>
        <v>1088564.659</v>
      </c>
      <c r="L58" s="7">
        <f t="shared" si="4"/>
        <v>1004828.916</v>
      </c>
      <c r="M58" s="7">
        <f t="shared" si="5"/>
        <v>962961.0445</v>
      </c>
      <c r="N58" s="7">
        <f t="shared" si="6"/>
        <v>921093.173</v>
      </c>
    </row>
    <row r="59">
      <c r="A59" s="5" t="s">
        <v>35</v>
      </c>
      <c r="B59" s="5" t="s">
        <v>36</v>
      </c>
      <c r="C59" s="6"/>
      <c r="D59" s="5" t="s">
        <v>129</v>
      </c>
      <c r="E59" s="5" t="s">
        <v>132</v>
      </c>
      <c r="F59" s="6"/>
      <c r="G59" s="8">
        <v>445123.5</v>
      </c>
      <c r="H59" s="5" t="s">
        <v>22</v>
      </c>
      <c r="I59" s="7">
        <f t="shared" si="1"/>
        <v>667685.25</v>
      </c>
      <c r="J59" s="7">
        <f t="shared" si="7"/>
        <v>578660.55</v>
      </c>
      <c r="K59" s="7">
        <f t="shared" si="3"/>
        <v>578660.55</v>
      </c>
      <c r="L59" s="7">
        <f t="shared" si="4"/>
        <v>534148.2</v>
      </c>
      <c r="M59" s="7">
        <f t="shared" si="5"/>
        <v>511892.025</v>
      </c>
      <c r="N59" s="7">
        <f t="shared" si="6"/>
        <v>489635.85</v>
      </c>
    </row>
    <row r="60">
      <c r="A60" s="5" t="s">
        <v>35</v>
      </c>
      <c r="B60" s="5" t="s">
        <v>36</v>
      </c>
      <c r="C60" s="6"/>
      <c r="D60" s="5" t="s">
        <v>129</v>
      </c>
      <c r="E60" s="5" t="s">
        <v>133</v>
      </c>
      <c r="F60" s="6"/>
      <c r="G60" s="8">
        <v>290798.4</v>
      </c>
      <c r="H60" s="5" t="s">
        <v>22</v>
      </c>
      <c r="I60" s="7">
        <f t="shared" si="1"/>
        <v>436197.6</v>
      </c>
      <c r="J60" s="7">
        <f t="shared" si="7"/>
        <v>378037.92</v>
      </c>
      <c r="K60" s="7">
        <f t="shared" si="3"/>
        <v>378037.92</v>
      </c>
      <c r="L60" s="7">
        <f t="shared" si="4"/>
        <v>348958.08</v>
      </c>
      <c r="M60" s="7">
        <f t="shared" si="5"/>
        <v>334418.16</v>
      </c>
      <c r="N60" s="7">
        <f t="shared" si="6"/>
        <v>319878.24</v>
      </c>
    </row>
    <row r="61">
      <c r="A61" s="5" t="s">
        <v>35</v>
      </c>
      <c r="B61" s="5" t="s">
        <v>36</v>
      </c>
      <c r="C61" s="6"/>
      <c r="D61" s="5" t="s">
        <v>129</v>
      </c>
      <c r="E61" s="5" t="s">
        <v>134</v>
      </c>
      <c r="F61" s="6"/>
      <c r="G61" s="8">
        <v>540033.74</v>
      </c>
      <c r="H61" s="5" t="s">
        <v>22</v>
      </c>
      <c r="I61" s="7">
        <f t="shared" si="1"/>
        <v>810050.61</v>
      </c>
      <c r="J61" s="7">
        <f t="shared" si="7"/>
        <v>702043.862</v>
      </c>
      <c r="K61" s="7">
        <f t="shared" si="3"/>
        <v>702043.862</v>
      </c>
      <c r="L61" s="7">
        <f t="shared" si="4"/>
        <v>648040.488</v>
      </c>
      <c r="M61" s="7">
        <f t="shared" si="5"/>
        <v>621038.801</v>
      </c>
      <c r="N61" s="7">
        <f t="shared" si="6"/>
        <v>594037.114</v>
      </c>
    </row>
    <row r="62">
      <c r="A62" s="5" t="s">
        <v>35</v>
      </c>
      <c r="B62" s="5" t="s">
        <v>36</v>
      </c>
      <c r="C62" s="6"/>
      <c r="D62" s="5" t="s">
        <v>129</v>
      </c>
      <c r="E62" s="5" t="s">
        <v>135</v>
      </c>
      <c r="F62" s="6"/>
      <c r="G62" s="8">
        <v>397452.65</v>
      </c>
      <c r="H62" s="5" t="s">
        <v>22</v>
      </c>
      <c r="I62" s="7">
        <f t="shared" si="1"/>
        <v>596178.975</v>
      </c>
      <c r="J62" s="7">
        <f t="shared" si="7"/>
        <v>516688.445</v>
      </c>
      <c r="K62" s="7">
        <f t="shared" si="3"/>
        <v>516688.445</v>
      </c>
      <c r="L62" s="7">
        <f t="shared" si="4"/>
        <v>476943.18</v>
      </c>
      <c r="M62" s="7">
        <f t="shared" si="5"/>
        <v>457070.5475</v>
      </c>
      <c r="N62" s="7">
        <f t="shared" si="6"/>
        <v>437197.915</v>
      </c>
    </row>
    <row r="63">
      <c r="A63" s="5" t="s">
        <v>35</v>
      </c>
      <c r="B63" s="5" t="s">
        <v>36</v>
      </c>
      <c r="C63" s="6"/>
      <c r="D63" s="5" t="s">
        <v>136</v>
      </c>
      <c r="E63" s="5" t="s">
        <v>137</v>
      </c>
      <c r="F63" s="6"/>
      <c r="G63" s="8">
        <v>6875.4</v>
      </c>
      <c r="H63" s="5" t="s">
        <v>22</v>
      </c>
      <c r="I63" s="7">
        <f t="shared" si="1"/>
        <v>10313.1</v>
      </c>
      <c r="J63" s="7">
        <f t="shared" si="7"/>
        <v>8938.02</v>
      </c>
      <c r="K63" s="7">
        <f t="shared" si="3"/>
        <v>8938.02</v>
      </c>
      <c r="L63" s="7">
        <f t="shared" si="4"/>
        <v>8250.48</v>
      </c>
      <c r="M63" s="7">
        <f t="shared" si="5"/>
        <v>7906.71</v>
      </c>
      <c r="N63" s="7">
        <f t="shared" si="6"/>
        <v>7562.94</v>
      </c>
    </row>
    <row r="64">
      <c r="A64" s="5" t="s">
        <v>35</v>
      </c>
      <c r="B64" s="5" t="s">
        <v>36</v>
      </c>
      <c r="C64" s="6"/>
      <c r="D64" s="5" t="s">
        <v>90</v>
      </c>
      <c r="E64" s="5" t="s">
        <v>138</v>
      </c>
      <c r="F64" s="6"/>
      <c r="G64" s="8">
        <v>11775.75</v>
      </c>
      <c r="H64" s="5" t="s">
        <v>22</v>
      </c>
      <c r="I64" s="7">
        <f t="shared" si="1"/>
        <v>17663.625</v>
      </c>
      <c r="J64" s="7">
        <f t="shared" si="7"/>
        <v>15308.475</v>
      </c>
      <c r="K64" s="7">
        <f t="shared" si="3"/>
        <v>15308.475</v>
      </c>
      <c r="L64" s="7">
        <f t="shared" si="4"/>
        <v>14130.9</v>
      </c>
      <c r="M64" s="7">
        <f t="shared" si="5"/>
        <v>13542.1125</v>
      </c>
      <c r="N64" s="7">
        <f t="shared" si="6"/>
        <v>12953.325</v>
      </c>
    </row>
    <row r="65">
      <c r="A65" s="5" t="s">
        <v>35</v>
      </c>
      <c r="B65" s="5" t="s">
        <v>36</v>
      </c>
      <c r="C65" s="6"/>
      <c r="D65" s="5" t="s">
        <v>92</v>
      </c>
      <c r="E65" s="5" t="s">
        <v>139</v>
      </c>
      <c r="F65" s="6"/>
      <c r="G65" s="8">
        <v>10535.7</v>
      </c>
      <c r="H65" s="5" t="s">
        <v>22</v>
      </c>
      <c r="I65" s="7">
        <f t="shared" si="1"/>
        <v>15803.55</v>
      </c>
      <c r="J65" s="7">
        <f t="shared" si="7"/>
        <v>13696.41</v>
      </c>
      <c r="K65" s="7">
        <f t="shared" si="3"/>
        <v>13696.41</v>
      </c>
      <c r="L65" s="7">
        <f t="shared" si="4"/>
        <v>12642.84</v>
      </c>
      <c r="M65" s="7">
        <f t="shared" si="5"/>
        <v>12116.055</v>
      </c>
      <c r="N65" s="7">
        <f t="shared" si="6"/>
        <v>11589.27</v>
      </c>
    </row>
    <row r="66">
      <c r="A66" s="5" t="s">
        <v>35</v>
      </c>
      <c r="B66" s="5" t="s">
        <v>36</v>
      </c>
      <c r="C66" s="6"/>
      <c r="D66" s="9">
        <v>1800707.0</v>
      </c>
      <c r="E66" s="5" t="s">
        <v>140</v>
      </c>
      <c r="F66" s="6"/>
      <c r="G66" s="8">
        <v>3667.35</v>
      </c>
      <c r="H66" s="5" t="s">
        <v>22</v>
      </c>
      <c r="I66" s="7">
        <f t="shared" si="1"/>
        <v>5501.025</v>
      </c>
      <c r="J66" s="7">
        <f t="shared" si="7"/>
        <v>4767.555</v>
      </c>
      <c r="K66" s="7">
        <f t="shared" si="3"/>
        <v>4767.555</v>
      </c>
      <c r="L66" s="7">
        <f t="shared" si="4"/>
        <v>4400.82</v>
      </c>
      <c r="M66" s="7">
        <f t="shared" si="5"/>
        <v>4217.4525</v>
      </c>
      <c r="N66" s="7">
        <f t="shared" si="6"/>
        <v>4034.085</v>
      </c>
    </row>
    <row r="67">
      <c r="A67" s="5" t="s">
        <v>35</v>
      </c>
      <c r="B67" s="5" t="s">
        <v>36</v>
      </c>
      <c r="C67" s="6"/>
      <c r="D67" s="5" t="s">
        <v>141</v>
      </c>
      <c r="E67" s="5" t="s">
        <v>142</v>
      </c>
      <c r="F67" s="6"/>
      <c r="G67" s="8">
        <v>34051.01</v>
      </c>
      <c r="H67" s="5" t="s">
        <v>22</v>
      </c>
      <c r="I67" s="7">
        <f t="shared" si="1"/>
        <v>51076.515</v>
      </c>
      <c r="J67" s="7">
        <f t="shared" si="7"/>
        <v>44266.313</v>
      </c>
      <c r="K67" s="7">
        <f t="shared" si="3"/>
        <v>44266.313</v>
      </c>
      <c r="L67" s="7">
        <f t="shared" si="4"/>
        <v>40861.212</v>
      </c>
      <c r="M67" s="7">
        <f t="shared" si="5"/>
        <v>39158.6615</v>
      </c>
      <c r="N67" s="7">
        <f t="shared" si="6"/>
        <v>37456.111</v>
      </c>
    </row>
    <row r="68">
      <c r="A68" s="5" t="s">
        <v>35</v>
      </c>
      <c r="B68" s="5" t="s">
        <v>36</v>
      </c>
      <c r="C68" s="6"/>
      <c r="D68" s="5" t="s">
        <v>143</v>
      </c>
      <c r="E68" s="5" t="s">
        <v>144</v>
      </c>
      <c r="F68" s="6"/>
      <c r="G68" s="8">
        <v>19955.28</v>
      </c>
      <c r="H68" s="5" t="s">
        <v>22</v>
      </c>
      <c r="I68" s="7">
        <f t="shared" si="1"/>
        <v>29932.92</v>
      </c>
      <c r="J68" s="7">
        <f t="shared" si="7"/>
        <v>25941.864</v>
      </c>
      <c r="K68" s="7">
        <f t="shared" si="3"/>
        <v>25941.864</v>
      </c>
      <c r="L68" s="7">
        <f t="shared" si="4"/>
        <v>23946.336</v>
      </c>
      <c r="M68" s="7">
        <f t="shared" si="5"/>
        <v>22948.572</v>
      </c>
      <c r="N68" s="7">
        <f t="shared" si="6"/>
        <v>21950.808</v>
      </c>
    </row>
    <row r="69">
      <c r="A69" s="5" t="s">
        <v>35</v>
      </c>
      <c r="B69" s="5" t="s">
        <v>36</v>
      </c>
      <c r="C69" s="6"/>
      <c r="D69" s="5" t="s">
        <v>145</v>
      </c>
      <c r="E69" s="5" t="s">
        <v>146</v>
      </c>
      <c r="F69" s="6"/>
      <c r="G69" s="8">
        <v>59947.8</v>
      </c>
      <c r="H69" s="5" t="s">
        <v>22</v>
      </c>
      <c r="I69" s="7">
        <f t="shared" si="1"/>
        <v>89921.7</v>
      </c>
      <c r="J69" s="7">
        <f t="shared" si="7"/>
        <v>77932.14</v>
      </c>
      <c r="K69" s="7">
        <f t="shared" si="3"/>
        <v>77932.14</v>
      </c>
      <c r="L69" s="7">
        <f t="shared" si="4"/>
        <v>71937.36</v>
      </c>
      <c r="M69" s="7">
        <f t="shared" si="5"/>
        <v>68939.97</v>
      </c>
      <c r="N69" s="7">
        <f t="shared" si="6"/>
        <v>65942.58</v>
      </c>
    </row>
    <row r="70">
      <c r="A70" s="5" t="s">
        <v>35</v>
      </c>
      <c r="B70" s="5" t="s">
        <v>36</v>
      </c>
      <c r="C70" s="6"/>
      <c r="D70" s="5" t="s">
        <v>147</v>
      </c>
      <c r="E70" s="5" t="s">
        <v>148</v>
      </c>
      <c r="F70" s="6"/>
      <c r="G70" s="8">
        <v>12477.17</v>
      </c>
      <c r="H70" s="5" t="s">
        <v>22</v>
      </c>
      <c r="I70" s="7">
        <f t="shared" si="1"/>
        <v>18715.755</v>
      </c>
      <c r="J70" s="7">
        <f t="shared" si="7"/>
        <v>16220.321</v>
      </c>
      <c r="K70" s="7">
        <f t="shared" si="3"/>
        <v>16220.321</v>
      </c>
      <c r="L70" s="7">
        <f t="shared" si="4"/>
        <v>14972.604</v>
      </c>
      <c r="M70" s="7">
        <f t="shared" si="5"/>
        <v>14348.7455</v>
      </c>
      <c r="N70" s="7">
        <f t="shared" si="6"/>
        <v>13724.887</v>
      </c>
    </row>
    <row r="71">
      <c r="A71" s="5" t="s">
        <v>35</v>
      </c>
      <c r="B71" s="5" t="s">
        <v>36</v>
      </c>
      <c r="C71" s="6"/>
      <c r="D71" s="5" t="s">
        <v>149</v>
      </c>
      <c r="E71" s="5" t="s">
        <v>150</v>
      </c>
      <c r="F71" s="6"/>
      <c r="G71" s="8">
        <v>15857.69</v>
      </c>
      <c r="H71" s="5" t="s">
        <v>22</v>
      </c>
      <c r="I71" s="7">
        <f t="shared" si="1"/>
        <v>23786.535</v>
      </c>
      <c r="J71" s="7">
        <f t="shared" si="7"/>
        <v>20614.997</v>
      </c>
      <c r="K71" s="7">
        <f t="shared" si="3"/>
        <v>20614.997</v>
      </c>
      <c r="L71" s="7">
        <f t="shared" si="4"/>
        <v>19029.228</v>
      </c>
      <c r="M71" s="7">
        <f t="shared" si="5"/>
        <v>18236.3435</v>
      </c>
      <c r="N71" s="7">
        <f t="shared" si="6"/>
        <v>17443.459</v>
      </c>
    </row>
    <row r="72">
      <c r="A72" s="5" t="s">
        <v>35</v>
      </c>
      <c r="B72" s="5" t="s">
        <v>36</v>
      </c>
      <c r="C72" s="6"/>
      <c r="D72" s="5" t="s">
        <v>151</v>
      </c>
      <c r="E72" s="5" t="s">
        <v>152</v>
      </c>
      <c r="F72" s="6"/>
      <c r="G72" s="8">
        <v>13296.69</v>
      </c>
      <c r="H72" s="5" t="s">
        <v>22</v>
      </c>
      <c r="I72" s="7">
        <f t="shared" si="1"/>
        <v>19945.035</v>
      </c>
      <c r="J72" s="7">
        <f t="shared" si="7"/>
        <v>17285.697</v>
      </c>
      <c r="K72" s="7">
        <f t="shared" si="3"/>
        <v>17285.697</v>
      </c>
      <c r="L72" s="7">
        <f t="shared" si="4"/>
        <v>15956.028</v>
      </c>
      <c r="M72" s="7">
        <f t="shared" si="5"/>
        <v>15291.1935</v>
      </c>
      <c r="N72" s="7">
        <f t="shared" si="6"/>
        <v>14626.359</v>
      </c>
    </row>
    <row r="73">
      <c r="A73" s="5" t="s">
        <v>35</v>
      </c>
      <c r="B73" s="5" t="s">
        <v>36</v>
      </c>
      <c r="C73" s="6"/>
      <c r="D73" s="5" t="s">
        <v>153</v>
      </c>
      <c r="E73" s="5" t="s">
        <v>154</v>
      </c>
      <c r="F73" s="6"/>
      <c r="G73" s="8">
        <v>83873.95</v>
      </c>
      <c r="H73" s="5" t="s">
        <v>22</v>
      </c>
      <c r="I73" s="7">
        <f t="shared" si="1"/>
        <v>125810.925</v>
      </c>
      <c r="J73" s="7">
        <f t="shared" si="7"/>
        <v>109036.135</v>
      </c>
      <c r="K73" s="7">
        <f t="shared" si="3"/>
        <v>109036.135</v>
      </c>
      <c r="L73" s="7">
        <f t="shared" si="4"/>
        <v>100648.74</v>
      </c>
      <c r="M73" s="7">
        <f t="shared" si="5"/>
        <v>96455.0425</v>
      </c>
      <c r="N73" s="7">
        <f t="shared" si="6"/>
        <v>92261.345</v>
      </c>
    </row>
    <row r="74">
      <c r="A74" s="5" t="s">
        <v>35</v>
      </c>
      <c r="B74" s="5" t="s">
        <v>36</v>
      </c>
      <c r="C74" s="6"/>
      <c r="D74" s="5" t="s">
        <v>155</v>
      </c>
      <c r="E74" s="5" t="s">
        <v>156</v>
      </c>
      <c r="F74" s="6"/>
      <c r="G74" s="8">
        <v>42676.44</v>
      </c>
      <c r="H74" s="5" t="s">
        <v>22</v>
      </c>
      <c r="I74" s="7">
        <f t="shared" si="1"/>
        <v>64014.66</v>
      </c>
      <c r="J74" s="7">
        <f t="shared" si="7"/>
        <v>55479.372</v>
      </c>
      <c r="K74" s="7">
        <f t="shared" si="3"/>
        <v>55479.372</v>
      </c>
      <c r="L74" s="7">
        <f t="shared" si="4"/>
        <v>51211.728</v>
      </c>
      <c r="M74" s="7">
        <f t="shared" si="5"/>
        <v>49077.906</v>
      </c>
      <c r="N74" s="7">
        <f t="shared" si="6"/>
        <v>46944.084</v>
      </c>
    </row>
    <row r="75">
      <c r="A75" s="5" t="s">
        <v>35</v>
      </c>
      <c r="B75" s="5" t="s">
        <v>36</v>
      </c>
      <c r="C75" s="6"/>
      <c r="D75" s="5" t="s">
        <v>157</v>
      </c>
      <c r="E75" s="5" t="s">
        <v>158</v>
      </c>
      <c r="F75" s="6"/>
      <c r="G75" s="8">
        <v>38988.61</v>
      </c>
      <c r="H75" s="5" t="s">
        <v>22</v>
      </c>
      <c r="I75" s="7">
        <f t="shared" si="1"/>
        <v>58482.915</v>
      </c>
      <c r="J75" s="7">
        <f t="shared" si="7"/>
        <v>50685.193</v>
      </c>
      <c r="K75" s="7">
        <f t="shared" si="3"/>
        <v>50685.193</v>
      </c>
      <c r="L75" s="7">
        <f t="shared" si="4"/>
        <v>46786.332</v>
      </c>
      <c r="M75" s="7">
        <f t="shared" si="5"/>
        <v>44836.9015</v>
      </c>
      <c r="N75" s="7">
        <f t="shared" si="6"/>
        <v>42887.471</v>
      </c>
    </row>
    <row r="76">
      <c r="A76" s="5" t="s">
        <v>35</v>
      </c>
      <c r="B76" s="5" t="s">
        <v>36</v>
      </c>
      <c r="C76" s="6"/>
      <c r="D76" s="5" t="s">
        <v>159</v>
      </c>
      <c r="E76" s="5" t="s">
        <v>160</v>
      </c>
      <c r="F76" s="6"/>
      <c r="G76" s="8">
        <v>18582.59</v>
      </c>
      <c r="H76" s="5" t="s">
        <v>22</v>
      </c>
      <c r="I76" s="7">
        <f t="shared" si="1"/>
        <v>27873.885</v>
      </c>
      <c r="J76" s="7">
        <f t="shared" si="7"/>
        <v>24157.367</v>
      </c>
      <c r="K76" s="7">
        <f t="shared" si="3"/>
        <v>24157.367</v>
      </c>
      <c r="L76" s="7">
        <f t="shared" si="4"/>
        <v>22299.108</v>
      </c>
      <c r="M76" s="7">
        <f t="shared" si="5"/>
        <v>21369.9785</v>
      </c>
      <c r="N76" s="7">
        <f t="shared" si="6"/>
        <v>20440.849</v>
      </c>
    </row>
    <row r="77">
      <c r="A77" s="5" t="s">
        <v>35</v>
      </c>
      <c r="B77" s="5" t="s">
        <v>36</v>
      </c>
      <c r="C77" s="6"/>
      <c r="D77" s="5" t="s">
        <v>161</v>
      </c>
      <c r="E77" s="5" t="s">
        <v>162</v>
      </c>
      <c r="F77" s="6"/>
      <c r="G77" s="8">
        <v>35403.9</v>
      </c>
      <c r="H77" s="5" t="s">
        <v>22</v>
      </c>
      <c r="I77" s="7">
        <f t="shared" si="1"/>
        <v>53105.85</v>
      </c>
      <c r="J77" s="7">
        <f t="shared" si="7"/>
        <v>46025.07</v>
      </c>
      <c r="K77" s="7">
        <f t="shared" si="3"/>
        <v>46025.07</v>
      </c>
      <c r="L77" s="7">
        <f t="shared" si="4"/>
        <v>42484.68</v>
      </c>
      <c r="M77" s="7">
        <f t="shared" si="5"/>
        <v>40714.485</v>
      </c>
      <c r="N77" s="7">
        <f t="shared" si="6"/>
        <v>38944.29</v>
      </c>
    </row>
    <row r="78">
      <c r="A78" s="5" t="s">
        <v>35</v>
      </c>
      <c r="B78" s="6"/>
      <c r="C78" s="6"/>
      <c r="D78" s="5" t="s">
        <v>163</v>
      </c>
      <c r="E78" s="5" t="s">
        <v>164</v>
      </c>
      <c r="F78" s="6"/>
      <c r="G78" s="8">
        <v>11968.9</v>
      </c>
      <c r="H78" s="5" t="s">
        <v>22</v>
      </c>
      <c r="I78" s="7">
        <f t="shared" si="1"/>
        <v>17953.35</v>
      </c>
      <c r="J78" s="7">
        <f t="shared" si="7"/>
        <v>15559.57</v>
      </c>
      <c r="K78" s="7">
        <f t="shared" si="3"/>
        <v>15559.57</v>
      </c>
      <c r="L78" s="7">
        <f t="shared" si="4"/>
        <v>14362.68</v>
      </c>
      <c r="M78" s="7">
        <f t="shared" si="5"/>
        <v>13764.235</v>
      </c>
      <c r="N78" s="7">
        <f t="shared" si="6"/>
        <v>13165.79</v>
      </c>
    </row>
    <row r="79">
      <c r="A79" s="5" t="s">
        <v>35</v>
      </c>
      <c r="B79" s="5" t="s">
        <v>36</v>
      </c>
      <c r="C79" s="6"/>
      <c r="D79" s="5" t="s">
        <v>165</v>
      </c>
      <c r="E79" s="5" t="s">
        <v>166</v>
      </c>
      <c r="F79" s="6"/>
      <c r="G79" s="8">
        <v>3544.42</v>
      </c>
      <c r="H79" s="5" t="s">
        <v>22</v>
      </c>
      <c r="I79" s="7">
        <f t="shared" si="1"/>
        <v>5316.63</v>
      </c>
      <c r="J79" s="7">
        <f t="shared" si="7"/>
        <v>4607.746</v>
      </c>
      <c r="K79" s="7">
        <f t="shared" si="3"/>
        <v>4607.746</v>
      </c>
      <c r="L79" s="7">
        <f t="shared" si="4"/>
        <v>4253.304</v>
      </c>
      <c r="M79" s="7">
        <f t="shared" si="5"/>
        <v>4076.083</v>
      </c>
      <c r="N79" s="7">
        <f t="shared" si="6"/>
        <v>3898.862</v>
      </c>
    </row>
    <row r="80">
      <c r="A80" s="5" t="s">
        <v>35</v>
      </c>
      <c r="B80" s="5" t="s">
        <v>36</v>
      </c>
      <c r="C80" s="6"/>
      <c r="D80" s="5" t="s">
        <v>167</v>
      </c>
      <c r="E80" s="5" t="s">
        <v>168</v>
      </c>
      <c r="F80" s="6"/>
      <c r="G80" s="8">
        <v>4937.6</v>
      </c>
      <c r="H80" s="5" t="s">
        <v>22</v>
      </c>
      <c r="I80" s="7">
        <f t="shared" si="1"/>
        <v>7406.4</v>
      </c>
      <c r="J80" s="7">
        <f t="shared" si="7"/>
        <v>6418.88</v>
      </c>
      <c r="K80" s="7">
        <f t="shared" si="3"/>
        <v>6418.88</v>
      </c>
      <c r="L80" s="7">
        <f t="shared" si="4"/>
        <v>5925.12</v>
      </c>
      <c r="M80" s="7">
        <f t="shared" si="5"/>
        <v>5678.24</v>
      </c>
      <c r="N80" s="7">
        <f t="shared" si="6"/>
        <v>5431.36</v>
      </c>
    </row>
    <row r="81">
      <c r="A81" s="5" t="s">
        <v>35</v>
      </c>
      <c r="B81" s="5" t="s">
        <v>36</v>
      </c>
      <c r="C81" s="6"/>
      <c r="D81" s="5" t="s">
        <v>169</v>
      </c>
      <c r="E81" s="5" t="s">
        <v>170</v>
      </c>
      <c r="F81" s="6"/>
      <c r="G81" s="8">
        <v>4896.63</v>
      </c>
      <c r="H81" s="5" t="s">
        <v>22</v>
      </c>
      <c r="I81" s="7">
        <f t="shared" si="1"/>
        <v>7344.945</v>
      </c>
      <c r="J81" s="7">
        <f t="shared" si="7"/>
        <v>6365.619</v>
      </c>
      <c r="K81" s="7">
        <f t="shared" si="3"/>
        <v>6365.619</v>
      </c>
      <c r="L81" s="7">
        <f t="shared" si="4"/>
        <v>5875.956</v>
      </c>
      <c r="M81" s="7">
        <f t="shared" si="5"/>
        <v>5631.1245</v>
      </c>
      <c r="N81" s="7">
        <f t="shared" si="6"/>
        <v>5386.293</v>
      </c>
    </row>
    <row r="82">
      <c r="A82" s="5" t="s">
        <v>35</v>
      </c>
      <c r="B82" s="5" t="s">
        <v>36</v>
      </c>
      <c r="C82" s="6"/>
      <c r="D82" s="5" t="s">
        <v>171</v>
      </c>
      <c r="E82" s="5" t="s">
        <v>172</v>
      </c>
      <c r="F82" s="6"/>
      <c r="G82" s="8">
        <v>36079.32</v>
      </c>
      <c r="H82" s="5" t="s">
        <v>22</v>
      </c>
      <c r="I82" s="7">
        <f t="shared" si="1"/>
        <v>54118.98</v>
      </c>
      <c r="J82" s="7">
        <f t="shared" si="7"/>
        <v>46903.116</v>
      </c>
      <c r="K82" s="7">
        <f t="shared" si="3"/>
        <v>46903.116</v>
      </c>
      <c r="L82" s="7">
        <f t="shared" si="4"/>
        <v>43295.184</v>
      </c>
      <c r="M82" s="7">
        <f t="shared" si="5"/>
        <v>41491.218</v>
      </c>
      <c r="N82" s="7">
        <f t="shared" si="6"/>
        <v>39687.252</v>
      </c>
    </row>
    <row r="83">
      <c r="A83" s="5" t="s">
        <v>35</v>
      </c>
      <c r="B83" s="5" t="s">
        <v>36</v>
      </c>
      <c r="C83" s="6"/>
      <c r="D83" s="5" t="s">
        <v>173</v>
      </c>
      <c r="E83" s="5" t="s">
        <v>174</v>
      </c>
      <c r="F83" s="6"/>
      <c r="G83" s="8">
        <v>37377.51</v>
      </c>
      <c r="H83" s="5" t="s">
        <v>22</v>
      </c>
      <c r="I83" s="7">
        <f t="shared" si="1"/>
        <v>56066.265</v>
      </c>
      <c r="J83" s="7">
        <f t="shared" si="7"/>
        <v>48590.763</v>
      </c>
      <c r="K83" s="7">
        <f t="shared" si="3"/>
        <v>48590.763</v>
      </c>
      <c r="L83" s="7">
        <f t="shared" si="4"/>
        <v>44853.012</v>
      </c>
      <c r="M83" s="7">
        <f t="shared" si="5"/>
        <v>42984.1365</v>
      </c>
      <c r="N83" s="7">
        <f t="shared" si="6"/>
        <v>41115.261</v>
      </c>
    </row>
    <row r="84">
      <c r="A84" s="5" t="s">
        <v>35</v>
      </c>
      <c r="B84" s="5" t="s">
        <v>36</v>
      </c>
      <c r="C84" s="6"/>
      <c r="D84" s="5" t="s">
        <v>175</v>
      </c>
      <c r="E84" s="5" t="s">
        <v>176</v>
      </c>
      <c r="F84" s="6"/>
      <c r="G84" s="8">
        <v>4548.33</v>
      </c>
      <c r="H84" s="5" t="s">
        <v>22</v>
      </c>
      <c r="I84" s="7">
        <f t="shared" si="1"/>
        <v>6822.495</v>
      </c>
      <c r="J84" s="7">
        <f t="shared" si="7"/>
        <v>5912.829</v>
      </c>
      <c r="K84" s="7">
        <f t="shared" si="3"/>
        <v>5912.829</v>
      </c>
      <c r="L84" s="7">
        <f t="shared" si="4"/>
        <v>5457.996</v>
      </c>
      <c r="M84" s="7">
        <f t="shared" si="5"/>
        <v>5230.5795</v>
      </c>
      <c r="N84" s="7">
        <f t="shared" si="6"/>
        <v>5003.163</v>
      </c>
    </row>
    <row r="85">
      <c r="A85" s="5" t="s">
        <v>35</v>
      </c>
      <c r="B85" s="5" t="s">
        <v>36</v>
      </c>
      <c r="C85" s="6"/>
      <c r="D85" s="5" t="s">
        <v>177</v>
      </c>
      <c r="E85" s="5" t="s">
        <v>168</v>
      </c>
      <c r="F85" s="6"/>
      <c r="G85" s="8">
        <v>4077.11</v>
      </c>
      <c r="H85" s="5" t="s">
        <v>22</v>
      </c>
      <c r="I85" s="7">
        <f t="shared" si="1"/>
        <v>6115.665</v>
      </c>
      <c r="J85" s="7">
        <f t="shared" si="7"/>
        <v>5300.243</v>
      </c>
      <c r="K85" s="7">
        <f t="shared" si="3"/>
        <v>5300.243</v>
      </c>
      <c r="L85" s="7">
        <f t="shared" si="4"/>
        <v>4892.532</v>
      </c>
      <c r="M85" s="7">
        <f t="shared" si="5"/>
        <v>4688.6765</v>
      </c>
      <c r="N85" s="7">
        <f t="shared" si="6"/>
        <v>4484.821</v>
      </c>
    </row>
    <row r="86">
      <c r="A86" s="5" t="s">
        <v>35</v>
      </c>
      <c r="B86" s="5" t="s">
        <v>36</v>
      </c>
      <c r="C86" s="6"/>
      <c r="D86" s="5" t="s">
        <v>178</v>
      </c>
      <c r="E86" s="5" t="s">
        <v>170</v>
      </c>
      <c r="F86" s="6"/>
      <c r="G86" s="8">
        <v>4159.06</v>
      </c>
      <c r="H86" s="5" t="s">
        <v>22</v>
      </c>
      <c r="I86" s="7">
        <f t="shared" si="1"/>
        <v>6238.59</v>
      </c>
      <c r="J86" s="7">
        <f t="shared" si="7"/>
        <v>5406.778</v>
      </c>
      <c r="K86" s="7">
        <f t="shared" si="3"/>
        <v>5406.778</v>
      </c>
      <c r="L86" s="7">
        <f t="shared" si="4"/>
        <v>4990.872</v>
      </c>
      <c r="M86" s="7">
        <f t="shared" si="5"/>
        <v>4782.919</v>
      </c>
      <c r="N86" s="7">
        <f t="shared" si="6"/>
        <v>4574.966</v>
      </c>
    </row>
    <row r="87">
      <c r="A87" s="5" t="s">
        <v>35</v>
      </c>
      <c r="B87" s="5" t="s">
        <v>36</v>
      </c>
      <c r="C87" s="6"/>
      <c r="D87" s="5" t="s">
        <v>179</v>
      </c>
      <c r="E87" s="5" t="s">
        <v>180</v>
      </c>
      <c r="F87" s="6"/>
      <c r="G87" s="8">
        <v>9219.59</v>
      </c>
      <c r="H87" s="5" t="s">
        <v>22</v>
      </c>
      <c r="I87" s="7">
        <f t="shared" si="1"/>
        <v>13829.385</v>
      </c>
      <c r="J87" s="7">
        <f t="shared" si="7"/>
        <v>11985.467</v>
      </c>
      <c r="K87" s="7">
        <f t="shared" si="3"/>
        <v>11985.467</v>
      </c>
      <c r="L87" s="7">
        <f t="shared" si="4"/>
        <v>11063.508</v>
      </c>
      <c r="M87" s="7">
        <f t="shared" si="5"/>
        <v>10602.5285</v>
      </c>
      <c r="N87" s="7">
        <f t="shared" si="6"/>
        <v>10141.549</v>
      </c>
    </row>
    <row r="88">
      <c r="A88" s="5" t="s">
        <v>35</v>
      </c>
      <c r="B88" s="5" t="s">
        <v>36</v>
      </c>
      <c r="C88" s="6"/>
      <c r="D88" s="5" t="s">
        <v>181</v>
      </c>
      <c r="E88" s="5" t="s">
        <v>182</v>
      </c>
      <c r="F88" s="6"/>
      <c r="G88" s="8">
        <v>8604.95</v>
      </c>
      <c r="H88" s="5" t="s">
        <v>22</v>
      </c>
      <c r="I88" s="7">
        <f t="shared" si="1"/>
        <v>12907.425</v>
      </c>
      <c r="J88" s="7">
        <f t="shared" si="7"/>
        <v>11186.435</v>
      </c>
      <c r="K88" s="7">
        <f t="shared" si="3"/>
        <v>11186.435</v>
      </c>
      <c r="L88" s="7">
        <f t="shared" si="4"/>
        <v>10325.94</v>
      </c>
      <c r="M88" s="7">
        <f t="shared" si="5"/>
        <v>9895.6925</v>
      </c>
      <c r="N88" s="7">
        <f t="shared" si="6"/>
        <v>9465.445</v>
      </c>
    </row>
    <row r="89">
      <c r="A89" s="5" t="s">
        <v>35</v>
      </c>
      <c r="B89" s="6"/>
      <c r="C89" s="6"/>
      <c r="D89" s="5" t="s">
        <v>183</v>
      </c>
      <c r="E89" s="5" t="s">
        <v>184</v>
      </c>
      <c r="F89" s="6"/>
      <c r="G89" s="8">
        <v>49423.51</v>
      </c>
      <c r="H89" s="5" t="s">
        <v>22</v>
      </c>
      <c r="I89" s="7">
        <f t="shared" si="1"/>
        <v>74135.265</v>
      </c>
      <c r="J89" s="7">
        <f t="shared" si="7"/>
        <v>64250.563</v>
      </c>
      <c r="K89" s="7">
        <f t="shared" si="3"/>
        <v>64250.563</v>
      </c>
      <c r="L89" s="7">
        <f t="shared" si="4"/>
        <v>59308.212</v>
      </c>
      <c r="M89" s="7">
        <f t="shared" si="5"/>
        <v>56837.0365</v>
      </c>
      <c r="N89" s="7">
        <f t="shared" si="6"/>
        <v>54365.861</v>
      </c>
    </row>
    <row r="90">
      <c r="A90" s="5" t="s">
        <v>35</v>
      </c>
      <c r="B90" s="6"/>
      <c r="C90" s="6"/>
      <c r="D90" s="5" t="s">
        <v>185</v>
      </c>
      <c r="E90" s="5" t="s">
        <v>186</v>
      </c>
      <c r="F90" s="6"/>
      <c r="G90" s="8">
        <v>9989.86</v>
      </c>
      <c r="H90" s="5" t="s">
        <v>22</v>
      </c>
      <c r="I90" s="7">
        <f t="shared" si="1"/>
        <v>14984.79</v>
      </c>
      <c r="J90" s="7">
        <f t="shared" si="7"/>
        <v>12986.818</v>
      </c>
      <c r="K90" s="7">
        <f t="shared" si="3"/>
        <v>12986.818</v>
      </c>
      <c r="L90" s="7">
        <f t="shared" si="4"/>
        <v>11987.832</v>
      </c>
      <c r="M90" s="7">
        <f t="shared" si="5"/>
        <v>11488.339</v>
      </c>
      <c r="N90" s="7">
        <f t="shared" si="6"/>
        <v>10988.846</v>
      </c>
    </row>
    <row r="91">
      <c r="A91" s="5" t="s">
        <v>35</v>
      </c>
      <c r="B91" s="5" t="s">
        <v>36</v>
      </c>
      <c r="C91" s="6"/>
      <c r="D91" s="5" t="s">
        <v>187</v>
      </c>
      <c r="E91" s="5" t="s">
        <v>188</v>
      </c>
      <c r="F91" s="6"/>
      <c r="G91" s="8">
        <v>2378.25</v>
      </c>
      <c r="H91" s="5" t="s">
        <v>22</v>
      </c>
      <c r="I91" s="7">
        <f t="shared" si="1"/>
        <v>3567.375</v>
      </c>
      <c r="J91" s="7">
        <f t="shared" si="7"/>
        <v>3091.725</v>
      </c>
      <c r="K91" s="7">
        <f t="shared" si="3"/>
        <v>3091.725</v>
      </c>
      <c r="L91" s="7">
        <f t="shared" si="4"/>
        <v>2853.9</v>
      </c>
      <c r="M91" s="7">
        <f t="shared" si="5"/>
        <v>2734.9875</v>
      </c>
      <c r="N91" s="7">
        <f t="shared" si="6"/>
        <v>2616.075</v>
      </c>
    </row>
    <row r="92">
      <c r="A92" s="5" t="s">
        <v>35</v>
      </c>
      <c r="B92" s="5" t="s">
        <v>36</v>
      </c>
      <c r="C92" s="6"/>
      <c r="D92" s="5" t="s">
        <v>189</v>
      </c>
      <c r="E92" s="5" t="s">
        <v>190</v>
      </c>
      <c r="F92" s="6"/>
      <c r="G92" s="8">
        <v>26272.13</v>
      </c>
      <c r="H92" s="5" t="s">
        <v>22</v>
      </c>
      <c r="I92" s="7">
        <f t="shared" si="1"/>
        <v>39408.195</v>
      </c>
      <c r="J92" s="7">
        <f t="shared" si="7"/>
        <v>34153.769</v>
      </c>
      <c r="K92" s="7">
        <f t="shared" si="3"/>
        <v>34153.769</v>
      </c>
      <c r="L92" s="7">
        <f t="shared" si="4"/>
        <v>31526.556</v>
      </c>
      <c r="M92" s="7">
        <f t="shared" si="5"/>
        <v>30212.9495</v>
      </c>
      <c r="N92" s="7">
        <f t="shared" si="6"/>
        <v>28899.343</v>
      </c>
    </row>
    <row r="93">
      <c r="A93" s="5" t="s">
        <v>35</v>
      </c>
      <c r="B93" s="5" t="s">
        <v>36</v>
      </c>
      <c r="C93" s="6"/>
      <c r="D93" s="9">
        <v>1800707.0</v>
      </c>
      <c r="E93" s="5" t="s">
        <v>191</v>
      </c>
      <c r="F93" s="8">
        <v>3974.25</v>
      </c>
      <c r="G93" s="8">
        <v>13270.38</v>
      </c>
      <c r="H93" s="5" t="s">
        <v>22</v>
      </c>
      <c r="I93" s="7">
        <f t="shared" si="1"/>
        <v>19905.57</v>
      </c>
      <c r="J93" s="7">
        <f t="shared" si="7"/>
        <v>17251.494</v>
      </c>
      <c r="K93" s="7">
        <f t="shared" si="3"/>
        <v>17251.494</v>
      </c>
      <c r="L93" s="7">
        <f t="shared" si="4"/>
        <v>15924.456</v>
      </c>
      <c r="M93" s="7">
        <f t="shared" si="5"/>
        <v>15260.937</v>
      </c>
      <c r="N93" s="7">
        <f t="shared" si="6"/>
        <v>14597.418</v>
      </c>
    </row>
    <row r="94">
      <c r="A94" s="5" t="s">
        <v>35</v>
      </c>
      <c r="B94" s="5" t="s">
        <v>36</v>
      </c>
      <c r="C94" s="6"/>
      <c r="D94" s="5" t="s">
        <v>192</v>
      </c>
      <c r="E94" s="5" t="s">
        <v>193</v>
      </c>
      <c r="F94" s="6"/>
      <c r="G94" s="8">
        <v>2262.75</v>
      </c>
      <c r="H94" s="5" t="s">
        <v>22</v>
      </c>
      <c r="I94" s="7">
        <f t="shared" si="1"/>
        <v>3394.125</v>
      </c>
      <c r="J94" s="7">
        <f t="shared" si="7"/>
        <v>2941.575</v>
      </c>
      <c r="K94" s="7">
        <f t="shared" si="3"/>
        <v>2941.575</v>
      </c>
      <c r="L94" s="7">
        <f t="shared" si="4"/>
        <v>2715.3</v>
      </c>
      <c r="M94" s="7">
        <f t="shared" si="5"/>
        <v>2602.1625</v>
      </c>
      <c r="N94" s="7">
        <f t="shared" si="6"/>
        <v>2489.025</v>
      </c>
    </row>
    <row r="95">
      <c r="A95" s="5" t="s">
        <v>35</v>
      </c>
      <c r="B95" s="5" t="s">
        <v>36</v>
      </c>
      <c r="C95" s="6"/>
      <c r="D95" s="9">
        <v>1801834.0</v>
      </c>
      <c r="E95" s="5" t="s">
        <v>194</v>
      </c>
      <c r="F95" s="5">
        <v>941.38</v>
      </c>
      <c r="G95" s="8">
        <v>1417.5</v>
      </c>
      <c r="H95" s="5" t="s">
        <v>22</v>
      </c>
      <c r="I95" s="7">
        <f t="shared" si="1"/>
        <v>2126.25</v>
      </c>
      <c r="J95" s="7">
        <f t="shared" si="7"/>
        <v>1842.75</v>
      </c>
      <c r="K95" s="7">
        <f t="shared" si="3"/>
        <v>1842.75</v>
      </c>
      <c r="L95" s="7">
        <f t="shared" si="4"/>
        <v>1701</v>
      </c>
      <c r="M95" s="7">
        <f t="shared" si="5"/>
        <v>1630.125</v>
      </c>
      <c r="N95" s="7">
        <f t="shared" si="6"/>
        <v>1559.25</v>
      </c>
    </row>
    <row r="96">
      <c r="A96" s="10" t="s">
        <v>35</v>
      </c>
      <c r="B96" s="10" t="s">
        <v>36</v>
      </c>
      <c r="C96" s="11"/>
      <c r="D96" s="10" t="s">
        <v>195</v>
      </c>
      <c r="E96" s="10" t="s">
        <v>196</v>
      </c>
      <c r="F96" s="11"/>
      <c r="G96" s="12">
        <v>3086.8</v>
      </c>
      <c r="H96" s="5" t="s">
        <v>22</v>
      </c>
      <c r="I96" s="7">
        <f t="shared" si="1"/>
        <v>4630.2</v>
      </c>
      <c r="J96" s="7">
        <f t="shared" si="7"/>
        <v>4012.84</v>
      </c>
      <c r="K96" s="7">
        <f t="shared" si="3"/>
        <v>4012.84</v>
      </c>
      <c r="L96" s="7">
        <f t="shared" si="4"/>
        <v>3704.16</v>
      </c>
      <c r="M96" s="7">
        <f t="shared" si="5"/>
        <v>3549.82</v>
      </c>
      <c r="N96" s="7">
        <f t="shared" si="6"/>
        <v>3395.48</v>
      </c>
    </row>
    <row r="97">
      <c r="A97" s="5" t="s">
        <v>35</v>
      </c>
      <c r="B97" s="5" t="s">
        <v>197</v>
      </c>
      <c r="C97" s="5" t="s">
        <v>198</v>
      </c>
      <c r="D97" s="5" t="s">
        <v>199</v>
      </c>
      <c r="E97" s="5" t="s">
        <v>200</v>
      </c>
      <c r="F97" s="6"/>
      <c r="G97" s="8">
        <v>35131.53</v>
      </c>
      <c r="H97" s="5" t="s">
        <v>22</v>
      </c>
      <c r="I97" s="7">
        <f t="shared" si="1"/>
        <v>52697.295</v>
      </c>
      <c r="J97" s="7">
        <f t="shared" si="7"/>
        <v>45670.989</v>
      </c>
      <c r="K97" s="7">
        <f t="shared" si="3"/>
        <v>45670.989</v>
      </c>
      <c r="L97" s="7">
        <f t="shared" si="4"/>
        <v>42157.836</v>
      </c>
      <c r="M97" s="7">
        <f t="shared" si="5"/>
        <v>40401.2595</v>
      </c>
      <c r="N97" s="7">
        <f t="shared" si="6"/>
        <v>38644.683</v>
      </c>
    </row>
    <row r="98">
      <c r="A98" s="5" t="s">
        <v>35</v>
      </c>
      <c r="B98" s="5" t="s">
        <v>197</v>
      </c>
      <c r="C98" s="5" t="s">
        <v>198</v>
      </c>
      <c r="D98" s="5" t="s">
        <v>201</v>
      </c>
      <c r="E98" s="5" t="s">
        <v>202</v>
      </c>
      <c r="F98" s="6"/>
      <c r="G98" s="8">
        <v>48977.46</v>
      </c>
      <c r="H98" s="5" t="s">
        <v>22</v>
      </c>
      <c r="I98" s="7">
        <f t="shared" si="1"/>
        <v>73466.19</v>
      </c>
      <c r="J98" s="7">
        <f t="shared" si="7"/>
        <v>63670.698</v>
      </c>
      <c r="K98" s="7">
        <f t="shared" si="3"/>
        <v>63670.698</v>
      </c>
      <c r="L98" s="7">
        <f t="shared" si="4"/>
        <v>58772.952</v>
      </c>
      <c r="M98" s="7">
        <f t="shared" si="5"/>
        <v>56324.079</v>
      </c>
      <c r="N98" s="7">
        <f t="shared" si="6"/>
        <v>53875.206</v>
      </c>
    </row>
    <row r="99">
      <c r="A99" s="5" t="s">
        <v>35</v>
      </c>
      <c r="B99" s="5" t="s">
        <v>197</v>
      </c>
      <c r="C99" s="5" t="s">
        <v>198</v>
      </c>
      <c r="D99" s="5" t="s">
        <v>203</v>
      </c>
      <c r="E99" s="5" t="s">
        <v>204</v>
      </c>
      <c r="F99" s="6"/>
      <c r="G99" s="8">
        <v>12982.9</v>
      </c>
      <c r="H99" s="5" t="s">
        <v>22</v>
      </c>
      <c r="I99" s="7">
        <f t="shared" si="1"/>
        <v>19474.35</v>
      </c>
      <c r="J99" s="7">
        <f t="shared" si="7"/>
        <v>16877.77</v>
      </c>
      <c r="K99" s="7">
        <f t="shared" si="3"/>
        <v>16877.77</v>
      </c>
      <c r="L99" s="7">
        <f t="shared" si="4"/>
        <v>15579.48</v>
      </c>
      <c r="M99" s="7">
        <f t="shared" si="5"/>
        <v>14930.335</v>
      </c>
      <c r="N99" s="7">
        <f t="shared" si="6"/>
        <v>14281.19</v>
      </c>
    </row>
    <row r="100">
      <c r="A100" s="5" t="s">
        <v>35</v>
      </c>
      <c r="B100" s="5" t="s">
        <v>197</v>
      </c>
      <c r="C100" s="5" t="s">
        <v>198</v>
      </c>
      <c r="D100" s="5" t="s">
        <v>205</v>
      </c>
      <c r="E100" s="5" t="s">
        <v>206</v>
      </c>
      <c r="F100" s="6"/>
      <c r="G100" s="8">
        <v>3381.09</v>
      </c>
      <c r="H100" s="5" t="s">
        <v>22</v>
      </c>
      <c r="I100" s="7">
        <f t="shared" si="1"/>
        <v>5071.635</v>
      </c>
      <c r="J100" s="7">
        <f t="shared" si="7"/>
        <v>4395.417</v>
      </c>
      <c r="K100" s="7">
        <f t="shared" si="3"/>
        <v>4395.417</v>
      </c>
      <c r="L100" s="7">
        <f t="shared" si="4"/>
        <v>4057.308</v>
      </c>
      <c r="M100" s="7">
        <f t="shared" si="5"/>
        <v>3888.2535</v>
      </c>
      <c r="N100" s="7">
        <f t="shared" si="6"/>
        <v>3719.199</v>
      </c>
    </row>
    <row r="101">
      <c r="A101" s="5" t="s">
        <v>35</v>
      </c>
      <c r="B101" s="5" t="s">
        <v>197</v>
      </c>
      <c r="C101" s="5" t="s">
        <v>198</v>
      </c>
      <c r="D101" s="5" t="s">
        <v>207</v>
      </c>
      <c r="E101" s="5" t="s">
        <v>208</v>
      </c>
      <c r="F101" s="6"/>
      <c r="G101" s="8">
        <v>2744.8</v>
      </c>
      <c r="H101" s="5" t="s">
        <v>22</v>
      </c>
      <c r="I101" s="7">
        <f t="shared" si="1"/>
        <v>4117.2</v>
      </c>
      <c r="J101" s="7">
        <f t="shared" si="7"/>
        <v>3568.24</v>
      </c>
      <c r="K101" s="7">
        <f t="shared" si="3"/>
        <v>3568.24</v>
      </c>
      <c r="L101" s="7">
        <f t="shared" si="4"/>
        <v>3293.76</v>
      </c>
      <c r="M101" s="7">
        <f t="shared" si="5"/>
        <v>3156.52</v>
      </c>
      <c r="N101" s="7">
        <f t="shared" si="6"/>
        <v>3019.28</v>
      </c>
    </row>
    <row r="102">
      <c r="A102" s="5" t="s">
        <v>35</v>
      </c>
      <c r="B102" s="5" t="s">
        <v>197</v>
      </c>
      <c r="C102" s="5" t="s">
        <v>198</v>
      </c>
      <c r="D102" s="5" t="s">
        <v>209</v>
      </c>
      <c r="E102" s="5" t="s">
        <v>210</v>
      </c>
      <c r="F102" s="6"/>
      <c r="G102" s="8">
        <v>2991.83</v>
      </c>
      <c r="H102" s="5" t="s">
        <v>22</v>
      </c>
      <c r="I102" s="7">
        <f t="shared" si="1"/>
        <v>4487.745</v>
      </c>
      <c r="J102" s="7">
        <f t="shared" si="7"/>
        <v>3889.379</v>
      </c>
      <c r="K102" s="7">
        <f t="shared" si="3"/>
        <v>3889.379</v>
      </c>
      <c r="L102" s="7">
        <f t="shared" si="4"/>
        <v>3590.196</v>
      </c>
      <c r="M102" s="7">
        <f t="shared" si="5"/>
        <v>3440.6045</v>
      </c>
      <c r="N102" s="7">
        <f t="shared" si="6"/>
        <v>3291.013</v>
      </c>
    </row>
    <row r="103">
      <c r="A103" s="5" t="s">
        <v>35</v>
      </c>
      <c r="B103" s="5" t="s">
        <v>197</v>
      </c>
      <c r="C103" s="5" t="s">
        <v>198</v>
      </c>
      <c r="D103" s="5" t="s">
        <v>211</v>
      </c>
      <c r="E103" s="5" t="s">
        <v>212</v>
      </c>
      <c r="F103" s="6"/>
      <c r="G103" s="8">
        <v>14602.34</v>
      </c>
      <c r="H103" s="5" t="s">
        <v>22</v>
      </c>
      <c r="I103" s="7">
        <f t="shared" si="1"/>
        <v>21903.51</v>
      </c>
      <c r="J103" s="7">
        <f t="shared" si="7"/>
        <v>18983.042</v>
      </c>
      <c r="K103" s="7">
        <f t="shared" si="3"/>
        <v>18983.042</v>
      </c>
      <c r="L103" s="7">
        <f t="shared" si="4"/>
        <v>17522.808</v>
      </c>
      <c r="M103" s="7">
        <f t="shared" si="5"/>
        <v>16792.691</v>
      </c>
      <c r="N103" s="7">
        <f t="shared" si="6"/>
        <v>16062.574</v>
      </c>
    </row>
    <row r="104">
      <c r="A104" s="5" t="s">
        <v>35</v>
      </c>
      <c r="B104" s="5" t="s">
        <v>197</v>
      </c>
      <c r="C104" s="5" t="s">
        <v>198</v>
      </c>
      <c r="D104" s="5" t="s">
        <v>213</v>
      </c>
      <c r="E104" s="5" t="s">
        <v>214</v>
      </c>
      <c r="F104" s="6"/>
      <c r="G104" s="8">
        <v>18417.61</v>
      </c>
      <c r="H104" s="5" t="s">
        <v>22</v>
      </c>
      <c r="I104" s="7">
        <f t="shared" si="1"/>
        <v>27626.415</v>
      </c>
      <c r="J104" s="7">
        <f t="shared" si="7"/>
        <v>23942.893</v>
      </c>
      <c r="K104" s="7">
        <f t="shared" si="3"/>
        <v>23942.893</v>
      </c>
      <c r="L104" s="7">
        <f t="shared" si="4"/>
        <v>22101.132</v>
      </c>
      <c r="M104" s="7">
        <f t="shared" si="5"/>
        <v>21180.2515</v>
      </c>
      <c r="N104" s="7">
        <f t="shared" si="6"/>
        <v>20259.371</v>
      </c>
    </row>
    <row r="105">
      <c r="A105" s="5" t="s">
        <v>35</v>
      </c>
      <c r="B105" s="5" t="s">
        <v>197</v>
      </c>
      <c r="C105" s="5" t="s">
        <v>198</v>
      </c>
      <c r="D105" s="5" t="s">
        <v>215</v>
      </c>
      <c r="E105" s="5" t="s">
        <v>216</v>
      </c>
      <c r="F105" s="6"/>
      <c r="G105" s="8">
        <v>6027.85</v>
      </c>
      <c r="H105" s="5" t="s">
        <v>22</v>
      </c>
      <c r="I105" s="7">
        <f t="shared" si="1"/>
        <v>9041.775</v>
      </c>
      <c r="J105" s="7">
        <f t="shared" si="7"/>
        <v>7836.205</v>
      </c>
      <c r="K105" s="7">
        <f t="shared" si="3"/>
        <v>7836.205</v>
      </c>
      <c r="L105" s="7">
        <f t="shared" si="4"/>
        <v>7233.42</v>
      </c>
      <c r="M105" s="7">
        <f t="shared" si="5"/>
        <v>6932.0275</v>
      </c>
      <c r="N105" s="7">
        <f t="shared" si="6"/>
        <v>6630.635</v>
      </c>
    </row>
    <row r="106">
      <c r="A106" s="5" t="s">
        <v>35</v>
      </c>
      <c r="B106" s="5" t="s">
        <v>197</v>
      </c>
      <c r="C106" s="6"/>
      <c r="D106" s="5" t="s">
        <v>217</v>
      </c>
      <c r="E106" s="5" t="s">
        <v>218</v>
      </c>
      <c r="F106" s="6"/>
      <c r="G106" s="8">
        <v>1250.0</v>
      </c>
      <c r="H106" s="5" t="s">
        <v>22</v>
      </c>
      <c r="I106" s="7">
        <f t="shared" si="1"/>
        <v>1875</v>
      </c>
      <c r="J106" s="7">
        <f t="shared" si="7"/>
        <v>1625</v>
      </c>
      <c r="K106" s="7">
        <f t="shared" si="3"/>
        <v>1625</v>
      </c>
      <c r="L106" s="7">
        <f t="shared" si="4"/>
        <v>1500</v>
      </c>
      <c r="M106" s="7">
        <f t="shared" si="5"/>
        <v>1437.5</v>
      </c>
      <c r="N106" s="7">
        <f t="shared" si="6"/>
        <v>1375</v>
      </c>
    </row>
    <row r="107">
      <c r="A107" s="5" t="s">
        <v>35</v>
      </c>
      <c r="B107" s="5" t="s">
        <v>197</v>
      </c>
      <c r="C107" s="6"/>
      <c r="D107" s="5" t="s">
        <v>219</v>
      </c>
      <c r="E107" s="5" t="s">
        <v>220</v>
      </c>
      <c r="F107" s="6"/>
      <c r="G107" s="8">
        <v>1061.06</v>
      </c>
      <c r="H107" s="5" t="s">
        <v>22</v>
      </c>
      <c r="I107" s="7">
        <f t="shared" si="1"/>
        <v>1591.59</v>
      </c>
      <c r="J107" s="7">
        <f t="shared" si="7"/>
        <v>1379.378</v>
      </c>
      <c r="K107" s="7">
        <f t="shared" si="3"/>
        <v>1379.378</v>
      </c>
      <c r="L107" s="7">
        <f t="shared" si="4"/>
        <v>1273.272</v>
      </c>
      <c r="M107" s="7">
        <f t="shared" si="5"/>
        <v>1220.219</v>
      </c>
      <c r="N107" s="7">
        <f t="shared" si="6"/>
        <v>1167.166</v>
      </c>
    </row>
    <row r="108">
      <c r="A108" s="5" t="s">
        <v>35</v>
      </c>
      <c r="B108" s="5" t="s">
        <v>197</v>
      </c>
      <c r="C108" s="6"/>
      <c r="D108" s="5" t="s">
        <v>221</v>
      </c>
      <c r="E108" s="5" t="s">
        <v>222</v>
      </c>
      <c r="F108" s="6"/>
      <c r="G108" s="8">
        <v>1145.61</v>
      </c>
      <c r="H108" s="5" t="s">
        <v>22</v>
      </c>
      <c r="I108" s="7">
        <f t="shared" si="1"/>
        <v>1718.415</v>
      </c>
      <c r="J108" s="7">
        <f t="shared" si="7"/>
        <v>1489.293</v>
      </c>
      <c r="K108" s="7">
        <f t="shared" si="3"/>
        <v>1489.293</v>
      </c>
      <c r="L108" s="7">
        <f t="shared" si="4"/>
        <v>1374.732</v>
      </c>
      <c r="M108" s="7">
        <f t="shared" si="5"/>
        <v>1317.4515</v>
      </c>
      <c r="N108" s="7">
        <f t="shared" si="6"/>
        <v>1260.171</v>
      </c>
    </row>
    <row r="109">
      <c r="A109" s="5" t="s">
        <v>35</v>
      </c>
      <c r="B109" s="5" t="s">
        <v>197</v>
      </c>
      <c r="C109" s="6"/>
      <c r="D109" s="5" t="s">
        <v>223</v>
      </c>
      <c r="E109" s="5" t="s">
        <v>224</v>
      </c>
      <c r="F109" s="6"/>
      <c r="G109" s="5">
        <v>911.0</v>
      </c>
      <c r="H109" s="5" t="s">
        <v>22</v>
      </c>
      <c r="I109" s="7">
        <f t="shared" si="1"/>
        <v>1366.5</v>
      </c>
      <c r="J109" s="7">
        <f t="shared" si="7"/>
        <v>1184.3</v>
      </c>
      <c r="K109" s="7">
        <f t="shared" si="3"/>
        <v>1184.3</v>
      </c>
      <c r="L109" s="7">
        <f t="shared" si="4"/>
        <v>1093.2</v>
      </c>
      <c r="M109" s="7">
        <f t="shared" si="5"/>
        <v>1047.65</v>
      </c>
      <c r="N109" s="7">
        <f t="shared" si="6"/>
        <v>1002.1</v>
      </c>
    </row>
    <row r="110">
      <c r="A110" s="5" t="s">
        <v>35</v>
      </c>
      <c r="B110" s="5" t="s">
        <v>197</v>
      </c>
      <c r="C110" s="6"/>
      <c r="D110" s="5" t="s">
        <v>225</v>
      </c>
      <c r="E110" s="5" t="s">
        <v>226</v>
      </c>
      <c r="F110" s="6"/>
      <c r="G110" s="5">
        <v>797.13</v>
      </c>
      <c r="H110" s="5" t="s">
        <v>22</v>
      </c>
      <c r="I110" s="7">
        <f t="shared" si="1"/>
        <v>1195.695</v>
      </c>
      <c r="J110" s="7">
        <f t="shared" si="7"/>
        <v>1036.269</v>
      </c>
      <c r="K110" s="7">
        <f t="shared" si="3"/>
        <v>1036.269</v>
      </c>
      <c r="L110" s="7">
        <f t="shared" si="4"/>
        <v>956.556</v>
      </c>
      <c r="M110" s="7">
        <f t="shared" si="5"/>
        <v>916.6995</v>
      </c>
      <c r="N110" s="7">
        <f t="shared" si="6"/>
        <v>876.843</v>
      </c>
    </row>
    <row r="111">
      <c r="A111" s="5" t="s">
        <v>35</v>
      </c>
      <c r="B111" s="5" t="s">
        <v>197</v>
      </c>
      <c r="C111" s="6"/>
      <c r="D111" s="5" t="s">
        <v>227</v>
      </c>
      <c r="E111" s="5" t="s">
        <v>228</v>
      </c>
      <c r="F111" s="6"/>
      <c r="G111" s="5">
        <v>170.81</v>
      </c>
      <c r="H111" s="5" t="s">
        <v>22</v>
      </c>
      <c r="I111" s="7">
        <f t="shared" si="1"/>
        <v>256.215</v>
      </c>
      <c r="J111" s="7">
        <f t="shared" si="7"/>
        <v>222.053</v>
      </c>
      <c r="K111" s="7">
        <f t="shared" si="3"/>
        <v>222.053</v>
      </c>
      <c r="L111" s="7">
        <f t="shared" si="4"/>
        <v>204.972</v>
      </c>
      <c r="M111" s="7">
        <f t="shared" si="5"/>
        <v>196.4315</v>
      </c>
      <c r="N111" s="7">
        <f t="shared" si="6"/>
        <v>187.891</v>
      </c>
    </row>
    <row r="112">
      <c r="A112" s="5" t="s">
        <v>35</v>
      </c>
      <c r="B112" s="5" t="s">
        <v>197</v>
      </c>
      <c r="C112" s="6"/>
      <c r="D112" s="5" t="s">
        <v>229</v>
      </c>
      <c r="E112" s="5" t="s">
        <v>230</v>
      </c>
      <c r="F112" s="6"/>
      <c r="G112" s="8">
        <v>1594.27</v>
      </c>
      <c r="H112" s="5" t="s">
        <v>22</v>
      </c>
      <c r="I112" s="7">
        <f t="shared" si="1"/>
        <v>2391.405</v>
      </c>
      <c r="J112" s="7">
        <f t="shared" si="7"/>
        <v>2072.551</v>
      </c>
      <c r="K112" s="7">
        <f t="shared" si="3"/>
        <v>2072.551</v>
      </c>
      <c r="L112" s="7">
        <f t="shared" si="4"/>
        <v>1913.124</v>
      </c>
      <c r="M112" s="7">
        <f t="shared" si="5"/>
        <v>1833.4105</v>
      </c>
      <c r="N112" s="7">
        <f t="shared" si="6"/>
        <v>1753.697</v>
      </c>
    </row>
    <row r="113">
      <c r="A113" s="5" t="s">
        <v>35</v>
      </c>
      <c r="B113" s="5" t="s">
        <v>197</v>
      </c>
      <c r="C113" s="6"/>
      <c r="D113" s="5" t="s">
        <v>231</v>
      </c>
      <c r="E113" s="5" t="s">
        <v>232</v>
      </c>
      <c r="F113" s="6"/>
      <c r="G113" s="8">
        <v>1272.16</v>
      </c>
      <c r="H113" s="5" t="s">
        <v>22</v>
      </c>
      <c r="I113" s="7">
        <f t="shared" si="1"/>
        <v>1908.24</v>
      </c>
      <c r="J113" s="7">
        <f t="shared" si="7"/>
        <v>1653.808</v>
      </c>
      <c r="K113" s="7">
        <f t="shared" si="3"/>
        <v>1653.808</v>
      </c>
      <c r="L113" s="7">
        <f t="shared" si="4"/>
        <v>1526.592</v>
      </c>
      <c r="M113" s="7">
        <f t="shared" si="5"/>
        <v>1462.984</v>
      </c>
      <c r="N113" s="7">
        <f t="shared" si="6"/>
        <v>1399.376</v>
      </c>
    </row>
    <row r="114">
      <c r="A114" s="5" t="s">
        <v>35</v>
      </c>
      <c r="B114" s="10" t="s">
        <v>197</v>
      </c>
      <c r="C114" s="11"/>
      <c r="D114" s="10" t="s">
        <v>233</v>
      </c>
      <c r="E114" s="10" t="s">
        <v>234</v>
      </c>
      <c r="F114" s="10" t="s">
        <v>235</v>
      </c>
      <c r="G114" s="12">
        <v>2932.65</v>
      </c>
      <c r="H114" s="5" t="s">
        <v>22</v>
      </c>
      <c r="I114" s="7">
        <f t="shared" si="1"/>
        <v>4398.975</v>
      </c>
      <c r="J114" s="7">
        <f t="shared" si="7"/>
        <v>3812.445</v>
      </c>
      <c r="K114" s="7">
        <f t="shared" si="3"/>
        <v>3812.445</v>
      </c>
      <c r="L114" s="7">
        <f t="shared" si="4"/>
        <v>3519.18</v>
      </c>
      <c r="M114" s="7">
        <f t="shared" si="5"/>
        <v>3372.5475</v>
      </c>
      <c r="N114" s="7">
        <f t="shared" si="6"/>
        <v>3225.915</v>
      </c>
    </row>
    <row r="115">
      <c r="A115" s="5" t="s">
        <v>35</v>
      </c>
      <c r="B115" s="5" t="s">
        <v>197</v>
      </c>
      <c r="C115" s="6"/>
      <c r="D115" s="5" t="s">
        <v>236</v>
      </c>
      <c r="E115" s="5" t="s">
        <v>237</v>
      </c>
      <c r="F115" s="6"/>
      <c r="G115" s="8">
        <v>7964.55</v>
      </c>
      <c r="H115" s="5" t="s">
        <v>22</v>
      </c>
      <c r="I115" s="7">
        <f t="shared" si="1"/>
        <v>11946.825</v>
      </c>
      <c r="J115" s="7">
        <f t="shared" si="7"/>
        <v>10353.915</v>
      </c>
      <c r="K115" s="7">
        <f t="shared" si="3"/>
        <v>10353.915</v>
      </c>
      <c r="L115" s="7">
        <f t="shared" si="4"/>
        <v>9557.46</v>
      </c>
      <c r="M115" s="7">
        <f t="shared" si="5"/>
        <v>9159.2325</v>
      </c>
      <c r="N115" s="7">
        <f t="shared" si="6"/>
        <v>8761.005</v>
      </c>
    </row>
    <row r="116">
      <c r="A116" s="5" t="s">
        <v>35</v>
      </c>
      <c r="B116" s="5" t="s">
        <v>197</v>
      </c>
      <c r="C116" s="6"/>
      <c r="D116" s="5" t="s">
        <v>238</v>
      </c>
      <c r="E116" s="5" t="s">
        <v>239</v>
      </c>
      <c r="F116" s="6"/>
      <c r="G116" s="8">
        <v>3881.93</v>
      </c>
      <c r="H116" s="5" t="s">
        <v>22</v>
      </c>
      <c r="I116" s="7">
        <f t="shared" si="1"/>
        <v>5822.895</v>
      </c>
      <c r="J116" s="7">
        <f t="shared" si="7"/>
        <v>5046.509</v>
      </c>
      <c r="K116" s="7">
        <f t="shared" si="3"/>
        <v>5046.509</v>
      </c>
      <c r="L116" s="7">
        <f t="shared" si="4"/>
        <v>4658.316</v>
      </c>
      <c r="M116" s="7">
        <f t="shared" si="5"/>
        <v>4464.2195</v>
      </c>
      <c r="N116" s="7">
        <f t="shared" si="6"/>
        <v>4270.123</v>
      </c>
    </row>
    <row r="117">
      <c r="A117" s="5" t="s">
        <v>35</v>
      </c>
      <c r="B117" s="5" t="s">
        <v>197</v>
      </c>
      <c r="C117" s="6"/>
      <c r="D117" s="5" t="s">
        <v>240</v>
      </c>
      <c r="E117" s="5" t="s">
        <v>241</v>
      </c>
      <c r="F117" s="6"/>
      <c r="G117" s="8">
        <v>1250.0</v>
      </c>
      <c r="H117" s="5" t="s">
        <v>22</v>
      </c>
      <c r="I117" s="7">
        <f t="shared" si="1"/>
        <v>1875</v>
      </c>
      <c r="J117" s="7">
        <f t="shared" si="7"/>
        <v>1625</v>
      </c>
      <c r="K117" s="7">
        <f t="shared" si="3"/>
        <v>1625</v>
      </c>
      <c r="L117" s="7">
        <f t="shared" si="4"/>
        <v>1500</v>
      </c>
      <c r="M117" s="7">
        <f t="shared" si="5"/>
        <v>1437.5</v>
      </c>
      <c r="N117" s="7">
        <f t="shared" si="6"/>
        <v>1375</v>
      </c>
    </row>
    <row r="118">
      <c r="A118" s="5" t="s">
        <v>35</v>
      </c>
      <c r="B118" s="5" t="s">
        <v>197</v>
      </c>
      <c r="C118" s="6"/>
      <c r="D118" s="5" t="s">
        <v>242</v>
      </c>
      <c r="E118" s="5" t="s">
        <v>243</v>
      </c>
      <c r="F118" s="6"/>
      <c r="G118" s="5">
        <v>0.0</v>
      </c>
      <c r="H118" s="5" t="s">
        <v>22</v>
      </c>
      <c r="I118" s="7">
        <f t="shared" si="1"/>
        <v>0</v>
      </c>
      <c r="J118" s="7">
        <f t="shared" si="7"/>
        <v>0</v>
      </c>
      <c r="K118" s="7">
        <f t="shared" si="3"/>
        <v>0</v>
      </c>
      <c r="L118" s="7">
        <f t="shared" si="4"/>
        <v>0</v>
      </c>
      <c r="M118" s="7">
        <f t="shared" si="5"/>
        <v>0</v>
      </c>
      <c r="N118" s="7">
        <f t="shared" si="6"/>
        <v>0</v>
      </c>
    </row>
    <row r="119">
      <c r="A119" s="5" t="s">
        <v>35</v>
      </c>
      <c r="B119" s="5" t="s">
        <v>197</v>
      </c>
      <c r="C119" s="6"/>
      <c r="D119" s="5" t="s">
        <v>78</v>
      </c>
      <c r="E119" s="5" t="s">
        <v>244</v>
      </c>
      <c r="F119" s="6"/>
      <c r="G119" s="8">
        <v>1200.0</v>
      </c>
      <c r="H119" s="5" t="s">
        <v>22</v>
      </c>
      <c r="I119" s="7">
        <f t="shared" si="1"/>
        <v>1800</v>
      </c>
      <c r="J119" s="7">
        <f t="shared" si="7"/>
        <v>1560</v>
      </c>
      <c r="K119" s="7">
        <f t="shared" si="3"/>
        <v>1560</v>
      </c>
      <c r="L119" s="7">
        <f t="shared" si="4"/>
        <v>1440</v>
      </c>
      <c r="M119" s="7">
        <f t="shared" si="5"/>
        <v>1380</v>
      </c>
      <c r="N119" s="7">
        <f t="shared" si="6"/>
        <v>1320</v>
      </c>
    </row>
    <row r="120">
      <c r="A120" s="5" t="s">
        <v>35</v>
      </c>
      <c r="B120" s="6"/>
      <c r="C120" s="6"/>
      <c r="D120" s="5" t="s">
        <v>245</v>
      </c>
      <c r="E120" s="5" t="s">
        <v>246</v>
      </c>
      <c r="F120" s="6"/>
      <c r="G120" s="8">
        <v>4858.72</v>
      </c>
      <c r="H120" s="5" t="s">
        <v>22</v>
      </c>
      <c r="I120" s="7">
        <f t="shared" si="1"/>
        <v>7288.08</v>
      </c>
      <c r="J120" s="7">
        <f t="shared" si="7"/>
        <v>6316.336</v>
      </c>
      <c r="K120" s="7">
        <f t="shared" si="3"/>
        <v>6316.336</v>
      </c>
      <c r="L120" s="7">
        <f t="shared" si="4"/>
        <v>5830.464</v>
      </c>
      <c r="M120" s="7">
        <f t="shared" si="5"/>
        <v>5587.528</v>
      </c>
      <c r="N120" s="7">
        <f t="shared" si="6"/>
        <v>5344.592</v>
      </c>
    </row>
    <row r="121">
      <c r="A121" s="5" t="s">
        <v>35</v>
      </c>
      <c r="B121" s="6"/>
      <c r="C121" s="6"/>
      <c r="D121" s="5" t="s">
        <v>247</v>
      </c>
      <c r="E121" s="5" t="s">
        <v>248</v>
      </c>
      <c r="F121" s="6"/>
      <c r="G121" s="8">
        <v>4858.72</v>
      </c>
      <c r="H121" s="5" t="s">
        <v>22</v>
      </c>
      <c r="I121" s="7">
        <f t="shared" si="1"/>
        <v>7288.08</v>
      </c>
      <c r="J121" s="7">
        <f t="shared" si="7"/>
        <v>6316.336</v>
      </c>
      <c r="K121" s="7">
        <f t="shared" si="3"/>
        <v>6316.336</v>
      </c>
      <c r="L121" s="7">
        <f t="shared" si="4"/>
        <v>5830.464</v>
      </c>
      <c r="M121" s="7">
        <f t="shared" si="5"/>
        <v>5587.528</v>
      </c>
      <c r="N121" s="7">
        <f t="shared" si="6"/>
        <v>5344.592</v>
      </c>
    </row>
    <row r="122">
      <c r="A122" s="5" t="s">
        <v>35</v>
      </c>
      <c r="B122" s="6"/>
      <c r="C122" s="6"/>
      <c r="D122" s="5" t="s">
        <v>249</v>
      </c>
      <c r="E122" s="5" t="s">
        <v>250</v>
      </c>
      <c r="F122" s="6"/>
      <c r="G122" s="8">
        <v>5121.99</v>
      </c>
      <c r="H122" s="5" t="s">
        <v>22</v>
      </c>
      <c r="I122" s="7">
        <f t="shared" si="1"/>
        <v>7682.985</v>
      </c>
      <c r="J122" s="7">
        <f t="shared" si="7"/>
        <v>6658.587</v>
      </c>
      <c r="K122" s="7">
        <f t="shared" si="3"/>
        <v>6658.587</v>
      </c>
      <c r="L122" s="7">
        <f t="shared" si="4"/>
        <v>6146.388</v>
      </c>
      <c r="M122" s="7">
        <f t="shared" si="5"/>
        <v>5890.2885</v>
      </c>
      <c r="N122" s="7">
        <f t="shared" si="6"/>
        <v>5634.189</v>
      </c>
    </row>
    <row r="123">
      <c r="A123" s="5" t="s">
        <v>35</v>
      </c>
      <c r="B123" s="6"/>
      <c r="C123" s="6"/>
      <c r="D123" s="5" t="s">
        <v>251</v>
      </c>
      <c r="E123" s="5" t="s">
        <v>252</v>
      </c>
      <c r="F123" s="6"/>
      <c r="G123" s="8">
        <v>31592.45</v>
      </c>
      <c r="H123" s="5" t="s">
        <v>22</v>
      </c>
      <c r="I123" s="7">
        <f t="shared" si="1"/>
        <v>47388.675</v>
      </c>
      <c r="J123" s="7">
        <f t="shared" si="7"/>
        <v>41070.185</v>
      </c>
      <c r="K123" s="7">
        <f t="shared" si="3"/>
        <v>41070.185</v>
      </c>
      <c r="L123" s="7">
        <f t="shared" si="4"/>
        <v>37910.94</v>
      </c>
      <c r="M123" s="7">
        <f t="shared" si="5"/>
        <v>36331.3175</v>
      </c>
      <c r="N123" s="7">
        <f t="shared" si="6"/>
        <v>34751.695</v>
      </c>
    </row>
    <row r="124">
      <c r="A124" s="5" t="s">
        <v>35</v>
      </c>
      <c r="B124" s="6"/>
      <c r="C124" s="6"/>
      <c r="D124" s="5" t="s">
        <v>253</v>
      </c>
      <c r="E124" s="5" t="s">
        <v>254</v>
      </c>
      <c r="F124" s="6"/>
      <c r="G124" s="8">
        <v>1352.21</v>
      </c>
      <c r="H124" s="5" t="s">
        <v>22</v>
      </c>
      <c r="I124" s="7">
        <f t="shared" si="1"/>
        <v>2028.315</v>
      </c>
      <c r="J124" s="7">
        <f t="shared" si="7"/>
        <v>1757.873</v>
      </c>
      <c r="K124" s="7">
        <f t="shared" si="3"/>
        <v>1757.873</v>
      </c>
      <c r="L124" s="7">
        <f t="shared" si="4"/>
        <v>1622.652</v>
      </c>
      <c r="M124" s="7">
        <f t="shared" si="5"/>
        <v>1555.0415</v>
      </c>
      <c r="N124" s="7">
        <f t="shared" si="6"/>
        <v>1487.431</v>
      </c>
    </row>
    <row r="125">
      <c r="A125" s="5" t="s">
        <v>35</v>
      </c>
      <c r="B125" s="6"/>
      <c r="C125" s="6"/>
      <c r="D125" s="5" t="s">
        <v>255</v>
      </c>
      <c r="E125" s="5" t="s">
        <v>256</v>
      </c>
      <c r="F125" s="6"/>
      <c r="G125" s="8">
        <v>25958.26</v>
      </c>
      <c r="H125" s="5" t="s">
        <v>22</v>
      </c>
      <c r="I125" s="7">
        <f t="shared" si="1"/>
        <v>38937.39</v>
      </c>
      <c r="J125" s="7">
        <f t="shared" si="7"/>
        <v>33745.738</v>
      </c>
      <c r="K125" s="7">
        <f t="shared" si="3"/>
        <v>33745.738</v>
      </c>
      <c r="L125" s="7">
        <f t="shared" si="4"/>
        <v>31149.912</v>
      </c>
      <c r="M125" s="7">
        <f t="shared" si="5"/>
        <v>29851.999</v>
      </c>
      <c r="N125" s="7">
        <f t="shared" si="6"/>
        <v>28554.086</v>
      </c>
    </row>
    <row r="126">
      <c r="A126" s="5" t="s">
        <v>35</v>
      </c>
      <c r="B126" s="6"/>
      <c r="C126" s="6"/>
      <c r="D126" s="5" t="s">
        <v>257</v>
      </c>
      <c r="E126" s="5" t="s">
        <v>258</v>
      </c>
      <c r="F126" s="6"/>
      <c r="G126" s="8">
        <v>7059.04</v>
      </c>
      <c r="H126" s="5" t="s">
        <v>22</v>
      </c>
      <c r="I126" s="7">
        <f t="shared" si="1"/>
        <v>10588.56</v>
      </c>
      <c r="J126" s="7">
        <f t="shared" si="7"/>
        <v>9176.752</v>
      </c>
      <c r="K126" s="7">
        <f t="shared" si="3"/>
        <v>9176.752</v>
      </c>
      <c r="L126" s="7">
        <f t="shared" si="4"/>
        <v>8470.848</v>
      </c>
      <c r="M126" s="7">
        <f t="shared" si="5"/>
        <v>8117.896</v>
      </c>
      <c r="N126" s="7">
        <f t="shared" si="6"/>
        <v>7764.944</v>
      </c>
    </row>
    <row r="127">
      <c r="A127" s="5" t="s">
        <v>35</v>
      </c>
      <c r="B127" s="6"/>
      <c r="C127" s="6"/>
      <c r="D127" s="5" t="s">
        <v>259</v>
      </c>
      <c r="E127" s="5" t="s">
        <v>260</v>
      </c>
      <c r="F127" s="6"/>
      <c r="G127" s="8">
        <v>8996.08</v>
      </c>
      <c r="H127" s="5" t="s">
        <v>22</v>
      </c>
      <c r="I127" s="7">
        <f t="shared" si="1"/>
        <v>13494.12</v>
      </c>
      <c r="J127" s="7">
        <f t="shared" si="7"/>
        <v>11694.904</v>
      </c>
      <c r="K127" s="7">
        <f t="shared" si="3"/>
        <v>11694.904</v>
      </c>
      <c r="L127" s="7">
        <f t="shared" si="4"/>
        <v>10795.296</v>
      </c>
      <c r="M127" s="7">
        <f t="shared" si="5"/>
        <v>10345.492</v>
      </c>
      <c r="N127" s="7">
        <f t="shared" si="6"/>
        <v>9895.688</v>
      </c>
    </row>
    <row r="128">
      <c r="A128" s="5" t="s">
        <v>35</v>
      </c>
      <c r="B128" s="6"/>
      <c r="C128" s="6"/>
      <c r="D128" s="5" t="s">
        <v>261</v>
      </c>
      <c r="E128" s="5" t="s">
        <v>262</v>
      </c>
      <c r="F128" s="6"/>
      <c r="G128" s="8">
        <v>7357.04</v>
      </c>
      <c r="H128" s="5" t="s">
        <v>22</v>
      </c>
      <c r="I128" s="7">
        <f t="shared" si="1"/>
        <v>11035.56</v>
      </c>
      <c r="J128" s="7">
        <f t="shared" si="7"/>
        <v>9564.152</v>
      </c>
      <c r="K128" s="7">
        <f t="shared" si="3"/>
        <v>9564.152</v>
      </c>
      <c r="L128" s="7">
        <f t="shared" si="4"/>
        <v>8828.448</v>
      </c>
      <c r="M128" s="7">
        <f t="shared" si="5"/>
        <v>8460.596</v>
      </c>
      <c r="N128" s="7">
        <f t="shared" si="6"/>
        <v>8092.744</v>
      </c>
    </row>
    <row r="129">
      <c r="A129" s="5" t="s">
        <v>35</v>
      </c>
      <c r="B129" s="6"/>
      <c r="C129" s="6"/>
      <c r="D129" s="5" t="s">
        <v>263</v>
      </c>
      <c r="E129" s="5" t="s">
        <v>264</v>
      </c>
      <c r="F129" s="6"/>
      <c r="G129" s="8">
        <v>57956.64</v>
      </c>
      <c r="H129" s="5" t="s">
        <v>22</v>
      </c>
      <c r="I129" s="7">
        <f t="shared" si="1"/>
        <v>86934.96</v>
      </c>
      <c r="J129" s="7">
        <f t="shared" si="7"/>
        <v>75343.632</v>
      </c>
      <c r="K129" s="7">
        <f t="shared" si="3"/>
        <v>75343.632</v>
      </c>
      <c r="L129" s="7">
        <f t="shared" si="4"/>
        <v>69547.968</v>
      </c>
      <c r="M129" s="7">
        <f t="shared" si="5"/>
        <v>66650.136</v>
      </c>
      <c r="N129" s="7">
        <f t="shared" si="6"/>
        <v>63752.304</v>
      </c>
    </row>
    <row r="130">
      <c r="A130" s="5" t="s">
        <v>35</v>
      </c>
      <c r="B130" s="6"/>
      <c r="C130" s="6"/>
      <c r="D130" s="5" t="s">
        <v>265</v>
      </c>
      <c r="E130" s="5" t="s">
        <v>266</v>
      </c>
      <c r="F130" s="6"/>
      <c r="G130" s="8">
        <v>23397.26</v>
      </c>
      <c r="H130" s="5" t="s">
        <v>22</v>
      </c>
      <c r="I130" s="7">
        <f t="shared" si="1"/>
        <v>35095.89</v>
      </c>
      <c r="J130" s="7">
        <f t="shared" si="7"/>
        <v>30416.438</v>
      </c>
      <c r="K130" s="7">
        <f t="shared" si="3"/>
        <v>30416.438</v>
      </c>
      <c r="L130" s="7">
        <f t="shared" si="4"/>
        <v>28076.712</v>
      </c>
      <c r="M130" s="7">
        <f t="shared" si="5"/>
        <v>26906.849</v>
      </c>
      <c r="N130" s="7">
        <f t="shared" si="6"/>
        <v>25736.986</v>
      </c>
    </row>
    <row r="131">
      <c r="A131" s="5" t="s">
        <v>35</v>
      </c>
      <c r="B131" s="6"/>
      <c r="C131" s="6"/>
      <c r="D131" s="5" t="s">
        <v>267</v>
      </c>
      <c r="E131" s="5" t="s">
        <v>268</v>
      </c>
      <c r="F131" s="6"/>
      <c r="G131" s="8">
        <v>110204.8</v>
      </c>
      <c r="H131" s="5" t="s">
        <v>22</v>
      </c>
      <c r="I131" s="7">
        <f t="shared" si="1"/>
        <v>165307.2</v>
      </c>
      <c r="J131" s="7">
        <f t="shared" si="7"/>
        <v>143266.24</v>
      </c>
      <c r="K131" s="7">
        <f t="shared" si="3"/>
        <v>143266.24</v>
      </c>
      <c r="L131" s="7">
        <f t="shared" si="4"/>
        <v>132245.76</v>
      </c>
      <c r="M131" s="7">
        <f t="shared" si="5"/>
        <v>126735.52</v>
      </c>
      <c r="N131" s="7">
        <f t="shared" si="6"/>
        <v>121225.28</v>
      </c>
    </row>
    <row r="132">
      <c r="A132" s="5" t="s">
        <v>35</v>
      </c>
      <c r="B132" s="6"/>
      <c r="C132" s="6"/>
      <c r="D132" s="5" t="s">
        <v>269</v>
      </c>
      <c r="E132" s="5" t="s">
        <v>270</v>
      </c>
      <c r="F132" s="6"/>
      <c r="G132" s="8">
        <v>54691.62</v>
      </c>
      <c r="H132" s="5" t="s">
        <v>22</v>
      </c>
      <c r="I132" s="7">
        <f t="shared" si="1"/>
        <v>82037.43</v>
      </c>
      <c r="J132" s="7">
        <f t="shared" si="7"/>
        <v>71099.106</v>
      </c>
      <c r="K132" s="7">
        <f t="shared" si="3"/>
        <v>71099.106</v>
      </c>
      <c r="L132" s="7">
        <f t="shared" si="4"/>
        <v>65629.944</v>
      </c>
      <c r="M132" s="7">
        <f t="shared" si="5"/>
        <v>62895.363</v>
      </c>
      <c r="N132" s="7">
        <f t="shared" si="6"/>
        <v>60160.782</v>
      </c>
    </row>
    <row r="133">
      <c r="A133" s="5" t="s">
        <v>35</v>
      </c>
      <c r="B133" s="6"/>
      <c r="C133" s="6"/>
      <c r="D133" s="5" t="s">
        <v>271</v>
      </c>
      <c r="E133" s="5" t="s">
        <v>272</v>
      </c>
      <c r="F133" s="6"/>
      <c r="G133" s="8">
        <v>2331.0</v>
      </c>
      <c r="H133" s="5" t="s">
        <v>22</v>
      </c>
      <c r="I133" s="7">
        <f t="shared" si="1"/>
        <v>3496.5</v>
      </c>
      <c r="J133" s="7">
        <f t="shared" si="7"/>
        <v>3030.3</v>
      </c>
      <c r="K133" s="7">
        <f t="shared" si="3"/>
        <v>3030.3</v>
      </c>
      <c r="L133" s="7">
        <f t="shared" si="4"/>
        <v>2797.2</v>
      </c>
      <c r="M133" s="7">
        <f t="shared" si="5"/>
        <v>2680.65</v>
      </c>
      <c r="N133" s="7">
        <f t="shared" si="6"/>
        <v>2564.1</v>
      </c>
    </row>
    <row r="134">
      <c r="A134" s="5" t="s">
        <v>35</v>
      </c>
      <c r="B134" s="6"/>
      <c r="C134" s="6"/>
      <c r="D134" s="5" t="s">
        <v>273</v>
      </c>
      <c r="E134" s="5" t="s">
        <v>274</v>
      </c>
      <c r="F134" s="6"/>
      <c r="G134" s="8">
        <v>950897.38</v>
      </c>
      <c r="H134" s="5" t="s">
        <v>22</v>
      </c>
      <c r="I134" s="7">
        <f t="shared" si="1"/>
        <v>1426346.07</v>
      </c>
      <c r="J134" s="7">
        <f t="shared" si="7"/>
        <v>1236166.594</v>
      </c>
      <c r="K134" s="7">
        <f t="shared" si="3"/>
        <v>1236166.594</v>
      </c>
      <c r="L134" s="7">
        <f t="shared" si="4"/>
        <v>1141076.856</v>
      </c>
      <c r="M134" s="7">
        <f t="shared" si="5"/>
        <v>1093531.987</v>
      </c>
      <c r="N134" s="7">
        <f t="shared" si="6"/>
        <v>1045987.118</v>
      </c>
    </row>
    <row r="135">
      <c r="A135" s="5" t="s">
        <v>35</v>
      </c>
      <c r="B135" s="6"/>
      <c r="C135" s="6"/>
      <c r="D135" s="5" t="s">
        <v>275</v>
      </c>
      <c r="E135" s="5" t="s">
        <v>276</v>
      </c>
      <c r="F135" s="6"/>
      <c r="G135" s="8">
        <v>91248.34</v>
      </c>
      <c r="H135" s="5" t="s">
        <v>22</v>
      </c>
      <c r="I135" s="7">
        <f t="shared" si="1"/>
        <v>136872.51</v>
      </c>
      <c r="J135" s="7">
        <f t="shared" si="7"/>
        <v>118622.842</v>
      </c>
      <c r="K135" s="7">
        <f t="shared" si="3"/>
        <v>118622.842</v>
      </c>
      <c r="L135" s="7">
        <f t="shared" si="4"/>
        <v>109498.008</v>
      </c>
      <c r="M135" s="7">
        <f t="shared" si="5"/>
        <v>104935.591</v>
      </c>
      <c r="N135" s="7">
        <f t="shared" si="6"/>
        <v>100373.174</v>
      </c>
    </row>
    <row r="136">
      <c r="A136" s="5" t="s">
        <v>277</v>
      </c>
      <c r="B136" s="5" t="s">
        <v>36</v>
      </c>
      <c r="C136" s="5" t="s">
        <v>278</v>
      </c>
      <c r="D136" s="5" t="s">
        <v>279</v>
      </c>
      <c r="E136" s="5" t="s">
        <v>280</v>
      </c>
      <c r="F136" s="6"/>
      <c r="G136" s="8">
        <v>3790.0</v>
      </c>
      <c r="H136" s="5" t="s">
        <v>22</v>
      </c>
      <c r="I136" s="7">
        <f t="shared" si="1"/>
        <v>5685</v>
      </c>
      <c r="J136" s="7">
        <f t="shared" si="7"/>
        <v>4927</v>
      </c>
      <c r="K136" s="7">
        <f t="shared" si="3"/>
        <v>4927</v>
      </c>
      <c r="L136" s="7">
        <f t="shared" si="4"/>
        <v>4548</v>
      </c>
      <c r="M136" s="7">
        <f t="shared" si="5"/>
        <v>4358.5</v>
      </c>
      <c r="N136" s="7">
        <f t="shared" si="6"/>
        <v>4169</v>
      </c>
    </row>
    <row r="137">
      <c r="A137" s="5" t="s">
        <v>277</v>
      </c>
      <c r="B137" s="5" t="s">
        <v>36</v>
      </c>
      <c r="C137" s="5" t="s">
        <v>278</v>
      </c>
      <c r="D137" s="5" t="s">
        <v>281</v>
      </c>
      <c r="E137" s="5" t="s">
        <v>282</v>
      </c>
      <c r="F137" s="6"/>
      <c r="G137" s="8">
        <v>3360.0</v>
      </c>
      <c r="H137" s="5" t="s">
        <v>22</v>
      </c>
      <c r="I137" s="7">
        <f t="shared" si="1"/>
        <v>5040</v>
      </c>
      <c r="J137" s="7">
        <f t="shared" si="7"/>
        <v>4368</v>
      </c>
      <c r="K137" s="7">
        <f t="shared" si="3"/>
        <v>4368</v>
      </c>
      <c r="L137" s="7">
        <f t="shared" si="4"/>
        <v>4032</v>
      </c>
      <c r="M137" s="7">
        <f t="shared" si="5"/>
        <v>3864</v>
      </c>
      <c r="N137" s="7">
        <f t="shared" si="6"/>
        <v>3696</v>
      </c>
    </row>
    <row r="138">
      <c r="A138" s="5" t="s">
        <v>277</v>
      </c>
      <c r="B138" s="5" t="s">
        <v>36</v>
      </c>
      <c r="C138" s="5" t="s">
        <v>278</v>
      </c>
      <c r="D138" s="5" t="s">
        <v>283</v>
      </c>
      <c r="E138" s="5" t="s">
        <v>284</v>
      </c>
      <c r="F138" s="6"/>
      <c r="G138" s="8">
        <v>7864.5</v>
      </c>
      <c r="H138" s="5" t="s">
        <v>22</v>
      </c>
      <c r="I138" s="7">
        <f t="shared" si="1"/>
        <v>11796.75</v>
      </c>
      <c r="J138" s="7">
        <f t="shared" si="7"/>
        <v>10223.85</v>
      </c>
      <c r="K138" s="7">
        <f t="shared" si="3"/>
        <v>10223.85</v>
      </c>
      <c r="L138" s="7">
        <f t="shared" si="4"/>
        <v>9437.4</v>
      </c>
      <c r="M138" s="7">
        <f t="shared" si="5"/>
        <v>9044.175</v>
      </c>
      <c r="N138" s="7">
        <f t="shared" si="6"/>
        <v>8650.95</v>
      </c>
    </row>
    <row r="139">
      <c r="A139" s="5" t="s">
        <v>277</v>
      </c>
      <c r="B139" s="5" t="s">
        <v>36</v>
      </c>
      <c r="C139" s="5" t="s">
        <v>278</v>
      </c>
      <c r="D139" s="5" t="s">
        <v>285</v>
      </c>
      <c r="E139" s="5" t="s">
        <v>286</v>
      </c>
      <c r="F139" s="6"/>
      <c r="G139" s="5">
        <v>357.0</v>
      </c>
      <c r="H139" s="5" t="s">
        <v>22</v>
      </c>
      <c r="I139" s="7">
        <f t="shared" si="1"/>
        <v>535.5</v>
      </c>
      <c r="J139" s="7">
        <f t="shared" si="7"/>
        <v>464.1</v>
      </c>
      <c r="K139" s="7">
        <f t="shared" si="3"/>
        <v>464.1</v>
      </c>
      <c r="L139" s="7">
        <f t="shared" si="4"/>
        <v>428.4</v>
      </c>
      <c r="M139" s="7">
        <f t="shared" si="5"/>
        <v>410.55</v>
      </c>
      <c r="N139" s="7">
        <f t="shared" si="6"/>
        <v>392.7</v>
      </c>
    </row>
    <row r="140">
      <c r="A140" s="5" t="s">
        <v>277</v>
      </c>
      <c r="B140" s="5" t="s">
        <v>36</v>
      </c>
      <c r="C140" s="5" t="s">
        <v>278</v>
      </c>
      <c r="D140" s="5" t="s">
        <v>287</v>
      </c>
      <c r="E140" s="5" t="s">
        <v>288</v>
      </c>
      <c r="F140" s="6"/>
      <c r="G140" s="8">
        <v>4110.0</v>
      </c>
      <c r="H140" s="5" t="s">
        <v>22</v>
      </c>
      <c r="I140" s="7">
        <f t="shared" si="1"/>
        <v>6165</v>
      </c>
      <c r="J140" s="7">
        <f t="shared" si="7"/>
        <v>5343</v>
      </c>
      <c r="K140" s="7">
        <f t="shared" si="3"/>
        <v>5343</v>
      </c>
      <c r="L140" s="7">
        <f t="shared" si="4"/>
        <v>4932</v>
      </c>
      <c r="M140" s="7">
        <f t="shared" si="5"/>
        <v>4726.5</v>
      </c>
      <c r="N140" s="7">
        <f t="shared" si="6"/>
        <v>4521</v>
      </c>
    </row>
    <row r="141">
      <c r="A141" s="5" t="s">
        <v>277</v>
      </c>
      <c r="B141" s="5" t="s">
        <v>36</v>
      </c>
      <c r="C141" s="5" t="s">
        <v>278</v>
      </c>
      <c r="D141" s="5" t="s">
        <v>289</v>
      </c>
      <c r="E141" s="5" t="s">
        <v>290</v>
      </c>
      <c r="F141" s="6"/>
      <c r="G141" s="5">
        <v>490.0</v>
      </c>
      <c r="H141" s="5" t="s">
        <v>22</v>
      </c>
      <c r="I141" s="7">
        <f t="shared" si="1"/>
        <v>735</v>
      </c>
      <c r="J141" s="7">
        <f t="shared" si="7"/>
        <v>637</v>
      </c>
      <c r="K141" s="7">
        <f t="shared" si="3"/>
        <v>637</v>
      </c>
      <c r="L141" s="7">
        <f t="shared" si="4"/>
        <v>588</v>
      </c>
      <c r="M141" s="7">
        <f t="shared" si="5"/>
        <v>563.5</v>
      </c>
      <c r="N141" s="7">
        <f t="shared" si="6"/>
        <v>539</v>
      </c>
    </row>
    <row r="142">
      <c r="A142" s="5" t="s">
        <v>277</v>
      </c>
      <c r="B142" s="5" t="s">
        <v>36</v>
      </c>
      <c r="C142" s="5" t="s">
        <v>278</v>
      </c>
      <c r="D142" s="5" t="s">
        <v>291</v>
      </c>
      <c r="E142" s="5" t="s">
        <v>292</v>
      </c>
      <c r="F142" s="6"/>
      <c r="G142" s="8">
        <v>21000.0</v>
      </c>
      <c r="H142" s="5" t="s">
        <v>22</v>
      </c>
      <c r="I142" s="7">
        <f t="shared" si="1"/>
        <v>31500</v>
      </c>
      <c r="J142" s="7">
        <f t="shared" si="7"/>
        <v>27300</v>
      </c>
      <c r="K142" s="7">
        <f t="shared" si="3"/>
        <v>27300</v>
      </c>
      <c r="L142" s="7">
        <f t="shared" si="4"/>
        <v>25200</v>
      </c>
      <c r="M142" s="7">
        <f t="shared" si="5"/>
        <v>24150</v>
      </c>
      <c r="N142" s="7">
        <f t="shared" si="6"/>
        <v>23100</v>
      </c>
    </row>
    <row r="143">
      <c r="A143" s="5" t="s">
        <v>277</v>
      </c>
      <c r="B143" s="5" t="s">
        <v>36</v>
      </c>
      <c r="C143" s="5" t="s">
        <v>293</v>
      </c>
      <c r="D143" s="5" t="s">
        <v>294</v>
      </c>
      <c r="E143" s="5" t="s">
        <v>295</v>
      </c>
      <c r="F143" s="6"/>
      <c r="G143" s="8">
        <v>141750.0</v>
      </c>
      <c r="H143" s="5" t="s">
        <v>22</v>
      </c>
      <c r="I143" s="7">
        <f t="shared" si="1"/>
        <v>212625</v>
      </c>
      <c r="J143" s="7">
        <f t="shared" si="7"/>
        <v>184275</v>
      </c>
      <c r="K143" s="7">
        <f t="shared" si="3"/>
        <v>184275</v>
      </c>
      <c r="L143" s="7">
        <f t="shared" si="4"/>
        <v>170100</v>
      </c>
      <c r="M143" s="7">
        <f t="shared" si="5"/>
        <v>163012.5</v>
      </c>
      <c r="N143" s="7">
        <f t="shared" si="6"/>
        <v>155925</v>
      </c>
    </row>
    <row r="144">
      <c r="A144" s="5" t="s">
        <v>277</v>
      </c>
      <c r="B144" s="5" t="s">
        <v>36</v>
      </c>
      <c r="C144" s="5" t="s">
        <v>293</v>
      </c>
      <c r="D144" s="5" t="s">
        <v>296</v>
      </c>
      <c r="E144" s="5" t="s">
        <v>297</v>
      </c>
      <c r="F144" s="6"/>
      <c r="G144" s="8">
        <v>570000.0</v>
      </c>
      <c r="H144" s="5" t="s">
        <v>22</v>
      </c>
      <c r="I144" s="7">
        <f t="shared" si="1"/>
        <v>855000</v>
      </c>
      <c r="J144" s="7">
        <f t="shared" si="7"/>
        <v>741000</v>
      </c>
      <c r="K144" s="7">
        <f t="shared" si="3"/>
        <v>741000</v>
      </c>
      <c r="L144" s="7">
        <f t="shared" si="4"/>
        <v>684000</v>
      </c>
      <c r="M144" s="7">
        <f t="shared" si="5"/>
        <v>655500</v>
      </c>
      <c r="N144" s="7">
        <f t="shared" si="6"/>
        <v>627000</v>
      </c>
    </row>
    <row r="145">
      <c r="A145" s="5" t="s">
        <v>277</v>
      </c>
      <c r="B145" s="5" t="s">
        <v>36</v>
      </c>
      <c r="C145" s="5" t="s">
        <v>293</v>
      </c>
      <c r="D145" s="5" t="s">
        <v>298</v>
      </c>
      <c r="E145" s="5" t="s">
        <v>299</v>
      </c>
      <c r="F145" s="6"/>
      <c r="G145" s="8">
        <v>350000.0</v>
      </c>
      <c r="H145" s="5" t="s">
        <v>22</v>
      </c>
      <c r="I145" s="7">
        <f t="shared" si="1"/>
        <v>525000</v>
      </c>
      <c r="J145" s="7">
        <f t="shared" si="7"/>
        <v>455000</v>
      </c>
      <c r="K145" s="7">
        <f t="shared" si="3"/>
        <v>455000</v>
      </c>
      <c r="L145" s="7">
        <f t="shared" si="4"/>
        <v>420000</v>
      </c>
      <c r="M145" s="7">
        <f t="shared" si="5"/>
        <v>402500</v>
      </c>
      <c r="N145" s="7">
        <f t="shared" si="6"/>
        <v>385000</v>
      </c>
    </row>
    <row r="146">
      <c r="A146" s="5" t="s">
        <v>277</v>
      </c>
      <c r="B146" s="5" t="s">
        <v>36</v>
      </c>
      <c r="C146" s="5" t="s">
        <v>293</v>
      </c>
      <c r="D146" s="5" t="s">
        <v>300</v>
      </c>
      <c r="E146" s="5" t="s">
        <v>299</v>
      </c>
      <c r="F146" s="6"/>
      <c r="G146" s="8">
        <v>301350.0</v>
      </c>
      <c r="H146" s="5" t="s">
        <v>22</v>
      </c>
      <c r="I146" s="7">
        <f t="shared" si="1"/>
        <v>452025</v>
      </c>
      <c r="J146" s="7">
        <f t="shared" si="7"/>
        <v>391755</v>
      </c>
      <c r="K146" s="7">
        <f t="shared" si="3"/>
        <v>391755</v>
      </c>
      <c r="L146" s="7">
        <f t="shared" si="4"/>
        <v>361620</v>
      </c>
      <c r="M146" s="7">
        <f t="shared" si="5"/>
        <v>346552.5</v>
      </c>
      <c r="N146" s="7">
        <f t="shared" si="6"/>
        <v>331485</v>
      </c>
    </row>
    <row r="147">
      <c r="A147" s="5" t="s">
        <v>277</v>
      </c>
      <c r="B147" s="5" t="s">
        <v>36</v>
      </c>
      <c r="C147" s="5" t="s">
        <v>293</v>
      </c>
      <c r="D147" s="5" t="s">
        <v>298</v>
      </c>
      <c r="E147" s="5" t="s">
        <v>301</v>
      </c>
      <c r="F147" s="6"/>
      <c r="G147" s="8">
        <v>220720.0</v>
      </c>
      <c r="H147" s="5" t="s">
        <v>22</v>
      </c>
      <c r="I147" s="7">
        <f t="shared" si="1"/>
        <v>331080</v>
      </c>
      <c r="J147" s="7">
        <f t="shared" si="7"/>
        <v>286936</v>
      </c>
      <c r="K147" s="7">
        <f t="shared" si="3"/>
        <v>286936</v>
      </c>
      <c r="L147" s="7">
        <f t="shared" si="4"/>
        <v>264864</v>
      </c>
      <c r="M147" s="7">
        <f t="shared" si="5"/>
        <v>253828</v>
      </c>
      <c r="N147" s="7">
        <f t="shared" si="6"/>
        <v>242792</v>
      </c>
    </row>
    <row r="148">
      <c r="A148" s="5" t="s">
        <v>277</v>
      </c>
      <c r="B148" s="5" t="s">
        <v>36</v>
      </c>
      <c r="C148" s="5" t="s">
        <v>293</v>
      </c>
      <c r="D148" s="5" t="s">
        <v>302</v>
      </c>
      <c r="E148" s="5" t="s">
        <v>303</v>
      </c>
      <c r="F148" s="6"/>
      <c r="G148" s="8">
        <v>287000.0</v>
      </c>
      <c r="H148" s="5" t="s">
        <v>22</v>
      </c>
      <c r="I148" s="7">
        <f t="shared" si="1"/>
        <v>430500</v>
      </c>
      <c r="J148" s="7">
        <f t="shared" si="7"/>
        <v>373100</v>
      </c>
      <c r="K148" s="7">
        <f t="shared" si="3"/>
        <v>373100</v>
      </c>
      <c r="L148" s="7">
        <f t="shared" si="4"/>
        <v>344400</v>
      </c>
      <c r="M148" s="7">
        <f t="shared" si="5"/>
        <v>330050</v>
      </c>
      <c r="N148" s="7">
        <f t="shared" si="6"/>
        <v>315700</v>
      </c>
    </row>
    <row r="149">
      <c r="A149" s="5" t="s">
        <v>277</v>
      </c>
      <c r="B149" s="5" t="s">
        <v>36</v>
      </c>
      <c r="C149" s="5" t="s">
        <v>293</v>
      </c>
      <c r="D149" s="5" t="s">
        <v>300</v>
      </c>
      <c r="E149" s="5" t="s">
        <v>303</v>
      </c>
      <c r="F149" s="6"/>
      <c r="G149" s="8">
        <v>243345.0</v>
      </c>
      <c r="H149" s="5" t="s">
        <v>22</v>
      </c>
      <c r="I149" s="7">
        <f t="shared" si="1"/>
        <v>365017.5</v>
      </c>
      <c r="J149" s="7">
        <f t="shared" si="7"/>
        <v>316348.5</v>
      </c>
      <c r="K149" s="7">
        <f t="shared" si="3"/>
        <v>316348.5</v>
      </c>
      <c r="L149" s="7">
        <f t="shared" si="4"/>
        <v>292014</v>
      </c>
      <c r="M149" s="7">
        <f t="shared" si="5"/>
        <v>279846.75</v>
      </c>
      <c r="N149" s="7">
        <f t="shared" si="6"/>
        <v>267679.5</v>
      </c>
    </row>
    <row r="150">
      <c r="A150" s="5" t="s">
        <v>277</v>
      </c>
      <c r="B150" s="5" t="s">
        <v>36</v>
      </c>
      <c r="C150" s="5" t="s">
        <v>293</v>
      </c>
      <c r="D150" s="5" t="s">
        <v>304</v>
      </c>
      <c r="E150" s="5" t="s">
        <v>305</v>
      </c>
      <c r="F150" s="6"/>
      <c r="G150" s="8">
        <v>1950000.0</v>
      </c>
      <c r="H150" s="5" t="s">
        <v>22</v>
      </c>
      <c r="I150" s="7">
        <f t="shared" si="1"/>
        <v>2925000</v>
      </c>
      <c r="J150" s="7">
        <f t="shared" si="7"/>
        <v>2535000</v>
      </c>
      <c r="K150" s="7">
        <f t="shared" si="3"/>
        <v>2535000</v>
      </c>
      <c r="L150" s="7">
        <f t="shared" si="4"/>
        <v>2340000</v>
      </c>
      <c r="M150" s="7">
        <f t="shared" si="5"/>
        <v>2242500</v>
      </c>
      <c r="N150" s="7">
        <f t="shared" si="6"/>
        <v>2145000</v>
      </c>
    </row>
    <row r="151">
      <c r="A151" s="5" t="s">
        <v>277</v>
      </c>
      <c r="B151" s="5" t="s">
        <v>36</v>
      </c>
      <c r="C151" s="5" t="s">
        <v>293</v>
      </c>
      <c r="D151" s="5" t="s">
        <v>306</v>
      </c>
      <c r="E151" s="5" t="s">
        <v>307</v>
      </c>
      <c r="F151" s="6"/>
      <c r="G151" s="8">
        <v>1102500.0</v>
      </c>
      <c r="H151" s="5" t="s">
        <v>22</v>
      </c>
      <c r="I151" s="7">
        <f t="shared" si="1"/>
        <v>1653750</v>
      </c>
      <c r="J151" s="7">
        <f t="shared" si="7"/>
        <v>1433250</v>
      </c>
      <c r="K151" s="7">
        <f t="shared" si="3"/>
        <v>1433250</v>
      </c>
      <c r="L151" s="7">
        <f t="shared" si="4"/>
        <v>1323000</v>
      </c>
      <c r="M151" s="7">
        <f t="shared" si="5"/>
        <v>1267875</v>
      </c>
      <c r="N151" s="7">
        <f t="shared" si="6"/>
        <v>1212750</v>
      </c>
    </row>
    <row r="152">
      <c r="A152" s="5" t="s">
        <v>277</v>
      </c>
      <c r="B152" s="5" t="s">
        <v>36</v>
      </c>
      <c r="C152" s="5" t="s">
        <v>293</v>
      </c>
      <c r="D152" s="5" t="s">
        <v>308</v>
      </c>
      <c r="E152" s="5" t="s">
        <v>309</v>
      </c>
      <c r="F152" s="6"/>
      <c r="G152" s="8">
        <v>350000.0</v>
      </c>
      <c r="H152" s="5" t="s">
        <v>22</v>
      </c>
      <c r="I152" s="7">
        <f t="shared" si="1"/>
        <v>525000</v>
      </c>
      <c r="J152" s="7">
        <f t="shared" si="7"/>
        <v>455000</v>
      </c>
      <c r="K152" s="7">
        <f t="shared" si="3"/>
        <v>455000</v>
      </c>
      <c r="L152" s="7">
        <f t="shared" si="4"/>
        <v>420000</v>
      </c>
      <c r="M152" s="7">
        <f t="shared" si="5"/>
        <v>402500</v>
      </c>
      <c r="N152" s="7">
        <f t="shared" si="6"/>
        <v>385000</v>
      </c>
    </row>
    <row r="153">
      <c r="A153" s="5" t="s">
        <v>277</v>
      </c>
      <c r="B153" s="5" t="s">
        <v>36</v>
      </c>
      <c r="C153" s="6"/>
      <c r="D153" s="5" t="s">
        <v>310</v>
      </c>
      <c r="E153" s="5" t="s">
        <v>311</v>
      </c>
      <c r="F153" s="6"/>
      <c r="G153" s="8">
        <v>4500.0</v>
      </c>
      <c r="H153" s="5" t="s">
        <v>22</v>
      </c>
      <c r="I153" s="7">
        <f t="shared" si="1"/>
        <v>6750</v>
      </c>
      <c r="J153" s="7">
        <f t="shared" si="7"/>
        <v>5850</v>
      </c>
      <c r="K153" s="7">
        <f t="shared" si="3"/>
        <v>5850</v>
      </c>
      <c r="L153" s="7">
        <f t="shared" si="4"/>
        <v>5400</v>
      </c>
      <c r="M153" s="7">
        <f t="shared" si="5"/>
        <v>5175</v>
      </c>
      <c r="N153" s="7">
        <f t="shared" si="6"/>
        <v>4950</v>
      </c>
    </row>
    <row r="154">
      <c r="A154" s="5" t="s">
        <v>277</v>
      </c>
      <c r="B154" s="5" t="s">
        <v>36</v>
      </c>
      <c r="C154" s="6"/>
      <c r="D154" s="5" t="s">
        <v>312</v>
      </c>
      <c r="E154" s="5" t="s">
        <v>313</v>
      </c>
      <c r="F154" s="6"/>
      <c r="G154" s="8">
        <v>62559.0</v>
      </c>
      <c r="H154" s="5" t="s">
        <v>22</v>
      </c>
      <c r="I154" s="7">
        <f t="shared" si="1"/>
        <v>93838.5</v>
      </c>
      <c r="J154" s="7">
        <f t="shared" si="7"/>
        <v>81326.7</v>
      </c>
      <c r="K154" s="7">
        <f t="shared" si="3"/>
        <v>81326.7</v>
      </c>
      <c r="L154" s="7">
        <f t="shared" si="4"/>
        <v>75070.8</v>
      </c>
      <c r="M154" s="7">
        <f t="shared" si="5"/>
        <v>71942.85</v>
      </c>
      <c r="N154" s="7">
        <f t="shared" si="6"/>
        <v>68814.9</v>
      </c>
    </row>
    <row r="155">
      <c r="A155" s="5" t="s">
        <v>277</v>
      </c>
      <c r="B155" s="5" t="s">
        <v>36</v>
      </c>
      <c r="C155" s="6"/>
      <c r="D155" s="5" t="s">
        <v>314</v>
      </c>
      <c r="E155" s="5" t="s">
        <v>315</v>
      </c>
      <c r="F155" s="6"/>
      <c r="G155" s="8">
        <v>5617.5</v>
      </c>
      <c r="H155" s="5" t="s">
        <v>22</v>
      </c>
      <c r="I155" s="7">
        <f t="shared" si="1"/>
        <v>8426.25</v>
      </c>
      <c r="J155" s="7">
        <f t="shared" si="7"/>
        <v>7302.75</v>
      </c>
      <c r="K155" s="7">
        <f t="shared" si="3"/>
        <v>7302.75</v>
      </c>
      <c r="L155" s="7">
        <f t="shared" si="4"/>
        <v>6741</v>
      </c>
      <c r="M155" s="7">
        <f t="shared" si="5"/>
        <v>6460.125</v>
      </c>
      <c r="N155" s="7">
        <f t="shared" si="6"/>
        <v>6179.25</v>
      </c>
    </row>
    <row r="156">
      <c r="A156" s="5" t="s">
        <v>277</v>
      </c>
      <c r="B156" s="5" t="s">
        <v>36</v>
      </c>
      <c r="C156" s="6"/>
      <c r="D156" s="5" t="s">
        <v>316</v>
      </c>
      <c r="E156" s="5" t="s">
        <v>317</v>
      </c>
      <c r="F156" s="6"/>
      <c r="G156" s="8">
        <v>7350.0</v>
      </c>
      <c r="H156" s="5" t="s">
        <v>22</v>
      </c>
      <c r="I156" s="7">
        <f t="shared" si="1"/>
        <v>11025</v>
      </c>
      <c r="J156" s="7">
        <f t="shared" si="7"/>
        <v>9555</v>
      </c>
      <c r="K156" s="7">
        <f t="shared" si="3"/>
        <v>9555</v>
      </c>
      <c r="L156" s="7">
        <f t="shared" si="4"/>
        <v>8820</v>
      </c>
      <c r="M156" s="7">
        <f t="shared" si="5"/>
        <v>8452.5</v>
      </c>
      <c r="N156" s="7">
        <f t="shared" si="6"/>
        <v>8085</v>
      </c>
    </row>
    <row r="157">
      <c r="A157" s="5" t="s">
        <v>277</v>
      </c>
      <c r="B157" s="5" t="s">
        <v>36</v>
      </c>
      <c r="C157" s="6"/>
      <c r="D157" s="5" t="s">
        <v>318</v>
      </c>
      <c r="E157" s="5" t="s">
        <v>319</v>
      </c>
      <c r="F157" s="6"/>
      <c r="G157" s="8">
        <v>20253.45</v>
      </c>
      <c r="H157" s="5" t="s">
        <v>22</v>
      </c>
      <c r="I157" s="7">
        <f t="shared" si="1"/>
        <v>30380.175</v>
      </c>
      <c r="J157" s="7">
        <f t="shared" si="7"/>
        <v>26329.485</v>
      </c>
      <c r="K157" s="7">
        <f t="shared" si="3"/>
        <v>26329.485</v>
      </c>
      <c r="L157" s="7">
        <f t="shared" si="4"/>
        <v>24304.14</v>
      </c>
      <c r="M157" s="7">
        <f t="shared" si="5"/>
        <v>23291.4675</v>
      </c>
      <c r="N157" s="7">
        <f t="shared" si="6"/>
        <v>22278.795</v>
      </c>
    </row>
    <row r="158">
      <c r="A158" s="5" t="s">
        <v>277</v>
      </c>
      <c r="B158" s="5" t="s">
        <v>36</v>
      </c>
      <c r="C158" s="6"/>
      <c r="D158" s="5" t="s">
        <v>320</v>
      </c>
      <c r="E158" s="5" t="s">
        <v>321</v>
      </c>
      <c r="F158" s="6"/>
      <c r="G158" s="8">
        <v>21000.0</v>
      </c>
      <c r="H158" s="5" t="s">
        <v>22</v>
      </c>
      <c r="I158" s="7">
        <f t="shared" si="1"/>
        <v>31500</v>
      </c>
      <c r="J158" s="7">
        <f t="shared" si="7"/>
        <v>27300</v>
      </c>
      <c r="K158" s="7">
        <f t="shared" si="3"/>
        <v>27300</v>
      </c>
      <c r="L158" s="7">
        <f t="shared" si="4"/>
        <v>25200</v>
      </c>
      <c r="M158" s="7">
        <f t="shared" si="5"/>
        <v>24150</v>
      </c>
      <c r="N158" s="7">
        <f t="shared" si="6"/>
        <v>23100</v>
      </c>
    </row>
    <row r="159">
      <c r="A159" s="5" t="s">
        <v>277</v>
      </c>
      <c r="B159" s="5" t="s">
        <v>36</v>
      </c>
      <c r="C159" s="6"/>
      <c r="D159" s="5" t="s">
        <v>322</v>
      </c>
      <c r="E159" s="5" t="s">
        <v>323</v>
      </c>
      <c r="F159" s="6"/>
      <c r="G159" s="8">
        <v>42000.0</v>
      </c>
      <c r="H159" s="5" t="s">
        <v>22</v>
      </c>
      <c r="I159" s="7">
        <f t="shared" si="1"/>
        <v>63000</v>
      </c>
      <c r="J159" s="7">
        <f t="shared" si="7"/>
        <v>54600</v>
      </c>
      <c r="K159" s="7">
        <f t="shared" si="3"/>
        <v>54600</v>
      </c>
      <c r="L159" s="7">
        <f t="shared" si="4"/>
        <v>50400</v>
      </c>
      <c r="M159" s="7">
        <f t="shared" si="5"/>
        <v>48300</v>
      </c>
      <c r="N159" s="7">
        <f t="shared" si="6"/>
        <v>46200</v>
      </c>
    </row>
    <row r="160">
      <c r="A160" s="5" t="s">
        <v>277</v>
      </c>
      <c r="B160" s="5" t="s">
        <v>36</v>
      </c>
      <c r="C160" s="6"/>
      <c r="D160" s="5" t="s">
        <v>324</v>
      </c>
      <c r="E160" s="5" t="s">
        <v>325</v>
      </c>
      <c r="F160" s="6"/>
      <c r="G160" s="8">
        <v>8302.5</v>
      </c>
      <c r="H160" s="5" t="s">
        <v>22</v>
      </c>
      <c r="I160" s="7">
        <f t="shared" si="1"/>
        <v>12453.75</v>
      </c>
      <c r="J160" s="7">
        <f t="shared" si="7"/>
        <v>10793.25</v>
      </c>
      <c r="K160" s="7">
        <f t="shared" si="3"/>
        <v>10793.25</v>
      </c>
      <c r="L160" s="7">
        <f t="shared" si="4"/>
        <v>9963</v>
      </c>
      <c r="M160" s="7">
        <f t="shared" si="5"/>
        <v>9547.875</v>
      </c>
      <c r="N160" s="7">
        <f t="shared" si="6"/>
        <v>9132.75</v>
      </c>
    </row>
    <row r="161">
      <c r="A161" s="5" t="s">
        <v>277</v>
      </c>
      <c r="B161" s="5" t="s">
        <v>36</v>
      </c>
      <c r="C161" s="6"/>
      <c r="D161" s="5" t="s">
        <v>326</v>
      </c>
      <c r="E161" s="5" t="s">
        <v>327</v>
      </c>
      <c r="F161" s="6"/>
      <c r="G161" s="8">
        <v>4074.0</v>
      </c>
      <c r="H161" s="5" t="s">
        <v>22</v>
      </c>
      <c r="I161" s="7">
        <f t="shared" si="1"/>
        <v>6111</v>
      </c>
      <c r="J161" s="7">
        <f t="shared" si="7"/>
        <v>5296.2</v>
      </c>
      <c r="K161" s="7">
        <f t="shared" si="3"/>
        <v>5296.2</v>
      </c>
      <c r="L161" s="7">
        <f t="shared" si="4"/>
        <v>4888.8</v>
      </c>
      <c r="M161" s="7">
        <f t="shared" si="5"/>
        <v>4685.1</v>
      </c>
      <c r="N161" s="7">
        <f t="shared" si="6"/>
        <v>4481.4</v>
      </c>
    </row>
    <row r="162">
      <c r="A162" s="5" t="s">
        <v>277</v>
      </c>
      <c r="B162" s="5" t="s">
        <v>36</v>
      </c>
      <c r="C162" s="6"/>
      <c r="D162" s="5" t="s">
        <v>328</v>
      </c>
      <c r="E162" s="5" t="s">
        <v>329</v>
      </c>
      <c r="F162" s="6"/>
      <c r="G162" s="8">
        <v>2236.5</v>
      </c>
      <c r="H162" s="5" t="s">
        <v>22</v>
      </c>
      <c r="I162" s="7">
        <f t="shared" si="1"/>
        <v>3354.75</v>
      </c>
      <c r="J162" s="7">
        <f t="shared" si="7"/>
        <v>2907.45</v>
      </c>
      <c r="K162" s="7">
        <f t="shared" si="3"/>
        <v>2907.45</v>
      </c>
      <c r="L162" s="7">
        <f t="shared" si="4"/>
        <v>2683.8</v>
      </c>
      <c r="M162" s="7">
        <f t="shared" si="5"/>
        <v>2571.975</v>
      </c>
      <c r="N162" s="7">
        <f t="shared" si="6"/>
        <v>2460.15</v>
      </c>
    </row>
    <row r="163">
      <c r="A163" s="5" t="s">
        <v>277</v>
      </c>
      <c r="B163" s="5" t="s">
        <v>36</v>
      </c>
      <c r="C163" s="6"/>
      <c r="D163" s="5" t="s">
        <v>330</v>
      </c>
      <c r="E163" s="5" t="s">
        <v>331</v>
      </c>
      <c r="F163" s="6"/>
      <c r="G163" s="8">
        <v>3790.5</v>
      </c>
      <c r="H163" s="5" t="s">
        <v>22</v>
      </c>
      <c r="I163" s="7">
        <f t="shared" si="1"/>
        <v>5685.75</v>
      </c>
      <c r="J163" s="7">
        <f t="shared" si="7"/>
        <v>4927.65</v>
      </c>
      <c r="K163" s="7">
        <f t="shared" si="3"/>
        <v>4927.65</v>
      </c>
      <c r="L163" s="7">
        <f t="shared" si="4"/>
        <v>4548.6</v>
      </c>
      <c r="M163" s="7">
        <f t="shared" si="5"/>
        <v>4359.075</v>
      </c>
      <c r="N163" s="7">
        <f t="shared" si="6"/>
        <v>4169.55</v>
      </c>
    </row>
    <row r="164">
      <c r="A164" s="5" t="s">
        <v>277</v>
      </c>
      <c r="B164" s="5" t="s">
        <v>36</v>
      </c>
      <c r="C164" s="6"/>
      <c r="D164" s="5" t="s">
        <v>332</v>
      </c>
      <c r="E164" s="5" t="s">
        <v>333</v>
      </c>
      <c r="F164" s="6"/>
      <c r="G164" s="8">
        <v>7927.5</v>
      </c>
      <c r="H164" s="5" t="s">
        <v>22</v>
      </c>
      <c r="I164" s="7">
        <f t="shared" si="1"/>
        <v>11891.25</v>
      </c>
      <c r="J164" s="7">
        <f t="shared" si="7"/>
        <v>10305.75</v>
      </c>
      <c r="K164" s="7">
        <f t="shared" si="3"/>
        <v>10305.75</v>
      </c>
      <c r="L164" s="7">
        <f t="shared" si="4"/>
        <v>9513</v>
      </c>
      <c r="M164" s="7">
        <f t="shared" si="5"/>
        <v>9116.625</v>
      </c>
      <c r="N164" s="7">
        <f t="shared" si="6"/>
        <v>8720.25</v>
      </c>
    </row>
    <row r="165">
      <c r="A165" s="5" t="s">
        <v>277</v>
      </c>
      <c r="B165" s="5" t="s">
        <v>36</v>
      </c>
      <c r="C165" s="6"/>
      <c r="D165" s="5" t="s">
        <v>334</v>
      </c>
      <c r="E165" s="5" t="s">
        <v>335</v>
      </c>
      <c r="F165" s="6"/>
      <c r="G165" s="8">
        <v>29610.0</v>
      </c>
      <c r="H165" s="5" t="s">
        <v>22</v>
      </c>
      <c r="I165" s="7">
        <f t="shared" si="1"/>
        <v>44415</v>
      </c>
      <c r="J165" s="7">
        <f t="shared" si="7"/>
        <v>38493</v>
      </c>
      <c r="K165" s="7">
        <f t="shared" si="3"/>
        <v>38493</v>
      </c>
      <c r="L165" s="7">
        <f t="shared" si="4"/>
        <v>35532</v>
      </c>
      <c r="M165" s="7">
        <f t="shared" si="5"/>
        <v>34051.5</v>
      </c>
      <c r="N165" s="7">
        <f t="shared" si="6"/>
        <v>32571</v>
      </c>
    </row>
    <row r="166">
      <c r="A166" s="5" t="s">
        <v>277</v>
      </c>
      <c r="B166" s="5" t="s">
        <v>36</v>
      </c>
      <c r="C166" s="6"/>
      <c r="D166" s="5" t="s">
        <v>336</v>
      </c>
      <c r="E166" s="5" t="s">
        <v>337</v>
      </c>
      <c r="F166" s="6"/>
      <c r="G166" s="8">
        <v>41780.0</v>
      </c>
      <c r="H166" s="5" t="s">
        <v>22</v>
      </c>
      <c r="I166" s="7">
        <f t="shared" si="1"/>
        <v>62670</v>
      </c>
      <c r="J166" s="7">
        <f t="shared" si="7"/>
        <v>54314</v>
      </c>
      <c r="K166" s="7">
        <f t="shared" si="3"/>
        <v>54314</v>
      </c>
      <c r="L166" s="7">
        <f t="shared" si="4"/>
        <v>50136</v>
      </c>
      <c r="M166" s="7">
        <f t="shared" si="5"/>
        <v>48047</v>
      </c>
      <c r="N166" s="7">
        <f t="shared" si="6"/>
        <v>45958</v>
      </c>
    </row>
    <row r="167">
      <c r="A167" s="5" t="s">
        <v>277</v>
      </c>
      <c r="B167" s="5" t="s">
        <v>197</v>
      </c>
      <c r="C167" s="6"/>
      <c r="D167" s="5" t="s">
        <v>338</v>
      </c>
      <c r="E167" s="5" t="s">
        <v>339</v>
      </c>
      <c r="F167" s="6"/>
      <c r="G167" s="8">
        <v>105000.0</v>
      </c>
      <c r="H167" s="5" t="s">
        <v>22</v>
      </c>
      <c r="I167" s="7">
        <f t="shared" si="1"/>
        <v>157500</v>
      </c>
      <c r="J167" s="7">
        <f t="shared" si="7"/>
        <v>136500</v>
      </c>
      <c r="K167" s="7">
        <f t="shared" si="3"/>
        <v>136500</v>
      </c>
      <c r="L167" s="7">
        <f t="shared" si="4"/>
        <v>126000</v>
      </c>
      <c r="M167" s="7">
        <f t="shared" si="5"/>
        <v>120750</v>
      </c>
      <c r="N167" s="7">
        <f t="shared" si="6"/>
        <v>115500</v>
      </c>
    </row>
    <row r="168">
      <c r="A168" s="5" t="s">
        <v>277</v>
      </c>
      <c r="B168" s="5" t="s">
        <v>197</v>
      </c>
      <c r="C168" s="6"/>
      <c r="D168" s="5" t="s">
        <v>340</v>
      </c>
      <c r="E168" s="5" t="s">
        <v>341</v>
      </c>
      <c r="F168" s="6"/>
      <c r="G168" s="8">
        <v>97500.0</v>
      </c>
      <c r="H168" s="5" t="s">
        <v>22</v>
      </c>
      <c r="I168" s="7">
        <f t="shared" si="1"/>
        <v>146250</v>
      </c>
      <c r="J168" s="7">
        <f t="shared" si="7"/>
        <v>126750</v>
      </c>
      <c r="K168" s="7">
        <f t="shared" si="3"/>
        <v>126750</v>
      </c>
      <c r="L168" s="7">
        <f t="shared" si="4"/>
        <v>117000</v>
      </c>
      <c r="M168" s="7">
        <f t="shared" si="5"/>
        <v>112125</v>
      </c>
      <c r="N168" s="7">
        <f t="shared" si="6"/>
        <v>107250</v>
      </c>
    </row>
    <row r="169">
      <c r="A169" s="5" t="s">
        <v>277</v>
      </c>
      <c r="B169" s="5" t="s">
        <v>36</v>
      </c>
      <c r="C169" s="6"/>
      <c r="D169" s="5" t="s">
        <v>342</v>
      </c>
      <c r="E169" s="5" t="s">
        <v>343</v>
      </c>
      <c r="F169" s="6"/>
      <c r="G169" s="8">
        <v>104905.5</v>
      </c>
      <c r="H169" s="5" t="s">
        <v>22</v>
      </c>
      <c r="I169" s="7">
        <f t="shared" si="1"/>
        <v>157358.25</v>
      </c>
      <c r="J169" s="7">
        <f t="shared" si="7"/>
        <v>136377.15</v>
      </c>
      <c r="K169" s="7">
        <f t="shared" si="3"/>
        <v>136377.15</v>
      </c>
      <c r="L169" s="7">
        <f t="shared" si="4"/>
        <v>125886.6</v>
      </c>
      <c r="M169" s="7">
        <f t="shared" si="5"/>
        <v>120641.325</v>
      </c>
      <c r="N169" s="7">
        <f t="shared" si="6"/>
        <v>115396.05</v>
      </c>
    </row>
    <row r="170">
      <c r="A170" s="5" t="s">
        <v>277</v>
      </c>
      <c r="B170" s="5" t="s">
        <v>36</v>
      </c>
      <c r="C170" s="6"/>
      <c r="D170" s="5" t="s">
        <v>344</v>
      </c>
      <c r="E170" s="5" t="s">
        <v>345</v>
      </c>
      <c r="F170" s="6"/>
      <c r="G170" s="8">
        <v>48000.0</v>
      </c>
      <c r="H170" s="5" t="s">
        <v>22</v>
      </c>
      <c r="I170" s="7">
        <f t="shared" si="1"/>
        <v>72000</v>
      </c>
      <c r="J170" s="7">
        <f t="shared" si="7"/>
        <v>62400</v>
      </c>
      <c r="K170" s="7">
        <f t="shared" si="3"/>
        <v>62400</v>
      </c>
      <c r="L170" s="7">
        <f t="shared" si="4"/>
        <v>57600</v>
      </c>
      <c r="M170" s="7">
        <f t="shared" si="5"/>
        <v>55200</v>
      </c>
      <c r="N170" s="7">
        <f t="shared" si="6"/>
        <v>52800</v>
      </c>
    </row>
    <row r="171">
      <c r="A171" s="5" t="s">
        <v>277</v>
      </c>
      <c r="B171" s="5" t="s">
        <v>36</v>
      </c>
      <c r="C171" s="6"/>
      <c r="D171" s="5" t="s">
        <v>346</v>
      </c>
      <c r="E171" s="5" t="s">
        <v>347</v>
      </c>
      <c r="F171" s="6"/>
      <c r="G171" s="8">
        <v>105000.0</v>
      </c>
      <c r="H171" s="5" t="s">
        <v>22</v>
      </c>
      <c r="I171" s="7">
        <f t="shared" si="1"/>
        <v>157500</v>
      </c>
      <c r="J171" s="7">
        <f t="shared" si="7"/>
        <v>136500</v>
      </c>
      <c r="K171" s="7">
        <f t="shared" si="3"/>
        <v>136500</v>
      </c>
      <c r="L171" s="7">
        <f t="shared" si="4"/>
        <v>126000</v>
      </c>
      <c r="M171" s="7">
        <f t="shared" si="5"/>
        <v>120750</v>
      </c>
      <c r="N171" s="7">
        <f t="shared" si="6"/>
        <v>115500</v>
      </c>
    </row>
    <row r="172">
      <c r="A172" s="5" t="s">
        <v>277</v>
      </c>
      <c r="B172" s="5" t="s">
        <v>36</v>
      </c>
      <c r="C172" s="6"/>
      <c r="D172" s="5" t="s">
        <v>348</v>
      </c>
      <c r="E172" s="5" t="s">
        <v>348</v>
      </c>
      <c r="F172" s="6"/>
      <c r="G172" s="8">
        <v>75000.0</v>
      </c>
      <c r="H172" s="5" t="s">
        <v>22</v>
      </c>
      <c r="I172" s="7">
        <f t="shared" si="1"/>
        <v>112500</v>
      </c>
      <c r="J172" s="7">
        <f t="shared" si="7"/>
        <v>97500</v>
      </c>
      <c r="K172" s="7">
        <f t="shared" si="3"/>
        <v>97500</v>
      </c>
      <c r="L172" s="7">
        <f t="shared" si="4"/>
        <v>90000</v>
      </c>
      <c r="M172" s="7">
        <f t="shared" si="5"/>
        <v>86250</v>
      </c>
      <c r="N172" s="7">
        <f t="shared" si="6"/>
        <v>82500</v>
      </c>
    </row>
    <row r="173">
      <c r="A173" s="5" t="s">
        <v>277</v>
      </c>
      <c r="B173" s="5" t="s">
        <v>36</v>
      </c>
      <c r="C173" s="6"/>
      <c r="D173" s="5" t="s">
        <v>349</v>
      </c>
      <c r="E173" s="5" t="s">
        <v>350</v>
      </c>
      <c r="F173" s="6"/>
      <c r="G173" s="8">
        <v>68000.0</v>
      </c>
      <c r="H173" s="5" t="s">
        <v>22</v>
      </c>
      <c r="I173" s="7">
        <f t="shared" si="1"/>
        <v>102000</v>
      </c>
      <c r="J173" s="7">
        <f t="shared" si="7"/>
        <v>88400</v>
      </c>
      <c r="K173" s="7">
        <f t="shared" si="3"/>
        <v>88400</v>
      </c>
      <c r="L173" s="7">
        <f t="shared" si="4"/>
        <v>81600</v>
      </c>
      <c r="M173" s="7">
        <f t="shared" si="5"/>
        <v>78200</v>
      </c>
      <c r="N173" s="7">
        <f t="shared" si="6"/>
        <v>74800</v>
      </c>
    </row>
    <row r="174">
      <c r="A174" s="5" t="s">
        <v>277</v>
      </c>
      <c r="B174" s="5" t="s">
        <v>36</v>
      </c>
      <c r="C174" s="6"/>
      <c r="D174" s="5" t="s">
        <v>351</v>
      </c>
      <c r="E174" s="5" t="s">
        <v>352</v>
      </c>
      <c r="F174" s="6"/>
      <c r="G174" s="8">
        <v>172500.0</v>
      </c>
      <c r="H174" s="5" t="s">
        <v>22</v>
      </c>
      <c r="I174" s="7">
        <f t="shared" si="1"/>
        <v>258750</v>
      </c>
      <c r="J174" s="7">
        <f t="shared" si="7"/>
        <v>224250</v>
      </c>
      <c r="K174" s="7">
        <f t="shared" si="3"/>
        <v>224250</v>
      </c>
      <c r="L174" s="7">
        <f t="shared" si="4"/>
        <v>207000</v>
      </c>
      <c r="M174" s="7">
        <f t="shared" si="5"/>
        <v>198375</v>
      </c>
      <c r="N174" s="7">
        <f t="shared" si="6"/>
        <v>189750</v>
      </c>
    </row>
    <row r="175">
      <c r="A175" s="5" t="s">
        <v>277</v>
      </c>
      <c r="B175" s="5" t="s">
        <v>36</v>
      </c>
      <c r="C175" s="6"/>
      <c r="D175" s="6"/>
      <c r="E175" s="5" t="s">
        <v>353</v>
      </c>
      <c r="F175" s="6"/>
      <c r="G175" s="8">
        <v>255000.0</v>
      </c>
      <c r="H175" s="5" t="s">
        <v>22</v>
      </c>
      <c r="I175" s="7">
        <f t="shared" si="1"/>
        <v>382500</v>
      </c>
      <c r="J175" s="7">
        <f t="shared" si="7"/>
        <v>331500</v>
      </c>
      <c r="K175" s="7">
        <f t="shared" si="3"/>
        <v>331500</v>
      </c>
      <c r="L175" s="7">
        <f t="shared" si="4"/>
        <v>306000</v>
      </c>
      <c r="M175" s="7">
        <f t="shared" si="5"/>
        <v>293250</v>
      </c>
      <c r="N175" s="7">
        <f t="shared" si="6"/>
        <v>280500</v>
      </c>
    </row>
    <row r="176">
      <c r="A176" s="5" t="s">
        <v>277</v>
      </c>
      <c r="B176" s="5" t="s">
        <v>36</v>
      </c>
      <c r="C176" s="6"/>
      <c r="D176" s="5" t="s">
        <v>354</v>
      </c>
      <c r="E176" s="5" t="s">
        <v>355</v>
      </c>
      <c r="F176" s="6"/>
      <c r="G176" s="8">
        <v>70500.0</v>
      </c>
      <c r="H176" s="5" t="s">
        <v>22</v>
      </c>
      <c r="I176" s="7">
        <f t="shared" si="1"/>
        <v>105750</v>
      </c>
      <c r="J176" s="7">
        <f t="shared" si="7"/>
        <v>91650</v>
      </c>
      <c r="K176" s="7">
        <f t="shared" si="3"/>
        <v>91650</v>
      </c>
      <c r="L176" s="7">
        <f t="shared" si="4"/>
        <v>84600</v>
      </c>
      <c r="M176" s="7">
        <f t="shared" si="5"/>
        <v>81075</v>
      </c>
      <c r="N176" s="7">
        <f t="shared" si="6"/>
        <v>77550</v>
      </c>
    </row>
    <row r="177">
      <c r="A177" s="5" t="s">
        <v>277</v>
      </c>
      <c r="B177" s="5" t="s">
        <v>36</v>
      </c>
      <c r="C177" s="6"/>
      <c r="D177" s="5" t="s">
        <v>356</v>
      </c>
      <c r="E177" s="5" t="s">
        <v>357</v>
      </c>
      <c r="F177" s="6"/>
      <c r="G177" s="8">
        <v>42412.5</v>
      </c>
      <c r="H177" s="5" t="s">
        <v>22</v>
      </c>
      <c r="I177" s="7">
        <f t="shared" si="1"/>
        <v>63618.75</v>
      </c>
      <c r="J177" s="7">
        <f t="shared" si="7"/>
        <v>55136.25</v>
      </c>
      <c r="K177" s="7">
        <f t="shared" si="3"/>
        <v>55136.25</v>
      </c>
      <c r="L177" s="7">
        <f t="shared" si="4"/>
        <v>50895</v>
      </c>
      <c r="M177" s="7">
        <f t="shared" si="5"/>
        <v>48774.375</v>
      </c>
      <c r="N177" s="7">
        <f t="shared" si="6"/>
        <v>46653.75</v>
      </c>
    </row>
    <row r="178">
      <c r="A178" s="5" t="s">
        <v>277</v>
      </c>
      <c r="B178" s="5" t="s">
        <v>36</v>
      </c>
      <c r="C178" s="6"/>
      <c r="D178" s="5" t="s">
        <v>358</v>
      </c>
      <c r="E178" s="5" t="s">
        <v>359</v>
      </c>
      <c r="F178" s="6"/>
      <c r="G178" s="8">
        <v>56520.0</v>
      </c>
      <c r="H178" s="5" t="s">
        <v>22</v>
      </c>
      <c r="I178" s="7">
        <f t="shared" si="1"/>
        <v>84780</v>
      </c>
      <c r="J178" s="7">
        <f t="shared" si="7"/>
        <v>73476</v>
      </c>
      <c r="K178" s="7">
        <f t="shared" si="3"/>
        <v>73476</v>
      </c>
      <c r="L178" s="7">
        <f t="shared" si="4"/>
        <v>67824</v>
      </c>
      <c r="M178" s="7">
        <f t="shared" si="5"/>
        <v>64998</v>
      </c>
      <c r="N178" s="7">
        <f t="shared" si="6"/>
        <v>62172</v>
      </c>
    </row>
    <row r="179">
      <c r="A179" s="5" t="s">
        <v>277</v>
      </c>
      <c r="B179" s="5" t="s">
        <v>36</v>
      </c>
      <c r="C179" s="6"/>
      <c r="D179" s="5" t="s">
        <v>360</v>
      </c>
      <c r="E179" s="5" t="s">
        <v>361</v>
      </c>
      <c r="F179" s="6"/>
      <c r="G179" s="8">
        <v>10485.0</v>
      </c>
      <c r="H179" s="5" t="s">
        <v>22</v>
      </c>
      <c r="I179" s="7">
        <f t="shared" si="1"/>
        <v>15727.5</v>
      </c>
      <c r="J179" s="7">
        <f t="shared" si="7"/>
        <v>13630.5</v>
      </c>
      <c r="K179" s="7">
        <f t="shared" si="3"/>
        <v>13630.5</v>
      </c>
      <c r="L179" s="7">
        <f t="shared" si="4"/>
        <v>12582</v>
      </c>
      <c r="M179" s="7">
        <f t="shared" si="5"/>
        <v>12057.75</v>
      </c>
      <c r="N179" s="7">
        <f t="shared" si="6"/>
        <v>11533.5</v>
      </c>
    </row>
    <row r="180">
      <c r="A180" s="5" t="s">
        <v>277</v>
      </c>
      <c r="B180" s="5" t="s">
        <v>36</v>
      </c>
      <c r="C180" s="6"/>
      <c r="D180" s="5" t="s">
        <v>362</v>
      </c>
      <c r="E180" s="5" t="s">
        <v>363</v>
      </c>
      <c r="F180" s="6"/>
      <c r="G180" s="8">
        <v>230385.0</v>
      </c>
      <c r="H180" s="5" t="s">
        <v>22</v>
      </c>
      <c r="I180" s="7">
        <f t="shared" si="1"/>
        <v>345577.5</v>
      </c>
      <c r="J180" s="7">
        <f t="shared" si="7"/>
        <v>299500.5</v>
      </c>
      <c r="K180" s="7">
        <f t="shared" si="3"/>
        <v>299500.5</v>
      </c>
      <c r="L180" s="7">
        <f t="shared" si="4"/>
        <v>276462</v>
      </c>
      <c r="M180" s="7">
        <f t="shared" si="5"/>
        <v>264942.75</v>
      </c>
      <c r="N180" s="7">
        <f t="shared" si="6"/>
        <v>253423.5</v>
      </c>
    </row>
    <row r="181">
      <c r="A181" s="5" t="s">
        <v>277</v>
      </c>
      <c r="B181" s="5" t="s">
        <v>36</v>
      </c>
      <c r="C181" s="6"/>
      <c r="D181" s="5" t="s">
        <v>364</v>
      </c>
      <c r="E181" s="5" t="s">
        <v>365</v>
      </c>
      <c r="F181" s="6"/>
      <c r="G181" s="8">
        <v>13102.5</v>
      </c>
      <c r="H181" s="5" t="s">
        <v>22</v>
      </c>
      <c r="I181" s="7">
        <f t="shared" si="1"/>
        <v>19653.75</v>
      </c>
      <c r="J181" s="7">
        <f t="shared" si="7"/>
        <v>17033.25</v>
      </c>
      <c r="K181" s="7">
        <f t="shared" si="3"/>
        <v>17033.25</v>
      </c>
      <c r="L181" s="7">
        <f t="shared" si="4"/>
        <v>15723</v>
      </c>
      <c r="M181" s="7">
        <f t="shared" si="5"/>
        <v>15067.875</v>
      </c>
      <c r="N181" s="7">
        <f t="shared" si="6"/>
        <v>14412.75</v>
      </c>
    </row>
    <row r="182">
      <c r="A182" s="5" t="s">
        <v>277</v>
      </c>
      <c r="B182" s="5" t="s">
        <v>36</v>
      </c>
      <c r="C182" s="6"/>
      <c r="D182" s="5" t="s">
        <v>366</v>
      </c>
      <c r="E182" s="5" t="s">
        <v>367</v>
      </c>
      <c r="F182" s="6"/>
      <c r="G182" s="8">
        <v>52500.0</v>
      </c>
      <c r="H182" s="5" t="s">
        <v>22</v>
      </c>
      <c r="I182" s="7">
        <f t="shared" si="1"/>
        <v>78750</v>
      </c>
      <c r="J182" s="7">
        <f t="shared" si="7"/>
        <v>68250</v>
      </c>
      <c r="K182" s="7">
        <f t="shared" si="3"/>
        <v>68250</v>
      </c>
      <c r="L182" s="7">
        <f t="shared" si="4"/>
        <v>63000</v>
      </c>
      <c r="M182" s="7">
        <f t="shared" si="5"/>
        <v>60375</v>
      </c>
      <c r="N182" s="7">
        <f t="shared" si="6"/>
        <v>57750</v>
      </c>
    </row>
    <row r="183">
      <c r="A183" s="5" t="s">
        <v>277</v>
      </c>
      <c r="B183" s="5" t="s">
        <v>36</v>
      </c>
      <c r="C183" s="6"/>
      <c r="D183" s="5" t="s">
        <v>368</v>
      </c>
      <c r="E183" s="5" t="s">
        <v>369</v>
      </c>
      <c r="F183" s="6"/>
      <c r="G183" s="8">
        <v>70500.0</v>
      </c>
      <c r="H183" s="5" t="s">
        <v>22</v>
      </c>
      <c r="I183" s="7">
        <f t="shared" si="1"/>
        <v>105750</v>
      </c>
      <c r="J183" s="7">
        <f t="shared" si="7"/>
        <v>91650</v>
      </c>
      <c r="K183" s="7">
        <f t="shared" si="3"/>
        <v>91650</v>
      </c>
      <c r="L183" s="7">
        <f t="shared" si="4"/>
        <v>84600</v>
      </c>
      <c r="M183" s="7">
        <f t="shared" si="5"/>
        <v>81075</v>
      </c>
      <c r="N183" s="7">
        <f t="shared" si="6"/>
        <v>77550</v>
      </c>
    </row>
    <row r="184">
      <c r="A184" s="5" t="s">
        <v>277</v>
      </c>
      <c r="B184" s="5" t="s">
        <v>36</v>
      </c>
      <c r="C184" s="6"/>
      <c r="D184" s="5" t="s">
        <v>312</v>
      </c>
      <c r="E184" s="5" t="s">
        <v>370</v>
      </c>
      <c r="F184" s="6"/>
      <c r="G184" s="8">
        <v>66460.0</v>
      </c>
      <c r="H184" s="5" t="s">
        <v>22</v>
      </c>
      <c r="I184" s="7">
        <f t="shared" si="1"/>
        <v>99690</v>
      </c>
      <c r="J184" s="7">
        <f t="shared" si="7"/>
        <v>86398</v>
      </c>
      <c r="K184" s="7">
        <f t="shared" si="3"/>
        <v>86398</v>
      </c>
      <c r="L184" s="7">
        <f t="shared" si="4"/>
        <v>79752</v>
      </c>
      <c r="M184" s="7">
        <f t="shared" si="5"/>
        <v>76429</v>
      </c>
      <c r="N184" s="7">
        <f t="shared" si="6"/>
        <v>73106</v>
      </c>
    </row>
    <row r="185">
      <c r="A185" s="5" t="s">
        <v>277</v>
      </c>
      <c r="B185" s="5" t="s">
        <v>36</v>
      </c>
      <c r="C185" s="6"/>
      <c r="D185" s="5" t="s">
        <v>371</v>
      </c>
      <c r="E185" s="5" t="s">
        <v>372</v>
      </c>
      <c r="F185" s="6"/>
      <c r="G185" s="8">
        <v>90920.0</v>
      </c>
      <c r="H185" s="5" t="s">
        <v>22</v>
      </c>
      <c r="I185" s="7">
        <f t="shared" si="1"/>
        <v>136380</v>
      </c>
      <c r="J185" s="7">
        <f t="shared" si="7"/>
        <v>118196</v>
      </c>
      <c r="K185" s="7">
        <f t="shared" si="3"/>
        <v>118196</v>
      </c>
      <c r="L185" s="7">
        <f t="shared" si="4"/>
        <v>109104</v>
      </c>
      <c r="M185" s="7">
        <f t="shared" si="5"/>
        <v>104558</v>
      </c>
      <c r="N185" s="7">
        <f t="shared" si="6"/>
        <v>100012</v>
      </c>
    </row>
    <row r="186">
      <c r="A186" s="5" t="s">
        <v>277</v>
      </c>
      <c r="B186" s="5" t="s">
        <v>36</v>
      </c>
      <c r="C186" s="6"/>
      <c r="D186" s="5" t="s">
        <v>373</v>
      </c>
      <c r="E186" s="5" t="s">
        <v>370</v>
      </c>
      <c r="F186" s="6"/>
      <c r="G186" s="8">
        <v>62695.5</v>
      </c>
      <c r="H186" s="5" t="s">
        <v>22</v>
      </c>
      <c r="I186" s="7">
        <f t="shared" si="1"/>
        <v>94043.25</v>
      </c>
      <c r="J186" s="7">
        <f t="shared" si="7"/>
        <v>81504.15</v>
      </c>
      <c r="K186" s="7">
        <f t="shared" si="3"/>
        <v>81504.15</v>
      </c>
      <c r="L186" s="7">
        <f t="shared" si="4"/>
        <v>75234.6</v>
      </c>
      <c r="M186" s="7">
        <f t="shared" si="5"/>
        <v>72099.825</v>
      </c>
      <c r="N186" s="7">
        <f t="shared" si="6"/>
        <v>68965.05</v>
      </c>
    </row>
    <row r="187">
      <c r="A187" s="5" t="s">
        <v>277</v>
      </c>
      <c r="B187" s="5" t="s">
        <v>36</v>
      </c>
      <c r="C187" s="6"/>
      <c r="D187" s="5" t="s">
        <v>374</v>
      </c>
      <c r="E187" s="5" t="s">
        <v>375</v>
      </c>
      <c r="F187" s="6"/>
      <c r="G187" s="8">
        <v>51240.0</v>
      </c>
      <c r="H187" s="5" t="s">
        <v>22</v>
      </c>
      <c r="I187" s="7">
        <f t="shared" si="1"/>
        <v>76860</v>
      </c>
      <c r="J187" s="7">
        <f t="shared" si="7"/>
        <v>66612</v>
      </c>
      <c r="K187" s="7">
        <f t="shared" si="3"/>
        <v>66612</v>
      </c>
      <c r="L187" s="7">
        <f t="shared" si="4"/>
        <v>61488</v>
      </c>
      <c r="M187" s="7">
        <f t="shared" si="5"/>
        <v>58926</v>
      </c>
      <c r="N187" s="7">
        <f t="shared" si="6"/>
        <v>56364</v>
      </c>
    </row>
    <row r="188">
      <c r="A188" s="5" t="s">
        <v>277</v>
      </c>
      <c r="B188" s="5" t="s">
        <v>36</v>
      </c>
      <c r="C188" s="6"/>
      <c r="D188" s="5" t="s">
        <v>376</v>
      </c>
      <c r="E188" s="5" t="s">
        <v>377</v>
      </c>
      <c r="F188" s="6"/>
      <c r="G188" s="8">
        <v>44037.0</v>
      </c>
      <c r="H188" s="5" t="s">
        <v>22</v>
      </c>
      <c r="I188" s="7">
        <f t="shared" si="1"/>
        <v>66055.5</v>
      </c>
      <c r="J188" s="7">
        <f t="shared" si="7"/>
        <v>57248.1</v>
      </c>
      <c r="K188" s="7">
        <f t="shared" si="3"/>
        <v>57248.1</v>
      </c>
      <c r="L188" s="7">
        <f t="shared" si="4"/>
        <v>52844.4</v>
      </c>
      <c r="M188" s="7">
        <f t="shared" si="5"/>
        <v>50642.55</v>
      </c>
      <c r="N188" s="7">
        <f t="shared" si="6"/>
        <v>48440.7</v>
      </c>
    </row>
    <row r="189">
      <c r="A189" s="5" t="s">
        <v>277</v>
      </c>
      <c r="B189" s="5" t="s">
        <v>36</v>
      </c>
      <c r="C189" s="6"/>
      <c r="D189" s="5" t="s">
        <v>378</v>
      </c>
      <c r="E189" s="5" t="s">
        <v>379</v>
      </c>
      <c r="F189" s="6"/>
      <c r="G189" s="8">
        <v>6174.0</v>
      </c>
      <c r="H189" s="5" t="s">
        <v>22</v>
      </c>
      <c r="I189" s="7">
        <f t="shared" si="1"/>
        <v>9261</v>
      </c>
      <c r="J189" s="7">
        <f t="shared" si="7"/>
        <v>8026.2</v>
      </c>
      <c r="K189" s="7">
        <f t="shared" si="3"/>
        <v>8026.2</v>
      </c>
      <c r="L189" s="7">
        <f t="shared" si="4"/>
        <v>7408.8</v>
      </c>
      <c r="M189" s="7">
        <f t="shared" si="5"/>
        <v>7100.1</v>
      </c>
      <c r="N189" s="7">
        <f t="shared" si="6"/>
        <v>6791.4</v>
      </c>
    </row>
    <row r="190">
      <c r="A190" s="5" t="s">
        <v>277</v>
      </c>
      <c r="B190" s="5" t="s">
        <v>36</v>
      </c>
      <c r="C190" s="6"/>
      <c r="D190" s="5" t="s">
        <v>380</v>
      </c>
      <c r="E190" s="5" t="s">
        <v>381</v>
      </c>
      <c r="F190" s="6"/>
      <c r="G190" s="8">
        <v>12348.0</v>
      </c>
      <c r="H190" s="5" t="s">
        <v>22</v>
      </c>
      <c r="I190" s="7">
        <f t="shared" si="1"/>
        <v>18522</v>
      </c>
      <c r="J190" s="7">
        <f t="shared" si="7"/>
        <v>16052.4</v>
      </c>
      <c r="K190" s="7">
        <f t="shared" si="3"/>
        <v>16052.4</v>
      </c>
      <c r="L190" s="7">
        <f t="shared" si="4"/>
        <v>14817.6</v>
      </c>
      <c r="M190" s="7">
        <f t="shared" si="5"/>
        <v>14200.2</v>
      </c>
      <c r="N190" s="7">
        <f t="shared" si="6"/>
        <v>13582.8</v>
      </c>
    </row>
    <row r="191">
      <c r="A191" s="5" t="s">
        <v>277</v>
      </c>
      <c r="B191" s="5" t="s">
        <v>36</v>
      </c>
      <c r="C191" s="6"/>
      <c r="D191" s="5" t="s">
        <v>382</v>
      </c>
      <c r="E191" s="5" t="s">
        <v>383</v>
      </c>
      <c r="F191" s="6"/>
      <c r="G191" s="8">
        <v>1585.0</v>
      </c>
      <c r="H191" s="5" t="s">
        <v>22</v>
      </c>
      <c r="I191" s="7">
        <f t="shared" si="1"/>
        <v>2377.5</v>
      </c>
      <c r="J191" s="7">
        <f t="shared" si="7"/>
        <v>2060.5</v>
      </c>
      <c r="K191" s="7">
        <f t="shared" si="3"/>
        <v>2060.5</v>
      </c>
      <c r="L191" s="7">
        <f t="shared" si="4"/>
        <v>1902</v>
      </c>
      <c r="M191" s="7">
        <f t="shared" si="5"/>
        <v>1822.75</v>
      </c>
      <c r="N191" s="7">
        <f t="shared" si="6"/>
        <v>1743.5</v>
      </c>
    </row>
    <row r="192">
      <c r="A192" s="5" t="s">
        <v>277</v>
      </c>
      <c r="B192" s="5" t="s">
        <v>197</v>
      </c>
      <c r="C192" s="6"/>
      <c r="D192" s="5" t="s">
        <v>384</v>
      </c>
      <c r="E192" s="5" t="s">
        <v>385</v>
      </c>
      <c r="F192" s="6"/>
      <c r="G192" s="5">
        <v>305.0</v>
      </c>
      <c r="H192" s="5" t="s">
        <v>22</v>
      </c>
      <c r="I192" s="7">
        <f t="shared" si="1"/>
        <v>457.5</v>
      </c>
      <c r="J192" s="7">
        <f t="shared" si="7"/>
        <v>396.5</v>
      </c>
      <c r="K192" s="7">
        <f t="shared" si="3"/>
        <v>396.5</v>
      </c>
      <c r="L192" s="7">
        <f t="shared" si="4"/>
        <v>366</v>
      </c>
      <c r="M192" s="7">
        <f t="shared" si="5"/>
        <v>350.75</v>
      </c>
      <c r="N192" s="7">
        <f t="shared" si="6"/>
        <v>335.5</v>
      </c>
    </row>
    <row r="193">
      <c r="A193" s="5" t="s">
        <v>277</v>
      </c>
      <c r="B193" s="5" t="s">
        <v>197</v>
      </c>
      <c r="C193" s="6"/>
      <c r="D193" s="5" t="s">
        <v>386</v>
      </c>
      <c r="E193" s="5" t="s">
        <v>387</v>
      </c>
      <c r="F193" s="6"/>
      <c r="G193" s="5">
        <v>798.0</v>
      </c>
      <c r="H193" s="5" t="s">
        <v>22</v>
      </c>
      <c r="I193" s="7">
        <f t="shared" si="1"/>
        <v>1197</v>
      </c>
      <c r="J193" s="7">
        <f t="shared" si="7"/>
        <v>1037.4</v>
      </c>
      <c r="K193" s="7">
        <f t="shared" si="3"/>
        <v>1037.4</v>
      </c>
      <c r="L193" s="7">
        <f t="shared" si="4"/>
        <v>957.6</v>
      </c>
      <c r="M193" s="7">
        <f t="shared" si="5"/>
        <v>917.7</v>
      </c>
      <c r="N193" s="7">
        <f t="shared" si="6"/>
        <v>877.8</v>
      </c>
    </row>
    <row r="194">
      <c r="A194" s="5" t="s">
        <v>277</v>
      </c>
      <c r="B194" s="5" t="s">
        <v>197</v>
      </c>
      <c r="C194" s="5" t="s">
        <v>388</v>
      </c>
      <c r="D194" s="5" t="s">
        <v>389</v>
      </c>
      <c r="E194" s="5" t="s">
        <v>390</v>
      </c>
      <c r="F194" s="6"/>
      <c r="G194" s="5">
        <v>836.0</v>
      </c>
      <c r="H194" s="5" t="s">
        <v>22</v>
      </c>
      <c r="I194" s="7">
        <f t="shared" si="1"/>
        <v>1254</v>
      </c>
      <c r="J194" s="7">
        <f t="shared" si="7"/>
        <v>1086.8</v>
      </c>
      <c r="K194" s="7">
        <f t="shared" si="3"/>
        <v>1086.8</v>
      </c>
      <c r="L194" s="7">
        <f t="shared" si="4"/>
        <v>1003.2</v>
      </c>
      <c r="M194" s="7">
        <f t="shared" si="5"/>
        <v>961.4</v>
      </c>
      <c r="N194" s="7">
        <f t="shared" si="6"/>
        <v>919.6</v>
      </c>
    </row>
    <row r="195">
      <c r="A195" s="5" t="s">
        <v>277</v>
      </c>
      <c r="B195" s="5" t="s">
        <v>197</v>
      </c>
      <c r="C195" s="6"/>
      <c r="D195" s="5" t="s">
        <v>391</v>
      </c>
      <c r="E195" s="5" t="s">
        <v>392</v>
      </c>
      <c r="F195" s="6"/>
      <c r="G195" s="8">
        <v>36214.5</v>
      </c>
      <c r="H195" s="5" t="s">
        <v>22</v>
      </c>
      <c r="I195" s="7">
        <f t="shared" si="1"/>
        <v>54321.75</v>
      </c>
      <c r="J195" s="7">
        <f t="shared" si="7"/>
        <v>47078.85</v>
      </c>
      <c r="K195" s="7">
        <f t="shared" si="3"/>
        <v>47078.85</v>
      </c>
      <c r="L195" s="7">
        <f t="shared" si="4"/>
        <v>43457.4</v>
      </c>
      <c r="M195" s="7">
        <f t="shared" si="5"/>
        <v>41646.675</v>
      </c>
      <c r="N195" s="7">
        <f t="shared" si="6"/>
        <v>39835.95</v>
      </c>
    </row>
    <row r="196">
      <c r="A196" s="5" t="s">
        <v>277</v>
      </c>
      <c r="B196" s="5" t="s">
        <v>197</v>
      </c>
      <c r="C196" s="6"/>
      <c r="D196" s="5" t="s">
        <v>393</v>
      </c>
      <c r="E196" s="5" t="s">
        <v>394</v>
      </c>
      <c r="F196" s="6"/>
      <c r="G196" s="8">
        <v>38461.5</v>
      </c>
      <c r="H196" s="5" t="s">
        <v>22</v>
      </c>
      <c r="I196" s="7">
        <f t="shared" si="1"/>
        <v>57692.25</v>
      </c>
      <c r="J196" s="7">
        <f t="shared" si="7"/>
        <v>49999.95</v>
      </c>
      <c r="K196" s="7">
        <f t="shared" si="3"/>
        <v>49999.95</v>
      </c>
      <c r="L196" s="7">
        <f t="shared" si="4"/>
        <v>46153.8</v>
      </c>
      <c r="M196" s="7">
        <f t="shared" si="5"/>
        <v>44230.725</v>
      </c>
      <c r="N196" s="7">
        <f t="shared" si="6"/>
        <v>42307.65</v>
      </c>
    </row>
    <row r="197">
      <c r="A197" s="5" t="s">
        <v>277</v>
      </c>
      <c r="B197" s="5" t="s">
        <v>197</v>
      </c>
      <c r="C197" s="6"/>
      <c r="D197" s="5" t="s">
        <v>395</v>
      </c>
      <c r="E197" s="5" t="s">
        <v>396</v>
      </c>
      <c r="F197" s="6"/>
      <c r="G197" s="8">
        <v>76000.0</v>
      </c>
      <c r="H197" s="5" t="s">
        <v>22</v>
      </c>
      <c r="I197" s="7">
        <f t="shared" si="1"/>
        <v>114000</v>
      </c>
      <c r="J197" s="7">
        <f t="shared" si="7"/>
        <v>98800</v>
      </c>
      <c r="K197" s="7">
        <f t="shared" si="3"/>
        <v>98800</v>
      </c>
      <c r="L197" s="7">
        <f t="shared" si="4"/>
        <v>91200</v>
      </c>
      <c r="M197" s="7">
        <f t="shared" si="5"/>
        <v>87400</v>
      </c>
      <c r="N197" s="7">
        <f t="shared" si="6"/>
        <v>83600</v>
      </c>
    </row>
    <row r="198">
      <c r="A198" s="5" t="s">
        <v>277</v>
      </c>
      <c r="B198" s="5" t="s">
        <v>197</v>
      </c>
      <c r="C198" s="6"/>
      <c r="D198" s="5" t="s">
        <v>397</v>
      </c>
      <c r="E198" s="5" t="s">
        <v>398</v>
      </c>
      <c r="F198" s="6"/>
      <c r="G198" s="8">
        <v>64543.5</v>
      </c>
      <c r="H198" s="5" t="s">
        <v>22</v>
      </c>
      <c r="I198" s="7">
        <f t="shared" si="1"/>
        <v>96815.25</v>
      </c>
      <c r="J198" s="7">
        <f t="shared" si="7"/>
        <v>83906.55</v>
      </c>
      <c r="K198" s="7">
        <f t="shared" si="3"/>
        <v>83906.55</v>
      </c>
      <c r="L198" s="7">
        <f t="shared" si="4"/>
        <v>77452.2</v>
      </c>
      <c r="M198" s="7">
        <f t="shared" si="5"/>
        <v>74225.025</v>
      </c>
      <c r="N198" s="7">
        <f t="shared" si="6"/>
        <v>70997.85</v>
      </c>
    </row>
    <row r="199">
      <c r="A199" s="5" t="s">
        <v>277</v>
      </c>
      <c r="B199" s="5" t="s">
        <v>197</v>
      </c>
      <c r="C199" s="6"/>
      <c r="D199" s="5" t="s">
        <v>399</v>
      </c>
      <c r="E199" s="5" t="s">
        <v>400</v>
      </c>
      <c r="F199" s="6"/>
      <c r="G199" s="8">
        <v>19236.0</v>
      </c>
      <c r="H199" s="5" t="s">
        <v>22</v>
      </c>
      <c r="I199" s="7">
        <f t="shared" si="1"/>
        <v>28854</v>
      </c>
      <c r="J199" s="7">
        <f t="shared" si="7"/>
        <v>25006.8</v>
      </c>
      <c r="K199" s="7">
        <f t="shared" si="3"/>
        <v>25006.8</v>
      </c>
      <c r="L199" s="7">
        <f t="shared" si="4"/>
        <v>23083.2</v>
      </c>
      <c r="M199" s="7">
        <f t="shared" si="5"/>
        <v>22121.4</v>
      </c>
      <c r="N199" s="7">
        <f t="shared" si="6"/>
        <v>21159.6</v>
      </c>
    </row>
    <row r="200">
      <c r="A200" s="5" t="s">
        <v>277</v>
      </c>
      <c r="B200" s="5" t="s">
        <v>197</v>
      </c>
      <c r="C200" s="6"/>
      <c r="D200" s="5" t="s">
        <v>401</v>
      </c>
      <c r="E200" s="5" t="s">
        <v>402</v>
      </c>
      <c r="F200" s="6"/>
      <c r="G200" s="8">
        <v>18468.0</v>
      </c>
      <c r="H200" s="5" t="s">
        <v>22</v>
      </c>
      <c r="I200" s="7">
        <f t="shared" si="1"/>
        <v>27702</v>
      </c>
      <c r="J200" s="7">
        <f t="shared" si="7"/>
        <v>24008.4</v>
      </c>
      <c r="K200" s="7">
        <f t="shared" si="3"/>
        <v>24008.4</v>
      </c>
      <c r="L200" s="7">
        <f t="shared" si="4"/>
        <v>22161.6</v>
      </c>
      <c r="M200" s="7">
        <f t="shared" si="5"/>
        <v>21238.2</v>
      </c>
      <c r="N200" s="7">
        <f t="shared" si="6"/>
        <v>20314.8</v>
      </c>
    </row>
    <row r="201">
      <c r="A201" s="5" t="s">
        <v>277</v>
      </c>
      <c r="B201" s="5" t="s">
        <v>197</v>
      </c>
      <c r="C201" s="6"/>
      <c r="D201" s="5" t="s">
        <v>403</v>
      </c>
      <c r="E201" s="5" t="s">
        <v>404</v>
      </c>
      <c r="F201" s="6"/>
      <c r="G201" s="8">
        <v>48900.0</v>
      </c>
      <c r="H201" s="5" t="s">
        <v>22</v>
      </c>
      <c r="I201" s="7">
        <f t="shared" si="1"/>
        <v>73350</v>
      </c>
      <c r="J201" s="7">
        <f t="shared" si="7"/>
        <v>63570</v>
      </c>
      <c r="K201" s="7">
        <f t="shared" si="3"/>
        <v>63570</v>
      </c>
      <c r="L201" s="7">
        <f t="shared" si="4"/>
        <v>58680</v>
      </c>
      <c r="M201" s="7">
        <f t="shared" si="5"/>
        <v>56235</v>
      </c>
      <c r="N201" s="7">
        <f t="shared" si="6"/>
        <v>53790</v>
      </c>
    </row>
    <row r="202">
      <c r="A202" s="5" t="s">
        <v>277</v>
      </c>
      <c r="B202" s="5" t="s">
        <v>197</v>
      </c>
      <c r="C202" s="6"/>
      <c r="D202" s="5" t="s">
        <v>397</v>
      </c>
      <c r="E202" s="5" t="s">
        <v>405</v>
      </c>
      <c r="F202" s="6"/>
      <c r="G202" s="8">
        <v>64544.0</v>
      </c>
      <c r="H202" s="5" t="s">
        <v>22</v>
      </c>
      <c r="I202" s="7">
        <f t="shared" si="1"/>
        <v>96816</v>
      </c>
      <c r="J202" s="7">
        <f t="shared" si="7"/>
        <v>83907.2</v>
      </c>
      <c r="K202" s="7">
        <f t="shared" si="3"/>
        <v>83907.2</v>
      </c>
      <c r="L202" s="7">
        <f t="shared" si="4"/>
        <v>77452.8</v>
      </c>
      <c r="M202" s="7">
        <f t="shared" si="5"/>
        <v>74225.6</v>
      </c>
      <c r="N202" s="7">
        <f t="shared" si="6"/>
        <v>70998.4</v>
      </c>
    </row>
    <row r="203">
      <c r="A203" s="5" t="s">
        <v>277</v>
      </c>
      <c r="B203" s="5" t="s">
        <v>197</v>
      </c>
      <c r="C203" s="6"/>
      <c r="D203" s="5" t="s">
        <v>393</v>
      </c>
      <c r="E203" s="5" t="s">
        <v>406</v>
      </c>
      <c r="F203" s="6"/>
      <c r="G203" s="8">
        <v>38462.0</v>
      </c>
      <c r="H203" s="5" t="s">
        <v>22</v>
      </c>
      <c r="I203" s="7">
        <f t="shared" si="1"/>
        <v>57693</v>
      </c>
      <c r="J203" s="7">
        <f t="shared" si="7"/>
        <v>50000.6</v>
      </c>
      <c r="K203" s="7">
        <f t="shared" si="3"/>
        <v>50000.6</v>
      </c>
      <c r="L203" s="7">
        <f t="shared" si="4"/>
        <v>46154.4</v>
      </c>
      <c r="M203" s="7">
        <f t="shared" si="5"/>
        <v>44231.3</v>
      </c>
      <c r="N203" s="7">
        <f t="shared" si="6"/>
        <v>42308.2</v>
      </c>
    </row>
    <row r="204">
      <c r="A204" s="5" t="s">
        <v>277</v>
      </c>
      <c r="B204" s="5" t="s">
        <v>197</v>
      </c>
      <c r="C204" s="6"/>
      <c r="D204" s="5" t="s">
        <v>391</v>
      </c>
      <c r="E204" s="5" t="s">
        <v>407</v>
      </c>
      <c r="F204" s="6"/>
      <c r="G204" s="8">
        <v>36215.0</v>
      </c>
      <c r="H204" s="5" t="s">
        <v>22</v>
      </c>
      <c r="I204" s="7">
        <f t="shared" si="1"/>
        <v>54322.5</v>
      </c>
      <c r="J204" s="7">
        <f t="shared" si="7"/>
        <v>47079.5</v>
      </c>
      <c r="K204" s="7">
        <f t="shared" si="3"/>
        <v>47079.5</v>
      </c>
      <c r="L204" s="7">
        <f t="shared" si="4"/>
        <v>43458</v>
      </c>
      <c r="M204" s="7">
        <f t="shared" si="5"/>
        <v>41647.25</v>
      </c>
      <c r="N204" s="7">
        <f t="shared" si="6"/>
        <v>39836.5</v>
      </c>
    </row>
    <row r="205">
      <c r="A205" s="5" t="s">
        <v>277</v>
      </c>
      <c r="B205" s="5" t="s">
        <v>197</v>
      </c>
      <c r="C205" s="6"/>
      <c r="D205" s="5" t="s">
        <v>408</v>
      </c>
      <c r="E205" s="5" t="s">
        <v>230</v>
      </c>
      <c r="F205" s="6"/>
      <c r="G205" s="8">
        <v>1795.5</v>
      </c>
      <c r="H205" s="5" t="s">
        <v>22</v>
      </c>
      <c r="I205" s="7">
        <f t="shared" si="1"/>
        <v>2693.25</v>
      </c>
      <c r="J205" s="7">
        <f t="shared" si="7"/>
        <v>2334.15</v>
      </c>
      <c r="K205" s="7">
        <f t="shared" si="3"/>
        <v>2334.15</v>
      </c>
      <c r="L205" s="7">
        <f t="shared" si="4"/>
        <v>2154.6</v>
      </c>
      <c r="M205" s="7">
        <f t="shared" si="5"/>
        <v>2064.825</v>
      </c>
      <c r="N205" s="7">
        <f t="shared" si="6"/>
        <v>1975.05</v>
      </c>
    </row>
    <row r="206">
      <c r="A206" s="5" t="s">
        <v>277</v>
      </c>
      <c r="B206" s="5" t="s">
        <v>197</v>
      </c>
      <c r="C206" s="6"/>
      <c r="D206" s="5" t="s">
        <v>409</v>
      </c>
      <c r="E206" s="5" t="s">
        <v>410</v>
      </c>
      <c r="F206" s="6"/>
      <c r="G206" s="8">
        <v>7810.0</v>
      </c>
      <c r="H206" s="5" t="s">
        <v>22</v>
      </c>
      <c r="I206" s="7">
        <f t="shared" si="1"/>
        <v>11715</v>
      </c>
      <c r="J206" s="7">
        <f t="shared" si="7"/>
        <v>10153</v>
      </c>
      <c r="K206" s="7">
        <f t="shared" si="3"/>
        <v>10153</v>
      </c>
      <c r="L206" s="7">
        <f t="shared" si="4"/>
        <v>9372</v>
      </c>
      <c r="M206" s="7">
        <f t="shared" si="5"/>
        <v>8981.5</v>
      </c>
      <c r="N206" s="7">
        <f t="shared" si="6"/>
        <v>8591</v>
      </c>
    </row>
    <row r="207">
      <c r="A207" s="5" t="s">
        <v>277</v>
      </c>
      <c r="B207" s="5" t="s">
        <v>197</v>
      </c>
      <c r="C207" s="6"/>
      <c r="D207" s="5" t="s">
        <v>411</v>
      </c>
      <c r="E207" s="5" t="s">
        <v>412</v>
      </c>
      <c r="F207" s="6"/>
      <c r="G207" s="8">
        <v>2268.0</v>
      </c>
      <c r="H207" s="5" t="s">
        <v>22</v>
      </c>
      <c r="I207" s="7">
        <f t="shared" si="1"/>
        <v>3402</v>
      </c>
      <c r="J207" s="7">
        <f t="shared" si="7"/>
        <v>2948.4</v>
      </c>
      <c r="K207" s="7">
        <f t="shared" si="3"/>
        <v>2948.4</v>
      </c>
      <c r="L207" s="7">
        <f t="shared" si="4"/>
        <v>2721.6</v>
      </c>
      <c r="M207" s="7">
        <f t="shared" si="5"/>
        <v>2608.2</v>
      </c>
      <c r="N207" s="7">
        <f t="shared" si="6"/>
        <v>2494.8</v>
      </c>
    </row>
    <row r="208">
      <c r="A208" s="5" t="s">
        <v>277</v>
      </c>
      <c r="B208" s="5" t="s">
        <v>197</v>
      </c>
      <c r="C208" s="5" t="s">
        <v>413</v>
      </c>
      <c r="D208" s="5" t="s">
        <v>414</v>
      </c>
      <c r="E208" s="5" t="s">
        <v>415</v>
      </c>
      <c r="F208" s="6"/>
      <c r="G208" s="8">
        <v>4980.0</v>
      </c>
      <c r="H208" s="5" t="s">
        <v>22</v>
      </c>
      <c r="I208" s="7">
        <f t="shared" si="1"/>
        <v>7470</v>
      </c>
      <c r="J208" s="7">
        <f t="shared" si="7"/>
        <v>6474</v>
      </c>
      <c r="K208" s="7">
        <f t="shared" si="3"/>
        <v>6474</v>
      </c>
      <c r="L208" s="7">
        <f t="shared" si="4"/>
        <v>5976</v>
      </c>
      <c r="M208" s="7">
        <f t="shared" si="5"/>
        <v>5727</v>
      </c>
      <c r="N208" s="7">
        <f t="shared" si="6"/>
        <v>5478</v>
      </c>
    </row>
    <row r="209">
      <c r="A209" s="5" t="s">
        <v>277</v>
      </c>
      <c r="B209" s="5" t="s">
        <v>197</v>
      </c>
      <c r="C209" s="5" t="s">
        <v>413</v>
      </c>
      <c r="D209" s="5" t="s">
        <v>416</v>
      </c>
      <c r="E209" s="5" t="s">
        <v>417</v>
      </c>
      <c r="F209" s="6"/>
      <c r="G209" s="8">
        <v>3654.0</v>
      </c>
      <c r="H209" s="5" t="s">
        <v>22</v>
      </c>
      <c r="I209" s="7">
        <f t="shared" si="1"/>
        <v>5481</v>
      </c>
      <c r="J209" s="7">
        <f t="shared" si="7"/>
        <v>4750.2</v>
      </c>
      <c r="K209" s="7">
        <f t="shared" si="3"/>
        <v>4750.2</v>
      </c>
      <c r="L209" s="7">
        <f t="shared" si="4"/>
        <v>4384.8</v>
      </c>
      <c r="M209" s="7">
        <f t="shared" si="5"/>
        <v>4202.1</v>
      </c>
      <c r="N209" s="7">
        <f t="shared" si="6"/>
        <v>4019.4</v>
      </c>
    </row>
    <row r="210">
      <c r="A210" s="5" t="s">
        <v>277</v>
      </c>
      <c r="B210" s="5" t="s">
        <v>197</v>
      </c>
      <c r="C210" s="5" t="s">
        <v>413</v>
      </c>
      <c r="D210" s="5" t="s">
        <v>418</v>
      </c>
      <c r="E210" s="5" t="s">
        <v>419</v>
      </c>
      <c r="F210" s="6"/>
      <c r="G210" s="8">
        <v>7030.0</v>
      </c>
      <c r="H210" s="5" t="s">
        <v>22</v>
      </c>
      <c r="I210" s="7">
        <f t="shared" si="1"/>
        <v>10545</v>
      </c>
      <c r="J210" s="7">
        <f t="shared" si="7"/>
        <v>9139</v>
      </c>
      <c r="K210" s="7">
        <f t="shared" si="3"/>
        <v>9139</v>
      </c>
      <c r="L210" s="7">
        <f t="shared" si="4"/>
        <v>8436</v>
      </c>
      <c r="M210" s="7">
        <f t="shared" si="5"/>
        <v>8084.5</v>
      </c>
      <c r="N210" s="7">
        <f t="shared" si="6"/>
        <v>7733</v>
      </c>
    </row>
    <row r="211">
      <c r="A211" s="5" t="s">
        <v>277</v>
      </c>
      <c r="B211" s="5" t="s">
        <v>197</v>
      </c>
      <c r="C211" s="6"/>
      <c r="D211" s="5" t="s">
        <v>420</v>
      </c>
      <c r="E211" s="5" t="s">
        <v>421</v>
      </c>
      <c r="F211" s="6"/>
      <c r="G211" s="8">
        <v>3370.5</v>
      </c>
      <c r="H211" s="5" t="s">
        <v>22</v>
      </c>
      <c r="I211" s="7">
        <f t="shared" si="1"/>
        <v>5055.75</v>
      </c>
      <c r="J211" s="7">
        <f t="shared" si="7"/>
        <v>4381.65</v>
      </c>
      <c r="K211" s="7">
        <f t="shared" si="3"/>
        <v>4381.65</v>
      </c>
      <c r="L211" s="7">
        <f t="shared" si="4"/>
        <v>4044.6</v>
      </c>
      <c r="M211" s="7">
        <f t="shared" si="5"/>
        <v>3876.075</v>
      </c>
      <c r="N211" s="7">
        <f t="shared" si="6"/>
        <v>3707.55</v>
      </c>
    </row>
    <row r="212">
      <c r="A212" s="5" t="s">
        <v>277</v>
      </c>
      <c r="B212" s="5" t="s">
        <v>197</v>
      </c>
      <c r="C212" s="6"/>
      <c r="D212" s="5" t="s">
        <v>422</v>
      </c>
      <c r="E212" s="5" t="s">
        <v>423</v>
      </c>
      <c r="F212" s="6"/>
      <c r="G212" s="8">
        <v>7350.0</v>
      </c>
      <c r="H212" s="5" t="s">
        <v>22</v>
      </c>
      <c r="I212" s="7">
        <f t="shared" si="1"/>
        <v>11025</v>
      </c>
      <c r="J212" s="7">
        <f t="shared" si="7"/>
        <v>9555</v>
      </c>
      <c r="K212" s="7">
        <f t="shared" si="3"/>
        <v>9555</v>
      </c>
      <c r="L212" s="7">
        <f t="shared" si="4"/>
        <v>8820</v>
      </c>
      <c r="M212" s="7">
        <f t="shared" si="5"/>
        <v>8452.5</v>
      </c>
      <c r="N212" s="7">
        <f t="shared" si="6"/>
        <v>8085</v>
      </c>
    </row>
    <row r="213">
      <c r="A213" s="5" t="s">
        <v>277</v>
      </c>
      <c r="B213" s="6"/>
      <c r="C213" s="6"/>
      <c r="D213" s="5" t="s">
        <v>424</v>
      </c>
      <c r="E213" s="5" t="s">
        <v>425</v>
      </c>
      <c r="F213" s="6"/>
      <c r="G213" s="8">
        <v>93000.0</v>
      </c>
      <c r="H213" s="5" t="s">
        <v>22</v>
      </c>
      <c r="I213" s="7">
        <f t="shared" si="1"/>
        <v>139500</v>
      </c>
      <c r="J213" s="7">
        <f t="shared" si="7"/>
        <v>120900</v>
      </c>
      <c r="K213" s="7">
        <f t="shared" si="3"/>
        <v>120900</v>
      </c>
      <c r="L213" s="7">
        <f t="shared" si="4"/>
        <v>111600</v>
      </c>
      <c r="M213" s="7">
        <f t="shared" si="5"/>
        <v>106950</v>
      </c>
      <c r="N213" s="7">
        <f t="shared" si="6"/>
        <v>102300</v>
      </c>
    </row>
    <row r="214">
      <c r="A214" s="5" t="s">
        <v>277</v>
      </c>
      <c r="B214" s="5" t="s">
        <v>197</v>
      </c>
      <c r="C214" s="6"/>
      <c r="D214" s="5" t="s">
        <v>426</v>
      </c>
      <c r="E214" s="5" t="s">
        <v>427</v>
      </c>
      <c r="F214" s="6"/>
      <c r="G214" s="8">
        <v>79500.0</v>
      </c>
      <c r="H214" s="5" t="s">
        <v>22</v>
      </c>
      <c r="I214" s="7">
        <f t="shared" si="1"/>
        <v>119250</v>
      </c>
      <c r="J214" s="7">
        <f t="shared" si="7"/>
        <v>103350</v>
      </c>
      <c r="K214" s="7">
        <f t="shared" si="3"/>
        <v>103350</v>
      </c>
      <c r="L214" s="7">
        <f t="shared" si="4"/>
        <v>95400</v>
      </c>
      <c r="M214" s="7">
        <f t="shared" si="5"/>
        <v>91425</v>
      </c>
      <c r="N214" s="7">
        <f t="shared" si="6"/>
        <v>87450</v>
      </c>
    </row>
    <row r="215">
      <c r="A215" s="5" t="s">
        <v>277</v>
      </c>
      <c r="B215" s="6"/>
      <c r="C215" s="6"/>
      <c r="D215" s="5" t="s">
        <v>428</v>
      </c>
      <c r="E215" s="5" t="s">
        <v>429</v>
      </c>
      <c r="F215" s="6"/>
      <c r="G215" s="8">
        <v>160440.0</v>
      </c>
      <c r="H215" s="5" t="s">
        <v>22</v>
      </c>
      <c r="I215" s="7">
        <f t="shared" si="1"/>
        <v>240660</v>
      </c>
      <c r="J215" s="7">
        <f t="shared" si="7"/>
        <v>208572</v>
      </c>
      <c r="K215" s="7">
        <f t="shared" si="3"/>
        <v>208572</v>
      </c>
      <c r="L215" s="7">
        <f t="shared" si="4"/>
        <v>192528</v>
      </c>
      <c r="M215" s="7">
        <f t="shared" si="5"/>
        <v>184506</v>
      </c>
      <c r="N215" s="7">
        <f t="shared" si="6"/>
        <v>176484</v>
      </c>
    </row>
    <row r="216">
      <c r="A216" s="5" t="s">
        <v>277</v>
      </c>
      <c r="B216" s="6"/>
      <c r="C216" s="6"/>
      <c r="D216" s="5" t="s">
        <v>430</v>
      </c>
      <c r="E216" s="5" t="s">
        <v>431</v>
      </c>
      <c r="F216" s="6"/>
      <c r="G216" s="8">
        <v>36960.0</v>
      </c>
      <c r="H216" s="5" t="s">
        <v>22</v>
      </c>
      <c r="I216" s="7">
        <f t="shared" si="1"/>
        <v>55440</v>
      </c>
      <c r="J216" s="7">
        <f t="shared" si="7"/>
        <v>48048</v>
      </c>
      <c r="K216" s="7">
        <f t="shared" si="3"/>
        <v>48048</v>
      </c>
      <c r="L216" s="7">
        <f t="shared" si="4"/>
        <v>44352</v>
      </c>
      <c r="M216" s="7">
        <f t="shared" si="5"/>
        <v>42504</v>
      </c>
      <c r="N216" s="7">
        <f t="shared" si="6"/>
        <v>40656</v>
      </c>
    </row>
    <row r="217">
      <c r="A217" s="5" t="s">
        <v>277</v>
      </c>
      <c r="B217" s="6"/>
      <c r="C217" s="6"/>
      <c r="D217" s="5" t="s">
        <v>432</v>
      </c>
      <c r="E217" s="5" t="s">
        <v>433</v>
      </c>
      <c r="F217" s="6"/>
      <c r="G217" s="8">
        <v>13200.0</v>
      </c>
      <c r="H217" s="5" t="s">
        <v>22</v>
      </c>
      <c r="I217" s="7">
        <f t="shared" si="1"/>
        <v>19800</v>
      </c>
      <c r="J217" s="7">
        <f t="shared" si="7"/>
        <v>17160</v>
      </c>
      <c r="K217" s="7">
        <f t="shared" si="3"/>
        <v>17160</v>
      </c>
      <c r="L217" s="7">
        <f t="shared" si="4"/>
        <v>15840</v>
      </c>
      <c r="M217" s="7">
        <f t="shared" si="5"/>
        <v>15180</v>
      </c>
      <c r="N217" s="7">
        <f t="shared" si="6"/>
        <v>14520</v>
      </c>
    </row>
    <row r="218">
      <c r="A218" s="5" t="s">
        <v>277</v>
      </c>
      <c r="B218" s="6"/>
      <c r="C218" s="6"/>
      <c r="D218" s="5" t="s">
        <v>434</v>
      </c>
      <c r="E218" s="5" t="s">
        <v>435</v>
      </c>
      <c r="F218" s="6"/>
      <c r="G218" s="8">
        <v>77410.0</v>
      </c>
      <c r="H218" s="5" t="s">
        <v>22</v>
      </c>
      <c r="I218" s="7">
        <f t="shared" si="1"/>
        <v>116115</v>
      </c>
      <c r="J218" s="7">
        <f t="shared" si="7"/>
        <v>100633</v>
      </c>
      <c r="K218" s="7">
        <f t="shared" si="3"/>
        <v>100633</v>
      </c>
      <c r="L218" s="7">
        <f t="shared" si="4"/>
        <v>92892</v>
      </c>
      <c r="M218" s="7">
        <f t="shared" si="5"/>
        <v>89021.5</v>
      </c>
      <c r="N218" s="7">
        <f t="shared" si="6"/>
        <v>85151</v>
      </c>
    </row>
    <row r="219">
      <c r="A219" s="5" t="s">
        <v>277</v>
      </c>
      <c r="B219" s="6"/>
      <c r="C219" s="5" t="s">
        <v>436</v>
      </c>
      <c r="D219" s="5" t="s">
        <v>22</v>
      </c>
      <c r="E219" s="5" t="s">
        <v>437</v>
      </c>
      <c r="F219" s="6"/>
      <c r="G219" s="8">
        <v>3500.0</v>
      </c>
      <c r="H219" s="5" t="s">
        <v>22</v>
      </c>
      <c r="I219" s="7">
        <f t="shared" si="1"/>
        <v>5250</v>
      </c>
      <c r="J219" s="7">
        <f t="shared" si="7"/>
        <v>4550</v>
      </c>
      <c r="K219" s="7">
        <f t="shared" si="3"/>
        <v>4550</v>
      </c>
      <c r="L219" s="7">
        <f t="shared" si="4"/>
        <v>4200</v>
      </c>
      <c r="M219" s="7">
        <f t="shared" si="5"/>
        <v>4025</v>
      </c>
      <c r="N219" s="7">
        <f t="shared" si="6"/>
        <v>3850</v>
      </c>
    </row>
    <row r="220">
      <c r="A220" s="5" t="s">
        <v>277</v>
      </c>
      <c r="B220" s="6"/>
      <c r="C220" s="5" t="s">
        <v>436</v>
      </c>
      <c r="D220" s="5" t="s">
        <v>22</v>
      </c>
      <c r="E220" s="5" t="s">
        <v>438</v>
      </c>
      <c r="F220" s="6"/>
      <c r="G220" s="8">
        <v>53000.0</v>
      </c>
      <c r="H220" s="5" t="s">
        <v>22</v>
      </c>
      <c r="I220" s="7">
        <f t="shared" si="1"/>
        <v>79500</v>
      </c>
      <c r="J220" s="7">
        <f t="shared" si="7"/>
        <v>68900</v>
      </c>
      <c r="K220" s="7">
        <f t="shared" si="3"/>
        <v>68900</v>
      </c>
      <c r="L220" s="7">
        <f t="shared" si="4"/>
        <v>63600</v>
      </c>
      <c r="M220" s="7">
        <f t="shared" si="5"/>
        <v>60950</v>
      </c>
      <c r="N220" s="7">
        <f t="shared" si="6"/>
        <v>58300</v>
      </c>
    </row>
    <row r="221">
      <c r="A221" s="5" t="s">
        <v>439</v>
      </c>
      <c r="B221" s="5" t="s">
        <v>197</v>
      </c>
      <c r="C221" s="6"/>
      <c r="D221" s="5" t="s">
        <v>440</v>
      </c>
      <c r="E221" s="5" t="s">
        <v>441</v>
      </c>
      <c r="F221" s="6"/>
      <c r="G221" s="5">
        <v>976.0</v>
      </c>
      <c r="H221" s="5" t="s">
        <v>22</v>
      </c>
      <c r="I221" s="7">
        <f t="shared" si="1"/>
        <v>1464</v>
      </c>
      <c r="J221" s="7">
        <f t="shared" si="7"/>
        <v>1268.8</v>
      </c>
      <c r="K221" s="7">
        <f t="shared" si="3"/>
        <v>1268.8</v>
      </c>
      <c r="L221" s="7">
        <f t="shared" si="4"/>
        <v>1171.2</v>
      </c>
      <c r="M221" s="7">
        <f t="shared" si="5"/>
        <v>1122.4</v>
      </c>
      <c r="N221" s="7">
        <f t="shared" si="6"/>
        <v>1073.6</v>
      </c>
    </row>
    <row r="222">
      <c r="A222" s="5" t="s">
        <v>439</v>
      </c>
      <c r="B222" s="5" t="s">
        <v>197</v>
      </c>
      <c r="C222" s="6"/>
      <c r="D222" s="5" t="s">
        <v>442</v>
      </c>
      <c r="E222" s="5" t="s">
        <v>443</v>
      </c>
      <c r="F222" s="6"/>
      <c r="G222" s="8">
        <v>2229.0</v>
      </c>
      <c r="H222" s="5" t="s">
        <v>22</v>
      </c>
      <c r="I222" s="7">
        <f t="shared" si="1"/>
        <v>3343.5</v>
      </c>
      <c r="J222" s="7">
        <f t="shared" si="7"/>
        <v>2897.7</v>
      </c>
      <c r="K222" s="7">
        <f t="shared" si="3"/>
        <v>2897.7</v>
      </c>
      <c r="L222" s="7">
        <f t="shared" si="4"/>
        <v>2674.8</v>
      </c>
      <c r="M222" s="7">
        <f t="shared" si="5"/>
        <v>2563.35</v>
      </c>
      <c r="N222" s="7">
        <f t="shared" si="6"/>
        <v>2451.9</v>
      </c>
    </row>
    <row r="223">
      <c r="A223" s="5" t="s">
        <v>439</v>
      </c>
      <c r="B223" s="6"/>
      <c r="C223" s="6"/>
      <c r="D223" s="5" t="s">
        <v>444</v>
      </c>
      <c r="E223" s="5" t="s">
        <v>445</v>
      </c>
      <c r="F223" s="6"/>
      <c r="G223" s="8">
        <v>2122.0</v>
      </c>
      <c r="H223" s="5" t="s">
        <v>22</v>
      </c>
      <c r="I223" s="7">
        <f t="shared" si="1"/>
        <v>3183</v>
      </c>
      <c r="J223" s="7">
        <f t="shared" si="7"/>
        <v>2758.6</v>
      </c>
      <c r="K223" s="7">
        <f t="shared" si="3"/>
        <v>2758.6</v>
      </c>
      <c r="L223" s="7">
        <f t="shared" si="4"/>
        <v>2546.4</v>
      </c>
      <c r="M223" s="7">
        <f t="shared" si="5"/>
        <v>2440.3</v>
      </c>
      <c r="N223" s="7">
        <f t="shared" si="6"/>
        <v>2334.2</v>
      </c>
    </row>
    <row r="224">
      <c r="A224" s="5" t="s">
        <v>439</v>
      </c>
      <c r="B224" s="6"/>
      <c r="C224" s="6"/>
      <c r="D224" s="5" t="s">
        <v>446</v>
      </c>
      <c r="E224" s="5" t="s">
        <v>447</v>
      </c>
      <c r="F224" s="6"/>
      <c r="G224" s="8">
        <v>2907.0</v>
      </c>
      <c r="H224" s="5" t="s">
        <v>22</v>
      </c>
      <c r="I224" s="7">
        <f t="shared" si="1"/>
        <v>4360.5</v>
      </c>
      <c r="J224" s="7">
        <f t="shared" si="7"/>
        <v>3779.1</v>
      </c>
      <c r="K224" s="7">
        <f t="shared" si="3"/>
        <v>3779.1</v>
      </c>
      <c r="L224" s="7">
        <f t="shared" si="4"/>
        <v>3488.4</v>
      </c>
      <c r="M224" s="7">
        <f t="shared" si="5"/>
        <v>3343.05</v>
      </c>
      <c r="N224" s="7">
        <f t="shared" si="6"/>
        <v>3197.7</v>
      </c>
    </row>
    <row r="225">
      <c r="A225" s="5" t="s">
        <v>439</v>
      </c>
      <c r="B225" s="5" t="s">
        <v>197</v>
      </c>
      <c r="C225" s="6"/>
      <c r="D225" s="5" t="s">
        <v>448</v>
      </c>
      <c r="E225" s="5" t="s">
        <v>449</v>
      </c>
      <c r="F225" s="6"/>
      <c r="G225" s="8">
        <v>2750.0</v>
      </c>
      <c r="H225" s="5" t="s">
        <v>22</v>
      </c>
      <c r="I225" s="7">
        <f t="shared" si="1"/>
        <v>4125</v>
      </c>
      <c r="J225" s="7">
        <f t="shared" si="7"/>
        <v>3575</v>
      </c>
      <c r="K225" s="7">
        <f t="shared" si="3"/>
        <v>3575</v>
      </c>
      <c r="L225" s="7">
        <f t="shared" si="4"/>
        <v>3300</v>
      </c>
      <c r="M225" s="7">
        <f t="shared" si="5"/>
        <v>3162.5</v>
      </c>
      <c r="N225" s="7">
        <f t="shared" si="6"/>
        <v>3025</v>
      </c>
    </row>
    <row r="226">
      <c r="A226" s="5" t="s">
        <v>439</v>
      </c>
      <c r="B226" s="5" t="s">
        <v>197</v>
      </c>
      <c r="C226" s="6"/>
      <c r="D226" s="5" t="s">
        <v>450</v>
      </c>
      <c r="E226" s="5" t="s">
        <v>451</v>
      </c>
      <c r="F226" s="6"/>
      <c r="G226" s="8">
        <v>3703.0</v>
      </c>
      <c r="H226" s="5" t="s">
        <v>22</v>
      </c>
      <c r="I226" s="7">
        <f t="shared" si="1"/>
        <v>5554.5</v>
      </c>
      <c r="J226" s="7">
        <f t="shared" si="7"/>
        <v>4813.9</v>
      </c>
      <c r="K226" s="7">
        <f t="shared" si="3"/>
        <v>4813.9</v>
      </c>
      <c r="L226" s="7">
        <f t="shared" si="4"/>
        <v>4443.6</v>
      </c>
      <c r="M226" s="7">
        <f t="shared" si="5"/>
        <v>4258.45</v>
      </c>
      <c r="N226" s="7">
        <f t="shared" si="6"/>
        <v>4073.3</v>
      </c>
    </row>
    <row r="227">
      <c r="A227" s="5" t="s">
        <v>439</v>
      </c>
      <c r="B227" s="5" t="s">
        <v>197</v>
      </c>
      <c r="C227" s="6"/>
      <c r="D227" s="5" t="s">
        <v>452</v>
      </c>
      <c r="E227" s="5" t="s">
        <v>453</v>
      </c>
      <c r="F227" s="6"/>
      <c r="G227" s="8">
        <v>1973.0</v>
      </c>
      <c r="H227" s="5" t="s">
        <v>22</v>
      </c>
      <c r="I227" s="7">
        <f t="shared" si="1"/>
        <v>2959.5</v>
      </c>
      <c r="J227" s="7">
        <f t="shared" si="7"/>
        <v>2564.9</v>
      </c>
      <c r="K227" s="7">
        <f t="shared" si="3"/>
        <v>2564.9</v>
      </c>
      <c r="L227" s="7">
        <f t="shared" si="4"/>
        <v>2367.6</v>
      </c>
      <c r="M227" s="7">
        <f t="shared" si="5"/>
        <v>2268.95</v>
      </c>
      <c r="N227" s="7">
        <f t="shared" si="6"/>
        <v>2170.3</v>
      </c>
    </row>
    <row r="228">
      <c r="A228" s="5" t="s">
        <v>439</v>
      </c>
      <c r="B228" s="5" t="s">
        <v>197</v>
      </c>
      <c r="C228" s="6"/>
      <c r="D228" s="5" t="s">
        <v>454</v>
      </c>
      <c r="E228" s="5" t="s">
        <v>455</v>
      </c>
      <c r="F228" s="6"/>
      <c r="G228" s="8">
        <v>12550.0</v>
      </c>
      <c r="H228" s="5" t="s">
        <v>22</v>
      </c>
      <c r="I228" s="7">
        <f t="shared" si="1"/>
        <v>18825</v>
      </c>
      <c r="J228" s="7">
        <f t="shared" si="7"/>
        <v>16315</v>
      </c>
      <c r="K228" s="7">
        <f t="shared" si="3"/>
        <v>16315</v>
      </c>
      <c r="L228" s="7">
        <f t="shared" si="4"/>
        <v>15060</v>
      </c>
      <c r="M228" s="7">
        <f t="shared" si="5"/>
        <v>14432.5</v>
      </c>
      <c r="N228" s="7">
        <f t="shared" si="6"/>
        <v>13805</v>
      </c>
    </row>
    <row r="229">
      <c r="A229" s="5" t="s">
        <v>439</v>
      </c>
      <c r="B229" s="5" t="s">
        <v>197</v>
      </c>
      <c r="C229" s="6"/>
      <c r="D229" s="5" t="s">
        <v>456</v>
      </c>
      <c r="E229" s="5" t="s">
        <v>457</v>
      </c>
      <c r="F229" s="6"/>
      <c r="G229" s="8">
        <v>3311.0</v>
      </c>
      <c r="H229" s="5" t="s">
        <v>22</v>
      </c>
      <c r="I229" s="7">
        <f t="shared" si="1"/>
        <v>4966.5</v>
      </c>
      <c r="J229" s="7">
        <f t="shared" si="7"/>
        <v>4304.3</v>
      </c>
      <c r="K229" s="7">
        <f t="shared" si="3"/>
        <v>4304.3</v>
      </c>
      <c r="L229" s="7">
        <f t="shared" si="4"/>
        <v>3973.2</v>
      </c>
      <c r="M229" s="7">
        <f t="shared" si="5"/>
        <v>3807.65</v>
      </c>
      <c r="N229" s="7">
        <f t="shared" si="6"/>
        <v>3642.1</v>
      </c>
    </row>
    <row r="230">
      <c r="A230" s="5" t="s">
        <v>439</v>
      </c>
      <c r="B230" s="5" t="s">
        <v>197</v>
      </c>
      <c r="C230" s="6"/>
      <c r="D230" s="5" t="s">
        <v>458</v>
      </c>
      <c r="E230" s="5" t="s">
        <v>459</v>
      </c>
      <c r="F230" s="6"/>
      <c r="G230" s="8">
        <v>3305.0</v>
      </c>
      <c r="H230" s="5" t="s">
        <v>22</v>
      </c>
      <c r="I230" s="7">
        <f t="shared" si="1"/>
        <v>4957.5</v>
      </c>
      <c r="J230" s="7">
        <f t="shared" si="7"/>
        <v>4296.5</v>
      </c>
      <c r="K230" s="7">
        <f t="shared" si="3"/>
        <v>4296.5</v>
      </c>
      <c r="L230" s="7">
        <f t="shared" si="4"/>
        <v>3966</v>
      </c>
      <c r="M230" s="7">
        <f t="shared" si="5"/>
        <v>3800.75</v>
      </c>
      <c r="N230" s="7">
        <f t="shared" si="6"/>
        <v>3635.5</v>
      </c>
    </row>
    <row r="231">
      <c r="A231" s="5" t="s">
        <v>439</v>
      </c>
      <c r="B231" s="5" t="s">
        <v>197</v>
      </c>
      <c r="C231" s="6"/>
      <c r="D231" s="5" t="s">
        <v>460</v>
      </c>
      <c r="E231" s="5" t="s">
        <v>461</v>
      </c>
      <c r="F231" s="5" t="s">
        <v>462</v>
      </c>
      <c r="G231" s="8">
        <v>4694.0</v>
      </c>
      <c r="H231" s="5" t="s">
        <v>22</v>
      </c>
      <c r="I231" s="7">
        <f t="shared" si="1"/>
        <v>7041</v>
      </c>
      <c r="J231" s="7">
        <f t="shared" si="7"/>
        <v>6102.2</v>
      </c>
      <c r="K231" s="7">
        <f t="shared" si="3"/>
        <v>6102.2</v>
      </c>
      <c r="L231" s="7">
        <f t="shared" si="4"/>
        <v>5632.8</v>
      </c>
      <c r="M231" s="7">
        <f t="shared" si="5"/>
        <v>5398.1</v>
      </c>
      <c r="N231" s="7">
        <f t="shared" si="6"/>
        <v>5163.4</v>
      </c>
    </row>
    <row r="232">
      <c r="A232" s="5" t="s">
        <v>439</v>
      </c>
      <c r="B232" s="5" t="s">
        <v>197</v>
      </c>
      <c r="C232" s="6"/>
      <c r="D232" s="5" t="s">
        <v>463</v>
      </c>
      <c r="E232" s="5" t="s">
        <v>464</v>
      </c>
      <c r="F232" s="5" t="s">
        <v>465</v>
      </c>
      <c r="G232" s="8">
        <v>4680.0</v>
      </c>
      <c r="H232" s="5" t="s">
        <v>22</v>
      </c>
      <c r="I232" s="7">
        <f t="shared" si="1"/>
        <v>7020</v>
      </c>
      <c r="J232" s="7">
        <f t="shared" si="7"/>
        <v>6084</v>
      </c>
      <c r="K232" s="7">
        <f t="shared" si="3"/>
        <v>6084</v>
      </c>
      <c r="L232" s="7">
        <f t="shared" si="4"/>
        <v>5616</v>
      </c>
      <c r="M232" s="7">
        <f t="shared" si="5"/>
        <v>5382</v>
      </c>
      <c r="N232" s="7">
        <f t="shared" si="6"/>
        <v>5148</v>
      </c>
    </row>
    <row r="233">
      <c r="A233" s="5" t="s">
        <v>439</v>
      </c>
      <c r="B233" s="5" t="s">
        <v>197</v>
      </c>
      <c r="C233" s="6"/>
      <c r="D233" s="5" t="s">
        <v>466</v>
      </c>
      <c r="E233" s="5" t="s">
        <v>467</v>
      </c>
      <c r="F233" s="6"/>
      <c r="G233" s="8">
        <v>3436.0</v>
      </c>
      <c r="H233" s="5" t="s">
        <v>22</v>
      </c>
      <c r="I233" s="7">
        <f t="shared" si="1"/>
        <v>5154</v>
      </c>
      <c r="J233" s="7">
        <f t="shared" si="7"/>
        <v>4466.8</v>
      </c>
      <c r="K233" s="7">
        <f t="shared" si="3"/>
        <v>4466.8</v>
      </c>
      <c r="L233" s="7">
        <f t="shared" si="4"/>
        <v>4123.2</v>
      </c>
      <c r="M233" s="7">
        <f t="shared" si="5"/>
        <v>3951.4</v>
      </c>
      <c r="N233" s="7">
        <f t="shared" si="6"/>
        <v>3779.6</v>
      </c>
    </row>
    <row r="234">
      <c r="A234" s="5" t="s">
        <v>439</v>
      </c>
      <c r="B234" s="5" t="s">
        <v>197</v>
      </c>
      <c r="C234" s="6"/>
      <c r="D234" s="5" t="s">
        <v>468</v>
      </c>
      <c r="E234" s="5" t="s">
        <v>469</v>
      </c>
      <c r="F234" s="6"/>
      <c r="G234" s="8">
        <v>6148.0</v>
      </c>
      <c r="H234" s="5" t="s">
        <v>22</v>
      </c>
      <c r="I234" s="7">
        <f t="shared" si="1"/>
        <v>9222</v>
      </c>
      <c r="J234" s="7">
        <f t="shared" si="7"/>
        <v>7992.4</v>
      </c>
      <c r="K234" s="7">
        <f t="shared" si="3"/>
        <v>7992.4</v>
      </c>
      <c r="L234" s="7">
        <f t="shared" si="4"/>
        <v>7377.6</v>
      </c>
      <c r="M234" s="7">
        <f t="shared" si="5"/>
        <v>7070.2</v>
      </c>
      <c r="N234" s="7">
        <f t="shared" si="6"/>
        <v>6762.8</v>
      </c>
    </row>
    <row r="235">
      <c r="A235" s="5" t="s">
        <v>439</v>
      </c>
      <c r="B235" s="5" t="s">
        <v>197</v>
      </c>
      <c r="C235" s="6"/>
      <c r="D235" s="5" t="s">
        <v>470</v>
      </c>
      <c r="E235" s="5" t="s">
        <v>471</v>
      </c>
      <c r="F235" s="6"/>
      <c r="G235" s="8">
        <v>7057.0</v>
      </c>
      <c r="H235" s="5" t="s">
        <v>22</v>
      </c>
      <c r="I235" s="7">
        <f t="shared" si="1"/>
        <v>10585.5</v>
      </c>
      <c r="J235" s="7">
        <f t="shared" si="7"/>
        <v>9174.1</v>
      </c>
      <c r="K235" s="7">
        <f t="shared" si="3"/>
        <v>9174.1</v>
      </c>
      <c r="L235" s="7">
        <f t="shared" si="4"/>
        <v>8468.4</v>
      </c>
      <c r="M235" s="7">
        <f t="shared" si="5"/>
        <v>8115.55</v>
      </c>
      <c r="N235" s="7">
        <f t="shared" si="6"/>
        <v>7762.7</v>
      </c>
    </row>
    <row r="236">
      <c r="A236" s="5" t="s">
        <v>439</v>
      </c>
      <c r="B236" s="5" t="s">
        <v>197</v>
      </c>
      <c r="C236" s="6"/>
      <c r="D236" s="5" t="s">
        <v>472</v>
      </c>
      <c r="E236" s="5" t="s">
        <v>473</v>
      </c>
      <c r="F236" s="6"/>
      <c r="G236" s="8">
        <v>14601.0</v>
      </c>
      <c r="H236" s="5" t="s">
        <v>22</v>
      </c>
      <c r="I236" s="7">
        <f t="shared" si="1"/>
        <v>21901.5</v>
      </c>
      <c r="J236" s="7">
        <f t="shared" si="7"/>
        <v>18981.3</v>
      </c>
      <c r="K236" s="7">
        <f t="shared" si="3"/>
        <v>18981.3</v>
      </c>
      <c r="L236" s="7">
        <f t="shared" si="4"/>
        <v>17521.2</v>
      </c>
      <c r="M236" s="7">
        <f t="shared" si="5"/>
        <v>16791.15</v>
      </c>
      <c r="N236" s="7">
        <f t="shared" si="6"/>
        <v>16061.1</v>
      </c>
    </row>
    <row r="237">
      <c r="A237" s="5" t="s">
        <v>439</v>
      </c>
      <c r="B237" s="5" t="s">
        <v>197</v>
      </c>
      <c r="C237" s="6"/>
      <c r="D237" s="5" t="s">
        <v>474</v>
      </c>
      <c r="E237" s="5" t="s">
        <v>475</v>
      </c>
      <c r="F237" s="6"/>
      <c r="G237" s="8">
        <v>40795.0</v>
      </c>
      <c r="H237" s="5" t="s">
        <v>22</v>
      </c>
      <c r="I237" s="7">
        <f t="shared" si="1"/>
        <v>61192.5</v>
      </c>
      <c r="J237" s="7">
        <f t="shared" si="7"/>
        <v>53033.5</v>
      </c>
      <c r="K237" s="7">
        <f t="shared" si="3"/>
        <v>53033.5</v>
      </c>
      <c r="L237" s="7">
        <f t="shared" si="4"/>
        <v>48954</v>
      </c>
      <c r="M237" s="7">
        <f t="shared" si="5"/>
        <v>46914.25</v>
      </c>
      <c r="N237" s="7">
        <f t="shared" si="6"/>
        <v>44874.5</v>
      </c>
    </row>
    <row r="238">
      <c r="A238" s="5" t="s">
        <v>439</v>
      </c>
      <c r="B238" s="5" t="s">
        <v>197</v>
      </c>
      <c r="C238" s="6"/>
      <c r="D238" s="5" t="s">
        <v>476</v>
      </c>
      <c r="E238" s="5" t="s">
        <v>477</v>
      </c>
      <c r="F238" s="6"/>
      <c r="G238" s="8">
        <v>8884.0</v>
      </c>
      <c r="H238" s="5" t="s">
        <v>22</v>
      </c>
      <c r="I238" s="7">
        <f t="shared" si="1"/>
        <v>13326</v>
      </c>
      <c r="J238" s="7">
        <f t="shared" si="7"/>
        <v>11549.2</v>
      </c>
      <c r="K238" s="7">
        <f t="shared" si="3"/>
        <v>11549.2</v>
      </c>
      <c r="L238" s="7">
        <f t="shared" si="4"/>
        <v>10660.8</v>
      </c>
      <c r="M238" s="7">
        <f t="shared" si="5"/>
        <v>10216.6</v>
      </c>
      <c r="N238" s="7">
        <f t="shared" si="6"/>
        <v>9772.4</v>
      </c>
    </row>
    <row r="239">
      <c r="A239" s="5" t="s">
        <v>439</v>
      </c>
      <c r="B239" s="5" t="s">
        <v>197</v>
      </c>
      <c r="C239" s="6"/>
      <c r="D239" s="5" t="s">
        <v>478</v>
      </c>
      <c r="E239" s="5" t="s">
        <v>479</v>
      </c>
      <c r="F239" s="5" t="s">
        <v>462</v>
      </c>
      <c r="G239" s="8">
        <v>41115.0</v>
      </c>
      <c r="H239" s="5" t="s">
        <v>22</v>
      </c>
      <c r="I239" s="7">
        <f t="shared" si="1"/>
        <v>61672.5</v>
      </c>
      <c r="J239" s="7">
        <f t="shared" si="7"/>
        <v>53449.5</v>
      </c>
      <c r="K239" s="7">
        <f t="shared" si="3"/>
        <v>53449.5</v>
      </c>
      <c r="L239" s="7">
        <f t="shared" si="4"/>
        <v>49338</v>
      </c>
      <c r="M239" s="7">
        <f t="shared" si="5"/>
        <v>47282.25</v>
      </c>
      <c r="N239" s="7">
        <f t="shared" si="6"/>
        <v>45226.5</v>
      </c>
    </row>
    <row r="240">
      <c r="A240" s="5" t="s">
        <v>439</v>
      </c>
      <c r="B240" s="5" t="s">
        <v>197</v>
      </c>
      <c r="C240" s="6"/>
      <c r="D240" s="5" t="s">
        <v>480</v>
      </c>
      <c r="E240" s="5" t="s">
        <v>481</v>
      </c>
      <c r="F240" s="6"/>
      <c r="G240" s="8">
        <v>5072.0</v>
      </c>
      <c r="H240" s="5" t="s">
        <v>22</v>
      </c>
      <c r="I240" s="7">
        <f t="shared" si="1"/>
        <v>7608</v>
      </c>
      <c r="J240" s="7">
        <f t="shared" si="7"/>
        <v>6593.6</v>
      </c>
      <c r="K240" s="7">
        <f t="shared" si="3"/>
        <v>6593.6</v>
      </c>
      <c r="L240" s="7">
        <f t="shared" si="4"/>
        <v>6086.4</v>
      </c>
      <c r="M240" s="7">
        <f t="shared" si="5"/>
        <v>5832.8</v>
      </c>
      <c r="N240" s="7">
        <f t="shared" si="6"/>
        <v>5579.2</v>
      </c>
    </row>
    <row r="241">
      <c r="A241" s="5" t="s">
        <v>439</v>
      </c>
      <c r="B241" s="5" t="s">
        <v>197</v>
      </c>
      <c r="C241" s="6"/>
      <c r="D241" s="5" t="s">
        <v>482</v>
      </c>
      <c r="E241" s="5" t="s">
        <v>483</v>
      </c>
      <c r="F241" s="6"/>
      <c r="G241" s="8">
        <v>136609.0</v>
      </c>
      <c r="H241" s="5" t="s">
        <v>22</v>
      </c>
      <c r="I241" s="7">
        <f t="shared" si="1"/>
        <v>204913.5</v>
      </c>
      <c r="J241" s="7">
        <f t="shared" si="7"/>
        <v>177591.7</v>
      </c>
      <c r="K241" s="7">
        <f t="shared" si="3"/>
        <v>177591.7</v>
      </c>
      <c r="L241" s="7">
        <f t="shared" si="4"/>
        <v>163930.8</v>
      </c>
      <c r="M241" s="7">
        <f t="shared" si="5"/>
        <v>157100.35</v>
      </c>
      <c r="N241" s="7">
        <f t="shared" si="6"/>
        <v>150269.9</v>
      </c>
    </row>
    <row r="242">
      <c r="A242" s="5" t="s">
        <v>439</v>
      </c>
      <c r="B242" s="5" t="s">
        <v>197</v>
      </c>
      <c r="C242" s="5" t="s">
        <v>439</v>
      </c>
      <c r="D242" s="5" t="s">
        <v>484</v>
      </c>
      <c r="E242" s="5" t="s">
        <v>485</v>
      </c>
      <c r="F242" s="5" t="s">
        <v>486</v>
      </c>
      <c r="G242" s="8">
        <v>2109.0</v>
      </c>
      <c r="H242" s="5" t="s">
        <v>22</v>
      </c>
      <c r="I242" s="7">
        <f t="shared" si="1"/>
        <v>3163.5</v>
      </c>
      <c r="J242" s="7">
        <f t="shared" si="7"/>
        <v>2741.7</v>
      </c>
      <c r="K242" s="7">
        <f t="shared" si="3"/>
        <v>2741.7</v>
      </c>
      <c r="L242" s="7">
        <f t="shared" si="4"/>
        <v>2530.8</v>
      </c>
      <c r="M242" s="7">
        <f t="shared" si="5"/>
        <v>2425.35</v>
      </c>
      <c r="N242" s="7">
        <f t="shared" si="6"/>
        <v>2319.9</v>
      </c>
    </row>
    <row r="243">
      <c r="A243" s="5" t="s">
        <v>439</v>
      </c>
      <c r="B243" s="5" t="s">
        <v>197</v>
      </c>
      <c r="C243" s="6"/>
      <c r="D243" s="5" t="s">
        <v>487</v>
      </c>
      <c r="E243" s="5" t="s">
        <v>488</v>
      </c>
      <c r="F243" s="6"/>
      <c r="G243" s="8">
        <v>2108.0</v>
      </c>
      <c r="H243" s="5" t="s">
        <v>22</v>
      </c>
      <c r="I243" s="7">
        <f t="shared" si="1"/>
        <v>3162</v>
      </c>
      <c r="J243" s="7">
        <f t="shared" si="7"/>
        <v>2740.4</v>
      </c>
      <c r="K243" s="7">
        <f t="shared" si="3"/>
        <v>2740.4</v>
      </c>
      <c r="L243" s="7">
        <f t="shared" si="4"/>
        <v>2529.6</v>
      </c>
      <c r="M243" s="7">
        <f t="shared" si="5"/>
        <v>2424.2</v>
      </c>
      <c r="N243" s="7">
        <f t="shared" si="6"/>
        <v>2318.8</v>
      </c>
    </row>
    <row r="244">
      <c r="A244" s="5" t="s">
        <v>439</v>
      </c>
      <c r="B244" s="5" t="s">
        <v>197</v>
      </c>
      <c r="C244" s="6"/>
      <c r="D244" s="5" t="s">
        <v>489</v>
      </c>
      <c r="E244" s="5" t="s">
        <v>490</v>
      </c>
      <c r="F244" s="6"/>
      <c r="G244" s="8">
        <v>115282.0</v>
      </c>
      <c r="H244" s="5" t="s">
        <v>22</v>
      </c>
      <c r="I244" s="7">
        <f t="shared" si="1"/>
        <v>172923</v>
      </c>
      <c r="J244" s="7">
        <f t="shared" si="7"/>
        <v>149866.6</v>
      </c>
      <c r="K244" s="7">
        <f t="shared" si="3"/>
        <v>149866.6</v>
      </c>
      <c r="L244" s="7">
        <f t="shared" si="4"/>
        <v>138338.4</v>
      </c>
      <c r="M244" s="7">
        <f t="shared" si="5"/>
        <v>132574.3</v>
      </c>
      <c r="N244" s="7">
        <f t="shared" si="6"/>
        <v>126810.2</v>
      </c>
    </row>
    <row r="245">
      <c r="A245" s="5" t="s">
        <v>439</v>
      </c>
      <c r="B245" s="5" t="s">
        <v>36</v>
      </c>
      <c r="C245" s="6"/>
      <c r="D245" s="5" t="s">
        <v>491</v>
      </c>
      <c r="E245" s="5" t="s">
        <v>492</v>
      </c>
      <c r="F245" s="6"/>
      <c r="G245" s="8">
        <v>107837.0</v>
      </c>
      <c r="H245" s="5" t="s">
        <v>22</v>
      </c>
      <c r="I245" s="7">
        <f t="shared" si="1"/>
        <v>161755.5</v>
      </c>
      <c r="J245" s="7">
        <f t="shared" si="7"/>
        <v>140188.1</v>
      </c>
      <c r="K245" s="7">
        <f t="shared" si="3"/>
        <v>140188.1</v>
      </c>
      <c r="L245" s="7">
        <f t="shared" si="4"/>
        <v>129404.4</v>
      </c>
      <c r="M245" s="7">
        <f t="shared" si="5"/>
        <v>124012.55</v>
      </c>
      <c r="N245" s="7">
        <f t="shared" si="6"/>
        <v>118620.7</v>
      </c>
    </row>
    <row r="246">
      <c r="A246" s="5" t="s">
        <v>439</v>
      </c>
      <c r="B246" s="5" t="s">
        <v>197</v>
      </c>
      <c r="C246" s="6"/>
      <c r="D246" s="5" t="s">
        <v>493</v>
      </c>
      <c r="E246" s="5" t="s">
        <v>494</v>
      </c>
      <c r="F246" s="5" t="s">
        <v>495</v>
      </c>
      <c r="G246" s="8">
        <v>211810.0</v>
      </c>
      <c r="H246" s="5" t="s">
        <v>22</v>
      </c>
      <c r="I246" s="7">
        <f t="shared" si="1"/>
        <v>317715</v>
      </c>
      <c r="J246" s="7">
        <f t="shared" si="7"/>
        <v>275353</v>
      </c>
      <c r="K246" s="7">
        <f t="shared" si="3"/>
        <v>275353</v>
      </c>
      <c r="L246" s="7">
        <f t="shared" si="4"/>
        <v>254172</v>
      </c>
      <c r="M246" s="7">
        <f t="shared" si="5"/>
        <v>243581.5</v>
      </c>
      <c r="N246" s="7">
        <f t="shared" si="6"/>
        <v>232991</v>
      </c>
    </row>
    <row r="247">
      <c r="A247" s="5" t="s">
        <v>439</v>
      </c>
      <c r="B247" s="5" t="s">
        <v>197</v>
      </c>
      <c r="C247" s="6"/>
      <c r="D247" s="5" t="s">
        <v>496</v>
      </c>
      <c r="E247" s="5" t="s">
        <v>497</v>
      </c>
      <c r="F247" s="5" t="s">
        <v>498</v>
      </c>
      <c r="G247" s="8">
        <v>12380.0</v>
      </c>
      <c r="H247" s="5" t="s">
        <v>22</v>
      </c>
      <c r="I247" s="7">
        <f t="shared" si="1"/>
        <v>18570</v>
      </c>
      <c r="J247" s="7">
        <f t="shared" si="7"/>
        <v>16094</v>
      </c>
      <c r="K247" s="7">
        <f t="shared" si="3"/>
        <v>16094</v>
      </c>
      <c r="L247" s="7">
        <f t="shared" si="4"/>
        <v>14856</v>
      </c>
      <c r="M247" s="7">
        <f t="shared" si="5"/>
        <v>14237</v>
      </c>
      <c r="N247" s="7">
        <f t="shared" si="6"/>
        <v>13618</v>
      </c>
    </row>
    <row r="248">
      <c r="A248" s="5" t="s">
        <v>439</v>
      </c>
      <c r="B248" s="5" t="s">
        <v>197</v>
      </c>
      <c r="C248" s="6"/>
      <c r="D248" s="5" t="s">
        <v>499</v>
      </c>
      <c r="E248" s="5" t="s">
        <v>500</v>
      </c>
      <c r="F248" s="6"/>
      <c r="G248" s="8">
        <v>33017.0</v>
      </c>
      <c r="H248" s="5" t="s">
        <v>22</v>
      </c>
      <c r="I248" s="7">
        <f t="shared" si="1"/>
        <v>49525.5</v>
      </c>
      <c r="J248" s="7">
        <f t="shared" si="7"/>
        <v>42922.1</v>
      </c>
      <c r="K248" s="7">
        <f t="shared" si="3"/>
        <v>42922.1</v>
      </c>
      <c r="L248" s="7">
        <f t="shared" si="4"/>
        <v>39620.4</v>
      </c>
      <c r="M248" s="7">
        <f t="shared" si="5"/>
        <v>37969.55</v>
      </c>
      <c r="N248" s="7">
        <f t="shared" si="6"/>
        <v>36318.7</v>
      </c>
    </row>
    <row r="249">
      <c r="A249" s="5" t="s">
        <v>439</v>
      </c>
      <c r="B249" s="5" t="s">
        <v>197</v>
      </c>
      <c r="C249" s="6"/>
      <c r="D249" s="5" t="s">
        <v>501</v>
      </c>
      <c r="E249" s="5" t="s">
        <v>502</v>
      </c>
      <c r="F249" s="5" t="s">
        <v>503</v>
      </c>
      <c r="G249" s="8">
        <v>13795.0</v>
      </c>
      <c r="H249" s="5" t="s">
        <v>22</v>
      </c>
      <c r="I249" s="7">
        <f t="shared" si="1"/>
        <v>20692.5</v>
      </c>
      <c r="J249" s="7">
        <f t="shared" si="7"/>
        <v>17933.5</v>
      </c>
      <c r="K249" s="7">
        <f t="shared" si="3"/>
        <v>17933.5</v>
      </c>
      <c r="L249" s="7">
        <f t="shared" si="4"/>
        <v>16554</v>
      </c>
      <c r="M249" s="7">
        <f t="shared" si="5"/>
        <v>15864.25</v>
      </c>
      <c r="N249" s="7">
        <f t="shared" si="6"/>
        <v>15174.5</v>
      </c>
    </row>
    <row r="250">
      <c r="A250" s="5" t="s">
        <v>439</v>
      </c>
      <c r="B250" s="5" t="s">
        <v>197</v>
      </c>
      <c r="C250" s="6"/>
      <c r="D250" s="5" t="s">
        <v>504</v>
      </c>
      <c r="E250" s="5" t="s">
        <v>505</v>
      </c>
      <c r="F250" s="6"/>
      <c r="G250" s="8">
        <v>50877.0</v>
      </c>
      <c r="H250" s="5" t="s">
        <v>22</v>
      </c>
      <c r="I250" s="7">
        <f t="shared" si="1"/>
        <v>76315.5</v>
      </c>
      <c r="J250" s="7">
        <f t="shared" si="7"/>
        <v>66140.1</v>
      </c>
      <c r="K250" s="7">
        <f t="shared" si="3"/>
        <v>66140.1</v>
      </c>
      <c r="L250" s="7">
        <f t="shared" si="4"/>
        <v>61052.4</v>
      </c>
      <c r="M250" s="7">
        <f t="shared" si="5"/>
        <v>58508.55</v>
      </c>
      <c r="N250" s="7">
        <f t="shared" si="6"/>
        <v>55964.7</v>
      </c>
    </row>
    <row r="251">
      <c r="A251" s="5" t="s">
        <v>439</v>
      </c>
      <c r="B251" s="5" t="s">
        <v>197</v>
      </c>
      <c r="C251" s="6"/>
      <c r="D251" s="5" t="s">
        <v>506</v>
      </c>
      <c r="E251" s="5" t="s">
        <v>507</v>
      </c>
      <c r="F251" s="6"/>
      <c r="G251" s="8">
        <v>34480.0</v>
      </c>
      <c r="H251" s="5" t="s">
        <v>22</v>
      </c>
      <c r="I251" s="7">
        <f t="shared" si="1"/>
        <v>51720</v>
      </c>
      <c r="J251" s="7">
        <f t="shared" si="7"/>
        <v>44824</v>
      </c>
      <c r="K251" s="7">
        <f t="shared" si="3"/>
        <v>44824</v>
      </c>
      <c r="L251" s="7">
        <f t="shared" si="4"/>
        <v>41376</v>
      </c>
      <c r="M251" s="7">
        <f t="shared" si="5"/>
        <v>39652</v>
      </c>
      <c r="N251" s="7">
        <f t="shared" si="6"/>
        <v>37928</v>
      </c>
    </row>
    <row r="252">
      <c r="A252" s="5" t="s">
        <v>439</v>
      </c>
      <c r="B252" s="5" t="s">
        <v>197</v>
      </c>
      <c r="C252" s="6"/>
      <c r="D252" s="5" t="s">
        <v>508</v>
      </c>
      <c r="E252" s="5" t="s">
        <v>509</v>
      </c>
      <c r="F252" s="6"/>
      <c r="G252" s="8">
        <v>32924.0</v>
      </c>
      <c r="H252" s="5" t="s">
        <v>22</v>
      </c>
      <c r="I252" s="7">
        <f t="shared" si="1"/>
        <v>49386</v>
      </c>
      <c r="J252" s="7">
        <f t="shared" si="7"/>
        <v>42801.2</v>
      </c>
      <c r="K252" s="7">
        <f t="shared" si="3"/>
        <v>42801.2</v>
      </c>
      <c r="L252" s="7">
        <f t="shared" si="4"/>
        <v>39508.8</v>
      </c>
      <c r="M252" s="7">
        <f t="shared" si="5"/>
        <v>37862.6</v>
      </c>
      <c r="N252" s="7">
        <f t="shared" si="6"/>
        <v>36216.4</v>
      </c>
    </row>
    <row r="253">
      <c r="A253" s="5" t="s">
        <v>439</v>
      </c>
      <c r="B253" s="5" t="s">
        <v>197</v>
      </c>
      <c r="C253" s="6"/>
      <c r="D253" s="5" t="s">
        <v>510</v>
      </c>
      <c r="E253" s="5" t="s">
        <v>511</v>
      </c>
      <c r="F253" s="6"/>
      <c r="G253" s="8">
        <v>35281.0</v>
      </c>
      <c r="H253" s="5" t="s">
        <v>22</v>
      </c>
      <c r="I253" s="7">
        <f t="shared" si="1"/>
        <v>52921.5</v>
      </c>
      <c r="J253" s="7">
        <f t="shared" si="7"/>
        <v>45865.3</v>
      </c>
      <c r="K253" s="7">
        <f t="shared" si="3"/>
        <v>45865.3</v>
      </c>
      <c r="L253" s="7">
        <f t="shared" si="4"/>
        <v>42337.2</v>
      </c>
      <c r="M253" s="7">
        <f t="shared" si="5"/>
        <v>40573.15</v>
      </c>
      <c r="N253" s="7">
        <f t="shared" si="6"/>
        <v>38809.1</v>
      </c>
    </row>
    <row r="254">
      <c r="A254" s="5" t="s">
        <v>439</v>
      </c>
      <c r="B254" s="5" t="s">
        <v>197</v>
      </c>
      <c r="C254" s="6"/>
      <c r="D254" s="5" t="s">
        <v>512</v>
      </c>
      <c r="E254" s="5" t="s">
        <v>513</v>
      </c>
      <c r="F254" s="6"/>
      <c r="G254" s="8">
        <v>6594.0</v>
      </c>
      <c r="H254" s="5" t="s">
        <v>22</v>
      </c>
      <c r="I254" s="7">
        <f t="shared" si="1"/>
        <v>9891</v>
      </c>
      <c r="J254" s="7">
        <f t="shared" si="7"/>
        <v>8572.2</v>
      </c>
      <c r="K254" s="7">
        <f t="shared" si="3"/>
        <v>8572.2</v>
      </c>
      <c r="L254" s="7">
        <f t="shared" si="4"/>
        <v>7912.8</v>
      </c>
      <c r="M254" s="7">
        <f t="shared" si="5"/>
        <v>7583.1</v>
      </c>
      <c r="N254" s="7">
        <f t="shared" si="6"/>
        <v>7253.4</v>
      </c>
    </row>
    <row r="255">
      <c r="A255" s="5" t="s">
        <v>439</v>
      </c>
      <c r="B255" s="5" t="s">
        <v>197</v>
      </c>
      <c r="C255" s="6"/>
      <c r="D255" s="5" t="s">
        <v>514</v>
      </c>
      <c r="E255" s="5" t="s">
        <v>515</v>
      </c>
      <c r="F255" s="6"/>
      <c r="G255" s="8">
        <v>8877.0</v>
      </c>
      <c r="H255" s="5" t="s">
        <v>22</v>
      </c>
      <c r="I255" s="7">
        <f t="shared" si="1"/>
        <v>13315.5</v>
      </c>
      <c r="J255" s="7">
        <f t="shared" si="7"/>
        <v>11540.1</v>
      </c>
      <c r="K255" s="7">
        <f t="shared" si="3"/>
        <v>11540.1</v>
      </c>
      <c r="L255" s="7">
        <f t="shared" si="4"/>
        <v>10652.4</v>
      </c>
      <c r="M255" s="7">
        <f t="shared" si="5"/>
        <v>10208.55</v>
      </c>
      <c r="N255" s="7">
        <f t="shared" si="6"/>
        <v>9764.7</v>
      </c>
    </row>
    <row r="256">
      <c r="A256" s="5" t="s">
        <v>439</v>
      </c>
      <c r="B256" s="5" t="s">
        <v>36</v>
      </c>
      <c r="C256" s="6"/>
      <c r="D256" s="5" t="s">
        <v>516</v>
      </c>
      <c r="E256" s="5" t="s">
        <v>517</v>
      </c>
      <c r="F256" s="6"/>
      <c r="G256" s="8">
        <v>2115.0</v>
      </c>
      <c r="H256" s="5" t="s">
        <v>22</v>
      </c>
      <c r="I256" s="7">
        <f t="shared" si="1"/>
        <v>3172.5</v>
      </c>
      <c r="J256" s="7">
        <f t="shared" si="7"/>
        <v>2749.5</v>
      </c>
      <c r="K256" s="7">
        <f t="shared" si="3"/>
        <v>2749.5</v>
      </c>
      <c r="L256" s="7">
        <f t="shared" si="4"/>
        <v>2538</v>
      </c>
      <c r="M256" s="7">
        <f t="shared" si="5"/>
        <v>2432.25</v>
      </c>
      <c r="N256" s="7">
        <f t="shared" si="6"/>
        <v>2326.5</v>
      </c>
    </row>
    <row r="257">
      <c r="A257" s="5" t="s">
        <v>439</v>
      </c>
      <c r="B257" s="5" t="s">
        <v>36</v>
      </c>
      <c r="C257" s="6"/>
      <c r="D257" s="5" t="s">
        <v>518</v>
      </c>
      <c r="E257" s="5" t="s">
        <v>519</v>
      </c>
      <c r="F257" s="5" t="s">
        <v>520</v>
      </c>
      <c r="G257" s="8">
        <v>3004.0</v>
      </c>
      <c r="H257" s="5" t="s">
        <v>22</v>
      </c>
      <c r="I257" s="7">
        <f t="shared" si="1"/>
        <v>4506</v>
      </c>
      <c r="J257" s="7">
        <f t="shared" si="7"/>
        <v>3905.2</v>
      </c>
      <c r="K257" s="7">
        <f t="shared" si="3"/>
        <v>3905.2</v>
      </c>
      <c r="L257" s="7">
        <f t="shared" si="4"/>
        <v>3604.8</v>
      </c>
      <c r="M257" s="7">
        <f t="shared" si="5"/>
        <v>3454.6</v>
      </c>
      <c r="N257" s="7">
        <f t="shared" si="6"/>
        <v>3304.4</v>
      </c>
    </row>
    <row r="258">
      <c r="A258" s="5" t="s">
        <v>439</v>
      </c>
      <c r="B258" s="5" t="s">
        <v>36</v>
      </c>
      <c r="C258" s="6"/>
      <c r="D258" s="5" t="s">
        <v>521</v>
      </c>
      <c r="E258" s="5" t="s">
        <v>522</v>
      </c>
      <c r="F258" s="6"/>
      <c r="G258" s="8">
        <v>3855.36</v>
      </c>
      <c r="H258" s="5" t="s">
        <v>22</v>
      </c>
      <c r="I258" s="7">
        <f t="shared" si="1"/>
        <v>5783.04</v>
      </c>
      <c r="J258" s="7">
        <f t="shared" si="7"/>
        <v>5011.968</v>
      </c>
      <c r="K258" s="7">
        <f t="shared" si="3"/>
        <v>5011.968</v>
      </c>
      <c r="L258" s="7">
        <f t="shared" si="4"/>
        <v>4626.432</v>
      </c>
      <c r="M258" s="7">
        <f t="shared" si="5"/>
        <v>4433.664</v>
      </c>
      <c r="N258" s="7">
        <f t="shared" si="6"/>
        <v>4240.896</v>
      </c>
    </row>
    <row r="259">
      <c r="A259" s="5" t="s">
        <v>439</v>
      </c>
      <c r="B259" s="5" t="s">
        <v>36</v>
      </c>
      <c r="C259" s="6"/>
      <c r="D259" s="5" t="s">
        <v>523</v>
      </c>
      <c r="E259" s="5" t="s">
        <v>524</v>
      </c>
      <c r="F259" s="6"/>
      <c r="G259" s="8">
        <v>1833.0</v>
      </c>
      <c r="H259" s="5" t="s">
        <v>22</v>
      </c>
      <c r="I259" s="7">
        <f t="shared" si="1"/>
        <v>2749.5</v>
      </c>
      <c r="J259" s="7">
        <f t="shared" si="7"/>
        <v>2382.9</v>
      </c>
      <c r="K259" s="7">
        <f t="shared" si="3"/>
        <v>2382.9</v>
      </c>
      <c r="L259" s="7">
        <f t="shared" si="4"/>
        <v>2199.6</v>
      </c>
      <c r="M259" s="7">
        <f t="shared" si="5"/>
        <v>2107.95</v>
      </c>
      <c r="N259" s="7">
        <f t="shared" si="6"/>
        <v>2016.3</v>
      </c>
    </row>
    <row r="260">
      <c r="A260" s="5" t="s">
        <v>439</v>
      </c>
      <c r="B260" s="5" t="s">
        <v>36</v>
      </c>
      <c r="C260" s="6"/>
      <c r="D260" s="5" t="s">
        <v>525</v>
      </c>
      <c r="E260" s="5" t="s">
        <v>526</v>
      </c>
      <c r="F260" s="6"/>
      <c r="G260" s="8">
        <v>3167.0</v>
      </c>
      <c r="H260" s="5" t="s">
        <v>22</v>
      </c>
      <c r="I260" s="7">
        <f t="shared" si="1"/>
        <v>4750.5</v>
      </c>
      <c r="J260" s="7">
        <f t="shared" si="7"/>
        <v>4117.1</v>
      </c>
      <c r="K260" s="7">
        <f t="shared" si="3"/>
        <v>4117.1</v>
      </c>
      <c r="L260" s="7">
        <f t="shared" si="4"/>
        <v>3800.4</v>
      </c>
      <c r="M260" s="7">
        <f t="shared" si="5"/>
        <v>3642.05</v>
      </c>
      <c r="N260" s="7">
        <f t="shared" si="6"/>
        <v>3483.7</v>
      </c>
    </row>
    <row r="261">
      <c r="A261" s="5" t="s">
        <v>439</v>
      </c>
      <c r="B261" s="5" t="s">
        <v>36</v>
      </c>
      <c r="C261" s="6"/>
      <c r="D261" s="5" t="s">
        <v>527</v>
      </c>
      <c r="E261" s="5" t="s">
        <v>528</v>
      </c>
      <c r="F261" s="6"/>
      <c r="G261" s="8">
        <v>2424.0</v>
      </c>
      <c r="H261" s="5" t="s">
        <v>22</v>
      </c>
      <c r="I261" s="7">
        <f t="shared" si="1"/>
        <v>3636</v>
      </c>
      <c r="J261" s="7">
        <f t="shared" si="7"/>
        <v>3151.2</v>
      </c>
      <c r="K261" s="7">
        <f t="shared" si="3"/>
        <v>3151.2</v>
      </c>
      <c r="L261" s="7">
        <f t="shared" si="4"/>
        <v>2908.8</v>
      </c>
      <c r="M261" s="7">
        <f t="shared" si="5"/>
        <v>2787.6</v>
      </c>
      <c r="N261" s="7">
        <f t="shared" si="6"/>
        <v>2666.4</v>
      </c>
    </row>
    <row r="262">
      <c r="A262" s="5" t="s">
        <v>439</v>
      </c>
      <c r="B262" s="5" t="s">
        <v>36</v>
      </c>
      <c r="C262" s="6"/>
      <c r="D262" s="5" t="s">
        <v>529</v>
      </c>
      <c r="E262" s="5" t="s">
        <v>530</v>
      </c>
      <c r="F262" s="6"/>
      <c r="G262" s="8">
        <v>2505.0</v>
      </c>
      <c r="H262" s="5" t="s">
        <v>22</v>
      </c>
      <c r="I262" s="7">
        <f t="shared" si="1"/>
        <v>3757.5</v>
      </c>
      <c r="J262" s="7">
        <f t="shared" si="7"/>
        <v>3256.5</v>
      </c>
      <c r="K262" s="7">
        <f t="shared" si="3"/>
        <v>3256.5</v>
      </c>
      <c r="L262" s="7">
        <f t="shared" si="4"/>
        <v>3006</v>
      </c>
      <c r="M262" s="7">
        <f t="shared" si="5"/>
        <v>2880.75</v>
      </c>
      <c r="N262" s="7">
        <f t="shared" si="6"/>
        <v>2755.5</v>
      </c>
    </row>
    <row r="263">
      <c r="A263" s="5" t="s">
        <v>439</v>
      </c>
      <c r="B263" s="5" t="s">
        <v>36</v>
      </c>
      <c r="C263" s="6"/>
      <c r="D263" s="5" t="s">
        <v>531</v>
      </c>
      <c r="E263" s="5" t="s">
        <v>532</v>
      </c>
      <c r="F263" s="6"/>
      <c r="G263" s="8">
        <v>4493.0</v>
      </c>
      <c r="H263" s="5" t="s">
        <v>22</v>
      </c>
      <c r="I263" s="7">
        <f t="shared" si="1"/>
        <v>6739.5</v>
      </c>
      <c r="J263" s="7">
        <f t="shared" si="7"/>
        <v>5840.9</v>
      </c>
      <c r="K263" s="7">
        <f t="shared" si="3"/>
        <v>5840.9</v>
      </c>
      <c r="L263" s="7">
        <f t="shared" si="4"/>
        <v>5391.6</v>
      </c>
      <c r="M263" s="7">
        <f t="shared" si="5"/>
        <v>5166.95</v>
      </c>
      <c r="N263" s="7">
        <f t="shared" si="6"/>
        <v>4942.3</v>
      </c>
    </row>
    <row r="264">
      <c r="A264" s="5" t="s">
        <v>439</v>
      </c>
      <c r="B264" s="5" t="s">
        <v>36</v>
      </c>
      <c r="C264" s="6"/>
      <c r="D264" s="5" t="s">
        <v>533</v>
      </c>
      <c r="E264" s="5" t="s">
        <v>534</v>
      </c>
      <c r="F264" s="6"/>
      <c r="G264" s="8">
        <v>4418.0</v>
      </c>
      <c r="H264" s="5" t="s">
        <v>22</v>
      </c>
      <c r="I264" s="7">
        <f t="shared" si="1"/>
        <v>6627</v>
      </c>
      <c r="J264" s="7">
        <f t="shared" si="7"/>
        <v>5743.4</v>
      </c>
      <c r="K264" s="7">
        <f t="shared" si="3"/>
        <v>5743.4</v>
      </c>
      <c r="L264" s="7">
        <f t="shared" si="4"/>
        <v>5301.6</v>
      </c>
      <c r="M264" s="7">
        <f t="shared" si="5"/>
        <v>5080.7</v>
      </c>
      <c r="N264" s="7">
        <f t="shared" si="6"/>
        <v>4859.8</v>
      </c>
    </row>
    <row r="265">
      <c r="A265" s="5" t="s">
        <v>439</v>
      </c>
      <c r="B265" s="5" t="s">
        <v>36</v>
      </c>
      <c r="C265" s="6"/>
      <c r="D265" s="5" t="s">
        <v>535</v>
      </c>
      <c r="E265" s="5" t="s">
        <v>536</v>
      </c>
      <c r="F265" s="5" t="s">
        <v>537</v>
      </c>
      <c r="G265" s="8">
        <v>4163.0</v>
      </c>
      <c r="H265" s="5" t="s">
        <v>22</v>
      </c>
      <c r="I265" s="7">
        <f t="shared" si="1"/>
        <v>6244.5</v>
      </c>
      <c r="J265" s="7">
        <f t="shared" si="7"/>
        <v>5411.9</v>
      </c>
      <c r="K265" s="7">
        <f t="shared" si="3"/>
        <v>5411.9</v>
      </c>
      <c r="L265" s="7">
        <f t="shared" si="4"/>
        <v>4995.6</v>
      </c>
      <c r="M265" s="7">
        <f t="shared" si="5"/>
        <v>4787.45</v>
      </c>
      <c r="N265" s="7">
        <f t="shared" si="6"/>
        <v>4579.3</v>
      </c>
    </row>
    <row r="266">
      <c r="A266" s="5" t="s">
        <v>439</v>
      </c>
      <c r="B266" s="5" t="s">
        <v>36</v>
      </c>
      <c r="C266" s="6"/>
      <c r="D266" s="5" t="s">
        <v>538</v>
      </c>
      <c r="E266" s="5" t="s">
        <v>539</v>
      </c>
      <c r="F266" s="6"/>
      <c r="G266" s="8">
        <v>4225.0</v>
      </c>
      <c r="H266" s="5" t="s">
        <v>22</v>
      </c>
      <c r="I266" s="7">
        <f t="shared" si="1"/>
        <v>6337.5</v>
      </c>
      <c r="J266" s="7">
        <f t="shared" si="7"/>
        <v>5492.5</v>
      </c>
      <c r="K266" s="7">
        <f t="shared" si="3"/>
        <v>5492.5</v>
      </c>
      <c r="L266" s="7">
        <f t="shared" si="4"/>
        <v>5070</v>
      </c>
      <c r="M266" s="7">
        <f t="shared" si="5"/>
        <v>4858.75</v>
      </c>
      <c r="N266" s="7">
        <f t="shared" si="6"/>
        <v>4647.5</v>
      </c>
    </row>
    <row r="267">
      <c r="A267" s="5" t="s">
        <v>439</v>
      </c>
      <c r="B267" s="5" t="s">
        <v>36</v>
      </c>
      <c r="C267" s="6"/>
      <c r="D267" s="5" t="s">
        <v>540</v>
      </c>
      <c r="E267" s="5" t="s">
        <v>541</v>
      </c>
      <c r="F267" s="6"/>
      <c r="G267" s="8">
        <v>2481.0</v>
      </c>
      <c r="H267" s="5" t="s">
        <v>22</v>
      </c>
      <c r="I267" s="7">
        <f t="shared" si="1"/>
        <v>3721.5</v>
      </c>
      <c r="J267" s="7">
        <f t="shared" si="7"/>
        <v>3225.3</v>
      </c>
      <c r="K267" s="7">
        <f t="shared" si="3"/>
        <v>3225.3</v>
      </c>
      <c r="L267" s="7">
        <f t="shared" si="4"/>
        <v>2977.2</v>
      </c>
      <c r="M267" s="7">
        <f t="shared" si="5"/>
        <v>2853.15</v>
      </c>
      <c r="N267" s="7">
        <f t="shared" si="6"/>
        <v>2729.1</v>
      </c>
    </row>
    <row r="268">
      <c r="A268" s="5" t="s">
        <v>439</v>
      </c>
      <c r="B268" s="5" t="s">
        <v>36</v>
      </c>
      <c r="C268" s="6"/>
      <c r="D268" s="5" t="s">
        <v>542</v>
      </c>
      <c r="E268" s="5" t="s">
        <v>543</v>
      </c>
      <c r="F268" s="6"/>
      <c r="G268" s="8">
        <v>16338.0</v>
      </c>
      <c r="H268" s="5" t="s">
        <v>22</v>
      </c>
      <c r="I268" s="7">
        <f t="shared" si="1"/>
        <v>24507</v>
      </c>
      <c r="J268" s="7">
        <f t="shared" si="7"/>
        <v>21239.4</v>
      </c>
      <c r="K268" s="7">
        <f t="shared" si="3"/>
        <v>21239.4</v>
      </c>
      <c r="L268" s="7">
        <f t="shared" si="4"/>
        <v>19605.6</v>
      </c>
      <c r="M268" s="7">
        <f t="shared" si="5"/>
        <v>18788.7</v>
      </c>
      <c r="N268" s="7">
        <f t="shared" si="6"/>
        <v>17971.8</v>
      </c>
    </row>
    <row r="269">
      <c r="A269" s="5" t="s">
        <v>439</v>
      </c>
      <c r="B269" s="5" t="s">
        <v>36</v>
      </c>
      <c r="C269" s="6"/>
      <c r="D269" s="5" t="s">
        <v>544</v>
      </c>
      <c r="E269" s="5" t="s">
        <v>545</v>
      </c>
      <c r="F269" s="6"/>
      <c r="G269" s="8">
        <v>3264.0</v>
      </c>
      <c r="H269" s="5" t="s">
        <v>22</v>
      </c>
      <c r="I269" s="7">
        <f t="shared" si="1"/>
        <v>4896</v>
      </c>
      <c r="J269" s="7">
        <f t="shared" si="7"/>
        <v>4243.2</v>
      </c>
      <c r="K269" s="7">
        <f t="shared" si="3"/>
        <v>4243.2</v>
      </c>
      <c r="L269" s="7">
        <f t="shared" si="4"/>
        <v>3916.8</v>
      </c>
      <c r="M269" s="7">
        <f t="shared" si="5"/>
        <v>3753.6</v>
      </c>
      <c r="N269" s="7">
        <f t="shared" si="6"/>
        <v>3590.4</v>
      </c>
    </row>
    <row r="270">
      <c r="A270" s="5" t="s">
        <v>439</v>
      </c>
      <c r="B270" s="5" t="s">
        <v>36</v>
      </c>
      <c r="C270" s="6"/>
      <c r="D270" s="5" t="s">
        <v>546</v>
      </c>
      <c r="E270" s="5" t="s">
        <v>547</v>
      </c>
      <c r="F270" s="6"/>
      <c r="G270" s="8">
        <v>3700.0</v>
      </c>
      <c r="H270" s="5" t="s">
        <v>22</v>
      </c>
      <c r="I270" s="7">
        <f t="shared" si="1"/>
        <v>5550</v>
      </c>
      <c r="J270" s="7">
        <f t="shared" si="7"/>
        <v>4810</v>
      </c>
      <c r="K270" s="7">
        <f t="shared" si="3"/>
        <v>4810</v>
      </c>
      <c r="L270" s="7">
        <f t="shared" si="4"/>
        <v>4440</v>
      </c>
      <c r="M270" s="7">
        <f t="shared" si="5"/>
        <v>4255</v>
      </c>
      <c r="N270" s="7">
        <f t="shared" si="6"/>
        <v>4070</v>
      </c>
    </row>
    <row r="271">
      <c r="A271" s="5" t="s">
        <v>439</v>
      </c>
      <c r="B271" s="5" t="s">
        <v>36</v>
      </c>
      <c r="C271" s="6"/>
      <c r="D271" s="5" t="s">
        <v>548</v>
      </c>
      <c r="E271" s="5" t="s">
        <v>549</v>
      </c>
      <c r="F271" s="6"/>
      <c r="G271" s="8">
        <v>6006.0</v>
      </c>
      <c r="H271" s="5" t="s">
        <v>22</v>
      </c>
      <c r="I271" s="7">
        <f t="shared" si="1"/>
        <v>9009</v>
      </c>
      <c r="J271" s="7">
        <f t="shared" si="7"/>
        <v>7807.8</v>
      </c>
      <c r="K271" s="7">
        <f t="shared" si="3"/>
        <v>7807.8</v>
      </c>
      <c r="L271" s="7">
        <f t="shared" si="4"/>
        <v>7207.2</v>
      </c>
      <c r="M271" s="7">
        <f t="shared" si="5"/>
        <v>6906.9</v>
      </c>
      <c r="N271" s="7">
        <f t="shared" si="6"/>
        <v>6606.6</v>
      </c>
    </row>
    <row r="272">
      <c r="A272" s="5" t="s">
        <v>439</v>
      </c>
      <c r="B272" s="5" t="s">
        <v>36</v>
      </c>
      <c r="C272" s="6"/>
      <c r="D272" s="5" t="s">
        <v>550</v>
      </c>
      <c r="E272" s="5" t="s">
        <v>551</v>
      </c>
      <c r="F272" s="6"/>
      <c r="G272" s="8">
        <v>4057.0</v>
      </c>
      <c r="H272" s="5" t="s">
        <v>22</v>
      </c>
      <c r="I272" s="7">
        <f t="shared" si="1"/>
        <v>6085.5</v>
      </c>
      <c r="J272" s="7">
        <f t="shared" si="7"/>
        <v>5274.1</v>
      </c>
      <c r="K272" s="7">
        <f t="shared" si="3"/>
        <v>5274.1</v>
      </c>
      <c r="L272" s="7">
        <f t="shared" si="4"/>
        <v>4868.4</v>
      </c>
      <c r="M272" s="7">
        <f t="shared" si="5"/>
        <v>4665.55</v>
      </c>
      <c r="N272" s="7">
        <f t="shared" si="6"/>
        <v>4462.7</v>
      </c>
    </row>
    <row r="273">
      <c r="A273" s="5" t="s">
        <v>439</v>
      </c>
      <c r="B273" s="5" t="s">
        <v>36</v>
      </c>
      <c r="C273" s="6"/>
      <c r="D273" s="5" t="s">
        <v>552</v>
      </c>
      <c r="E273" s="5" t="s">
        <v>553</v>
      </c>
      <c r="F273" s="6"/>
      <c r="G273" s="8">
        <v>4404.0</v>
      </c>
      <c r="H273" s="5" t="s">
        <v>22</v>
      </c>
      <c r="I273" s="7">
        <f t="shared" si="1"/>
        <v>6606</v>
      </c>
      <c r="J273" s="7">
        <f t="shared" si="7"/>
        <v>5725.2</v>
      </c>
      <c r="K273" s="7">
        <f t="shared" si="3"/>
        <v>5725.2</v>
      </c>
      <c r="L273" s="7">
        <f t="shared" si="4"/>
        <v>5284.8</v>
      </c>
      <c r="M273" s="7">
        <f t="shared" si="5"/>
        <v>5064.6</v>
      </c>
      <c r="N273" s="7">
        <f t="shared" si="6"/>
        <v>4844.4</v>
      </c>
    </row>
    <row r="274">
      <c r="A274" s="5" t="s">
        <v>439</v>
      </c>
      <c r="B274" s="5" t="s">
        <v>36</v>
      </c>
      <c r="C274" s="6"/>
      <c r="D274" s="5" t="s">
        <v>554</v>
      </c>
      <c r="E274" s="5" t="s">
        <v>555</v>
      </c>
      <c r="F274" s="6"/>
      <c r="G274" s="8">
        <v>3960.0</v>
      </c>
      <c r="H274" s="5" t="s">
        <v>22</v>
      </c>
      <c r="I274" s="7">
        <f t="shared" si="1"/>
        <v>5940</v>
      </c>
      <c r="J274" s="7">
        <f t="shared" si="7"/>
        <v>5148</v>
      </c>
      <c r="K274" s="7">
        <f t="shared" si="3"/>
        <v>5148</v>
      </c>
      <c r="L274" s="7">
        <f t="shared" si="4"/>
        <v>4752</v>
      </c>
      <c r="M274" s="7">
        <f t="shared" si="5"/>
        <v>4554</v>
      </c>
      <c r="N274" s="7">
        <f t="shared" si="6"/>
        <v>4356</v>
      </c>
    </row>
    <row r="275">
      <c r="A275" s="5" t="s">
        <v>439</v>
      </c>
      <c r="B275" s="5" t="s">
        <v>36</v>
      </c>
      <c r="C275" s="6"/>
      <c r="D275" s="5" t="s">
        <v>556</v>
      </c>
      <c r="E275" s="5" t="s">
        <v>557</v>
      </c>
      <c r="F275" s="6"/>
      <c r="G275" s="8">
        <v>8617.0</v>
      </c>
      <c r="H275" s="5" t="s">
        <v>22</v>
      </c>
      <c r="I275" s="7">
        <f t="shared" si="1"/>
        <v>12925.5</v>
      </c>
      <c r="J275" s="7">
        <f t="shared" si="7"/>
        <v>11202.1</v>
      </c>
      <c r="K275" s="7">
        <f t="shared" si="3"/>
        <v>11202.1</v>
      </c>
      <c r="L275" s="7">
        <f t="shared" si="4"/>
        <v>10340.4</v>
      </c>
      <c r="M275" s="7">
        <f t="shared" si="5"/>
        <v>9909.55</v>
      </c>
      <c r="N275" s="7">
        <f t="shared" si="6"/>
        <v>9478.7</v>
      </c>
    </row>
    <row r="276">
      <c r="A276" s="5" t="s">
        <v>439</v>
      </c>
      <c r="B276" s="5" t="s">
        <v>36</v>
      </c>
      <c r="C276" s="6"/>
      <c r="D276" s="5" t="s">
        <v>558</v>
      </c>
      <c r="E276" s="5" t="s">
        <v>559</v>
      </c>
      <c r="F276" s="6"/>
      <c r="G276" s="8">
        <v>8613.0</v>
      </c>
      <c r="H276" s="5" t="s">
        <v>22</v>
      </c>
      <c r="I276" s="7">
        <f t="shared" si="1"/>
        <v>12919.5</v>
      </c>
      <c r="J276" s="7">
        <f t="shared" si="7"/>
        <v>11196.9</v>
      </c>
      <c r="K276" s="7">
        <f t="shared" si="3"/>
        <v>11196.9</v>
      </c>
      <c r="L276" s="7">
        <f t="shared" si="4"/>
        <v>10335.6</v>
      </c>
      <c r="M276" s="7">
        <f t="shared" si="5"/>
        <v>9904.95</v>
      </c>
      <c r="N276" s="7">
        <f t="shared" si="6"/>
        <v>9474.3</v>
      </c>
    </row>
    <row r="277">
      <c r="A277" s="5" t="s">
        <v>439</v>
      </c>
      <c r="B277" s="5" t="s">
        <v>36</v>
      </c>
      <c r="C277" s="6"/>
      <c r="D277" s="5" t="s">
        <v>560</v>
      </c>
      <c r="E277" s="5" t="s">
        <v>561</v>
      </c>
      <c r="F277" s="6"/>
      <c r="G277" s="8">
        <v>7220.0</v>
      </c>
      <c r="H277" s="5" t="s">
        <v>22</v>
      </c>
      <c r="I277" s="7">
        <f t="shared" si="1"/>
        <v>10830</v>
      </c>
      <c r="J277" s="7">
        <f t="shared" si="7"/>
        <v>9386</v>
      </c>
      <c r="K277" s="7">
        <f t="shared" si="3"/>
        <v>9386</v>
      </c>
      <c r="L277" s="7">
        <f t="shared" si="4"/>
        <v>8664</v>
      </c>
      <c r="M277" s="7">
        <f t="shared" si="5"/>
        <v>8303</v>
      </c>
      <c r="N277" s="7">
        <f t="shared" si="6"/>
        <v>7942</v>
      </c>
    </row>
    <row r="278">
      <c r="A278" s="5" t="s">
        <v>439</v>
      </c>
      <c r="B278" s="5" t="s">
        <v>36</v>
      </c>
      <c r="C278" s="6"/>
      <c r="D278" s="5" t="s">
        <v>562</v>
      </c>
      <c r="E278" s="5" t="s">
        <v>563</v>
      </c>
      <c r="F278" s="6"/>
      <c r="G278" s="8">
        <v>69570.0</v>
      </c>
      <c r="H278" s="5" t="s">
        <v>22</v>
      </c>
      <c r="I278" s="7">
        <f t="shared" si="1"/>
        <v>104355</v>
      </c>
      <c r="J278" s="7">
        <f t="shared" si="7"/>
        <v>90441</v>
      </c>
      <c r="K278" s="7">
        <f t="shared" si="3"/>
        <v>90441</v>
      </c>
      <c r="L278" s="7">
        <f t="shared" si="4"/>
        <v>83484</v>
      </c>
      <c r="M278" s="7">
        <f t="shared" si="5"/>
        <v>80005.5</v>
      </c>
      <c r="N278" s="7">
        <f t="shared" si="6"/>
        <v>76527</v>
      </c>
    </row>
    <row r="279">
      <c r="A279" s="5" t="s">
        <v>439</v>
      </c>
      <c r="B279" s="5" t="s">
        <v>36</v>
      </c>
      <c r="C279" s="6"/>
      <c r="D279" s="5" t="s">
        <v>564</v>
      </c>
      <c r="E279" s="5" t="s">
        <v>565</v>
      </c>
      <c r="F279" s="6"/>
      <c r="G279" s="8">
        <v>20672.0</v>
      </c>
      <c r="H279" s="5" t="s">
        <v>22</v>
      </c>
      <c r="I279" s="7">
        <f t="shared" si="1"/>
        <v>31008</v>
      </c>
      <c r="J279" s="7">
        <f t="shared" si="7"/>
        <v>26873.6</v>
      </c>
      <c r="K279" s="7">
        <f t="shared" si="3"/>
        <v>26873.6</v>
      </c>
      <c r="L279" s="7">
        <f t="shared" si="4"/>
        <v>24806.4</v>
      </c>
      <c r="M279" s="7">
        <f t="shared" si="5"/>
        <v>23772.8</v>
      </c>
      <c r="N279" s="7">
        <f t="shared" si="6"/>
        <v>22739.2</v>
      </c>
    </row>
    <row r="280">
      <c r="A280" s="5" t="s">
        <v>439</v>
      </c>
      <c r="B280" s="5" t="s">
        <v>36</v>
      </c>
      <c r="C280" s="6"/>
      <c r="D280" s="5" t="s">
        <v>566</v>
      </c>
      <c r="E280" s="5" t="s">
        <v>567</v>
      </c>
      <c r="F280" s="6"/>
      <c r="G280" s="8">
        <v>308201.0</v>
      </c>
      <c r="H280" s="5" t="s">
        <v>22</v>
      </c>
      <c r="I280" s="7">
        <f t="shared" si="1"/>
        <v>462301.5</v>
      </c>
      <c r="J280" s="7">
        <f t="shared" si="7"/>
        <v>400661.3</v>
      </c>
      <c r="K280" s="7">
        <f t="shared" si="3"/>
        <v>400661.3</v>
      </c>
      <c r="L280" s="7">
        <f t="shared" si="4"/>
        <v>369841.2</v>
      </c>
      <c r="M280" s="7">
        <f t="shared" si="5"/>
        <v>354431.15</v>
      </c>
      <c r="N280" s="7">
        <f t="shared" si="6"/>
        <v>339021.1</v>
      </c>
    </row>
    <row r="281">
      <c r="A281" s="5" t="s">
        <v>439</v>
      </c>
      <c r="B281" s="5" t="s">
        <v>36</v>
      </c>
      <c r="C281" s="6"/>
      <c r="D281" s="5" t="s">
        <v>568</v>
      </c>
      <c r="E281" s="5" t="s">
        <v>569</v>
      </c>
      <c r="F281" s="6"/>
      <c r="G281" s="8">
        <v>52178.0</v>
      </c>
      <c r="H281" s="5" t="s">
        <v>22</v>
      </c>
      <c r="I281" s="7">
        <f t="shared" si="1"/>
        <v>78267</v>
      </c>
      <c r="J281" s="7">
        <f t="shared" si="7"/>
        <v>67831.4</v>
      </c>
      <c r="K281" s="7">
        <f t="shared" si="3"/>
        <v>67831.4</v>
      </c>
      <c r="L281" s="7">
        <f t="shared" si="4"/>
        <v>62613.6</v>
      </c>
      <c r="M281" s="7">
        <f t="shared" si="5"/>
        <v>60004.7</v>
      </c>
      <c r="N281" s="7">
        <f t="shared" si="6"/>
        <v>57395.8</v>
      </c>
    </row>
    <row r="282">
      <c r="A282" s="5" t="s">
        <v>439</v>
      </c>
      <c r="B282" s="5" t="s">
        <v>36</v>
      </c>
      <c r="C282" s="6"/>
      <c r="D282" s="5" t="s">
        <v>570</v>
      </c>
      <c r="E282" s="5" t="s">
        <v>571</v>
      </c>
      <c r="F282" s="6"/>
      <c r="G282" s="8">
        <v>73897.0</v>
      </c>
      <c r="H282" s="5" t="s">
        <v>22</v>
      </c>
      <c r="I282" s="7">
        <f t="shared" si="1"/>
        <v>110845.5</v>
      </c>
      <c r="J282" s="7">
        <f t="shared" si="7"/>
        <v>96066.1</v>
      </c>
      <c r="K282" s="7">
        <f t="shared" si="3"/>
        <v>96066.1</v>
      </c>
      <c r="L282" s="7">
        <f t="shared" si="4"/>
        <v>88676.4</v>
      </c>
      <c r="M282" s="7">
        <f t="shared" si="5"/>
        <v>84981.55</v>
      </c>
      <c r="N282" s="7">
        <f t="shared" si="6"/>
        <v>81286.7</v>
      </c>
    </row>
    <row r="283">
      <c r="A283" s="5" t="s">
        <v>439</v>
      </c>
      <c r="B283" s="5" t="s">
        <v>36</v>
      </c>
      <c r="C283" s="6"/>
      <c r="D283" s="5" t="s">
        <v>572</v>
      </c>
      <c r="E283" s="5" t="s">
        <v>573</v>
      </c>
      <c r="F283" s="6"/>
      <c r="G283" s="8">
        <v>1252.0</v>
      </c>
      <c r="H283" s="5" t="s">
        <v>22</v>
      </c>
      <c r="I283" s="7">
        <f t="shared" si="1"/>
        <v>1878</v>
      </c>
      <c r="J283" s="7">
        <f t="shared" si="7"/>
        <v>1627.6</v>
      </c>
      <c r="K283" s="7">
        <f t="shared" si="3"/>
        <v>1627.6</v>
      </c>
      <c r="L283" s="7">
        <f t="shared" si="4"/>
        <v>1502.4</v>
      </c>
      <c r="M283" s="7">
        <f t="shared" si="5"/>
        <v>1439.8</v>
      </c>
      <c r="N283" s="7">
        <f t="shared" si="6"/>
        <v>1377.2</v>
      </c>
    </row>
    <row r="284">
      <c r="A284" s="5" t="s">
        <v>439</v>
      </c>
      <c r="B284" s="5" t="s">
        <v>36</v>
      </c>
      <c r="C284" s="6"/>
      <c r="D284" s="5" t="s">
        <v>574</v>
      </c>
      <c r="E284" s="5" t="s">
        <v>575</v>
      </c>
      <c r="F284" s="6"/>
      <c r="G284" s="8">
        <v>29079.0</v>
      </c>
      <c r="H284" s="5" t="s">
        <v>22</v>
      </c>
      <c r="I284" s="7">
        <f t="shared" si="1"/>
        <v>43618.5</v>
      </c>
      <c r="J284" s="7">
        <f t="shared" si="7"/>
        <v>37802.7</v>
      </c>
      <c r="K284" s="7">
        <f t="shared" si="3"/>
        <v>37802.7</v>
      </c>
      <c r="L284" s="7">
        <f t="shared" si="4"/>
        <v>34894.8</v>
      </c>
      <c r="M284" s="7">
        <f t="shared" si="5"/>
        <v>33440.85</v>
      </c>
      <c r="N284" s="7">
        <f t="shared" si="6"/>
        <v>31986.9</v>
      </c>
    </row>
    <row r="285">
      <c r="A285" s="5" t="s">
        <v>439</v>
      </c>
      <c r="B285" s="5" t="s">
        <v>36</v>
      </c>
      <c r="C285" s="6"/>
      <c r="D285" s="5" t="s">
        <v>576</v>
      </c>
      <c r="E285" s="5" t="s">
        <v>577</v>
      </c>
      <c r="F285" s="6"/>
      <c r="G285" s="8">
        <v>73726.0</v>
      </c>
      <c r="H285" s="5" t="s">
        <v>22</v>
      </c>
      <c r="I285" s="7">
        <f t="shared" si="1"/>
        <v>110589</v>
      </c>
      <c r="J285" s="7">
        <f t="shared" si="7"/>
        <v>95843.8</v>
      </c>
      <c r="K285" s="7">
        <f t="shared" si="3"/>
        <v>95843.8</v>
      </c>
      <c r="L285" s="7">
        <f t="shared" si="4"/>
        <v>88471.2</v>
      </c>
      <c r="M285" s="7">
        <f t="shared" si="5"/>
        <v>84784.9</v>
      </c>
      <c r="N285" s="7">
        <f t="shared" si="6"/>
        <v>81098.6</v>
      </c>
    </row>
    <row r="286">
      <c r="A286" s="5" t="s">
        <v>439</v>
      </c>
      <c r="B286" s="5" t="s">
        <v>36</v>
      </c>
      <c r="C286" s="6"/>
      <c r="D286" s="5" t="s">
        <v>578</v>
      </c>
      <c r="E286" s="5" t="s">
        <v>579</v>
      </c>
      <c r="F286" s="6"/>
      <c r="G286" s="8">
        <v>123478.0</v>
      </c>
      <c r="H286" s="5" t="s">
        <v>22</v>
      </c>
      <c r="I286" s="7">
        <f t="shared" si="1"/>
        <v>185217</v>
      </c>
      <c r="J286" s="7">
        <f t="shared" si="7"/>
        <v>160521.4</v>
      </c>
      <c r="K286" s="7">
        <f t="shared" si="3"/>
        <v>160521.4</v>
      </c>
      <c r="L286" s="7">
        <f t="shared" si="4"/>
        <v>148173.6</v>
      </c>
      <c r="M286" s="7">
        <f t="shared" si="5"/>
        <v>141999.7</v>
      </c>
      <c r="N286" s="7">
        <f t="shared" si="6"/>
        <v>135825.8</v>
      </c>
    </row>
    <row r="287">
      <c r="A287" s="5" t="s">
        <v>439</v>
      </c>
      <c r="B287" s="5" t="s">
        <v>36</v>
      </c>
      <c r="C287" s="6"/>
      <c r="D287" s="5" t="s">
        <v>580</v>
      </c>
      <c r="E287" s="5" t="s">
        <v>581</v>
      </c>
      <c r="F287" s="6"/>
      <c r="G287" s="8">
        <v>18789.0</v>
      </c>
      <c r="H287" s="5" t="s">
        <v>22</v>
      </c>
      <c r="I287" s="7">
        <f t="shared" si="1"/>
        <v>28183.5</v>
      </c>
      <c r="J287" s="7">
        <f t="shared" si="7"/>
        <v>24425.7</v>
      </c>
      <c r="K287" s="7">
        <f t="shared" si="3"/>
        <v>24425.7</v>
      </c>
      <c r="L287" s="7">
        <f t="shared" si="4"/>
        <v>22546.8</v>
      </c>
      <c r="M287" s="7">
        <f t="shared" si="5"/>
        <v>21607.35</v>
      </c>
      <c r="N287" s="7">
        <f t="shared" si="6"/>
        <v>20667.9</v>
      </c>
    </row>
    <row r="288">
      <c r="A288" s="5" t="s">
        <v>439</v>
      </c>
      <c r="B288" s="5" t="s">
        <v>36</v>
      </c>
      <c r="C288" s="6"/>
      <c r="D288" s="5" t="s">
        <v>582</v>
      </c>
      <c r="E288" s="5" t="s">
        <v>583</v>
      </c>
      <c r="F288" s="6"/>
      <c r="G288" s="8">
        <v>813384.0</v>
      </c>
      <c r="H288" s="5" t="s">
        <v>22</v>
      </c>
      <c r="I288" s="7">
        <f t="shared" si="1"/>
        <v>1220076</v>
      </c>
      <c r="J288" s="7">
        <f t="shared" si="7"/>
        <v>1057399.2</v>
      </c>
      <c r="K288" s="7">
        <f t="shared" si="3"/>
        <v>1057399.2</v>
      </c>
      <c r="L288" s="7">
        <f t="shared" si="4"/>
        <v>976060.8</v>
      </c>
      <c r="M288" s="7">
        <f t="shared" si="5"/>
        <v>935391.6</v>
      </c>
      <c r="N288" s="7">
        <f t="shared" si="6"/>
        <v>894722.4</v>
      </c>
    </row>
    <row r="289">
      <c r="A289" s="5" t="s">
        <v>439</v>
      </c>
      <c r="B289" s="5" t="s">
        <v>36</v>
      </c>
      <c r="C289" s="6"/>
      <c r="D289" s="5" t="s">
        <v>584</v>
      </c>
      <c r="E289" s="5" t="s">
        <v>585</v>
      </c>
      <c r="F289" s="6"/>
      <c r="G289" s="8">
        <v>40479.0</v>
      </c>
      <c r="H289" s="5" t="s">
        <v>22</v>
      </c>
      <c r="I289" s="7">
        <f t="shared" si="1"/>
        <v>60718.5</v>
      </c>
      <c r="J289" s="7">
        <f t="shared" si="7"/>
        <v>52622.7</v>
      </c>
      <c r="K289" s="7">
        <f t="shared" si="3"/>
        <v>52622.7</v>
      </c>
      <c r="L289" s="7">
        <f t="shared" si="4"/>
        <v>48574.8</v>
      </c>
      <c r="M289" s="7">
        <f t="shared" si="5"/>
        <v>46550.85</v>
      </c>
      <c r="N289" s="7">
        <f t="shared" si="6"/>
        <v>44526.9</v>
      </c>
    </row>
    <row r="290">
      <c r="A290" s="5" t="s">
        <v>439</v>
      </c>
      <c r="B290" s="5" t="s">
        <v>36</v>
      </c>
      <c r="C290" s="6"/>
      <c r="D290" s="5" t="s">
        <v>586</v>
      </c>
      <c r="E290" s="5" t="s">
        <v>587</v>
      </c>
      <c r="F290" s="6"/>
      <c r="G290" s="5">
        <v>140.0</v>
      </c>
      <c r="H290" s="5" t="s">
        <v>22</v>
      </c>
      <c r="I290" s="7">
        <f t="shared" si="1"/>
        <v>210</v>
      </c>
      <c r="J290" s="7">
        <f t="shared" si="7"/>
        <v>182</v>
      </c>
      <c r="K290" s="7">
        <f t="shared" si="3"/>
        <v>182</v>
      </c>
      <c r="L290" s="7">
        <f t="shared" si="4"/>
        <v>168</v>
      </c>
      <c r="M290" s="7">
        <f t="shared" si="5"/>
        <v>161</v>
      </c>
      <c r="N290" s="7">
        <f t="shared" si="6"/>
        <v>154</v>
      </c>
    </row>
    <row r="291">
      <c r="A291" s="5" t="s">
        <v>439</v>
      </c>
      <c r="B291" s="5" t="s">
        <v>36</v>
      </c>
      <c r="C291" s="6"/>
      <c r="D291" s="5" t="s">
        <v>588</v>
      </c>
      <c r="E291" s="5" t="s">
        <v>589</v>
      </c>
      <c r="F291" s="6"/>
      <c r="G291" s="8">
        <v>5050.0</v>
      </c>
      <c r="H291" s="5" t="s">
        <v>22</v>
      </c>
      <c r="I291" s="7">
        <f t="shared" si="1"/>
        <v>7575</v>
      </c>
      <c r="J291" s="7">
        <f t="shared" si="7"/>
        <v>6565</v>
      </c>
      <c r="K291" s="7">
        <f t="shared" si="3"/>
        <v>6565</v>
      </c>
      <c r="L291" s="7">
        <f t="shared" si="4"/>
        <v>6060</v>
      </c>
      <c r="M291" s="7">
        <f t="shared" si="5"/>
        <v>5807.5</v>
      </c>
      <c r="N291" s="7">
        <f t="shared" si="6"/>
        <v>5555</v>
      </c>
    </row>
    <row r="292">
      <c r="A292" s="5" t="s">
        <v>439</v>
      </c>
      <c r="B292" s="5" t="s">
        <v>36</v>
      </c>
      <c r="C292" s="6"/>
      <c r="D292" s="5" t="s">
        <v>590</v>
      </c>
      <c r="E292" s="5" t="s">
        <v>591</v>
      </c>
      <c r="F292" s="6"/>
      <c r="G292" s="8">
        <v>80004.0</v>
      </c>
      <c r="H292" s="5" t="s">
        <v>22</v>
      </c>
      <c r="I292" s="7">
        <f t="shared" si="1"/>
        <v>120006</v>
      </c>
      <c r="J292" s="7">
        <f t="shared" si="7"/>
        <v>104005.2</v>
      </c>
      <c r="K292" s="7">
        <f t="shared" si="3"/>
        <v>104005.2</v>
      </c>
      <c r="L292" s="7">
        <f t="shared" si="4"/>
        <v>96004.8</v>
      </c>
      <c r="M292" s="7">
        <f t="shared" si="5"/>
        <v>92004.6</v>
      </c>
      <c r="N292" s="7">
        <f t="shared" si="6"/>
        <v>88004.4</v>
      </c>
    </row>
    <row r="293">
      <c r="A293" s="5" t="s">
        <v>439</v>
      </c>
      <c r="B293" s="5" t="s">
        <v>36</v>
      </c>
      <c r="C293" s="6"/>
      <c r="D293" s="5" t="s">
        <v>592</v>
      </c>
      <c r="E293" s="5" t="s">
        <v>593</v>
      </c>
      <c r="F293" s="6"/>
      <c r="G293" s="8">
        <v>12529.0</v>
      </c>
      <c r="H293" s="5" t="s">
        <v>22</v>
      </c>
      <c r="I293" s="7">
        <f t="shared" si="1"/>
        <v>18793.5</v>
      </c>
      <c r="J293" s="7">
        <f t="shared" si="7"/>
        <v>16287.7</v>
      </c>
      <c r="K293" s="7">
        <f t="shared" si="3"/>
        <v>16287.7</v>
      </c>
      <c r="L293" s="7">
        <f t="shared" si="4"/>
        <v>15034.8</v>
      </c>
      <c r="M293" s="7">
        <f t="shared" si="5"/>
        <v>14408.35</v>
      </c>
      <c r="N293" s="7">
        <f t="shared" si="6"/>
        <v>13781.9</v>
      </c>
    </row>
    <row r="294">
      <c r="A294" s="5" t="s">
        <v>439</v>
      </c>
      <c r="B294" s="5" t="s">
        <v>36</v>
      </c>
      <c r="C294" s="6"/>
      <c r="D294" s="5" t="s">
        <v>594</v>
      </c>
      <c r="E294" s="5" t="s">
        <v>595</v>
      </c>
      <c r="F294" s="6"/>
      <c r="G294" s="8">
        <v>36396.0</v>
      </c>
      <c r="H294" s="5" t="s">
        <v>22</v>
      </c>
      <c r="I294" s="7">
        <f t="shared" si="1"/>
        <v>54594</v>
      </c>
      <c r="J294" s="7">
        <f t="shared" si="7"/>
        <v>47314.8</v>
      </c>
      <c r="K294" s="7">
        <f t="shared" si="3"/>
        <v>47314.8</v>
      </c>
      <c r="L294" s="7">
        <f t="shared" si="4"/>
        <v>43675.2</v>
      </c>
      <c r="M294" s="7">
        <f t="shared" si="5"/>
        <v>41855.4</v>
      </c>
      <c r="N294" s="7">
        <f t="shared" si="6"/>
        <v>40035.6</v>
      </c>
    </row>
    <row r="295">
      <c r="A295" s="5" t="s">
        <v>439</v>
      </c>
      <c r="B295" s="5" t="s">
        <v>36</v>
      </c>
      <c r="C295" s="6"/>
      <c r="D295" s="5" t="s">
        <v>596</v>
      </c>
      <c r="E295" s="5" t="s">
        <v>597</v>
      </c>
      <c r="F295" s="6"/>
      <c r="G295" s="8">
        <v>34557.0</v>
      </c>
      <c r="H295" s="5" t="s">
        <v>22</v>
      </c>
      <c r="I295" s="7">
        <f t="shared" si="1"/>
        <v>51835.5</v>
      </c>
      <c r="J295" s="7">
        <f t="shared" si="7"/>
        <v>44924.1</v>
      </c>
      <c r="K295" s="7">
        <f t="shared" si="3"/>
        <v>44924.1</v>
      </c>
      <c r="L295" s="7">
        <f t="shared" si="4"/>
        <v>41468.4</v>
      </c>
      <c r="M295" s="7">
        <f t="shared" si="5"/>
        <v>39740.55</v>
      </c>
      <c r="N295" s="7">
        <f t="shared" si="6"/>
        <v>38012.7</v>
      </c>
    </row>
    <row r="296">
      <c r="A296" s="5" t="s">
        <v>439</v>
      </c>
      <c r="B296" s="5" t="s">
        <v>36</v>
      </c>
      <c r="C296" s="6"/>
      <c r="D296" s="5" t="s">
        <v>598</v>
      </c>
      <c r="E296" s="5" t="s">
        <v>502</v>
      </c>
      <c r="F296" s="6"/>
      <c r="G296" s="8">
        <v>13795.0</v>
      </c>
      <c r="H296" s="5" t="s">
        <v>22</v>
      </c>
      <c r="I296" s="7">
        <f t="shared" si="1"/>
        <v>20692.5</v>
      </c>
      <c r="J296" s="7">
        <f t="shared" si="7"/>
        <v>17933.5</v>
      </c>
      <c r="K296" s="7">
        <f t="shared" si="3"/>
        <v>17933.5</v>
      </c>
      <c r="L296" s="7">
        <f t="shared" si="4"/>
        <v>16554</v>
      </c>
      <c r="M296" s="7">
        <f t="shared" si="5"/>
        <v>15864.25</v>
      </c>
      <c r="N296" s="7">
        <f t="shared" si="6"/>
        <v>15174.5</v>
      </c>
    </row>
    <row r="297">
      <c r="A297" s="5" t="s">
        <v>439</v>
      </c>
      <c r="B297" s="5" t="s">
        <v>36</v>
      </c>
      <c r="C297" s="6"/>
      <c r="D297" s="5" t="s">
        <v>599</v>
      </c>
      <c r="E297" s="5" t="s">
        <v>600</v>
      </c>
      <c r="F297" s="6"/>
      <c r="G297" s="8">
        <v>7484.0</v>
      </c>
      <c r="H297" s="5" t="s">
        <v>22</v>
      </c>
      <c r="I297" s="7">
        <f t="shared" si="1"/>
        <v>11226</v>
      </c>
      <c r="J297" s="7">
        <f t="shared" si="7"/>
        <v>9729.2</v>
      </c>
      <c r="K297" s="7">
        <f t="shared" si="3"/>
        <v>9729.2</v>
      </c>
      <c r="L297" s="7">
        <f t="shared" si="4"/>
        <v>8980.8</v>
      </c>
      <c r="M297" s="7">
        <f t="shared" si="5"/>
        <v>8606.6</v>
      </c>
      <c r="N297" s="7">
        <f t="shared" si="6"/>
        <v>8232.4</v>
      </c>
    </row>
    <row r="298">
      <c r="A298" s="5" t="s">
        <v>439</v>
      </c>
      <c r="B298" s="5" t="s">
        <v>36</v>
      </c>
      <c r="C298" s="6"/>
      <c r="D298" s="5" t="s">
        <v>601</v>
      </c>
      <c r="E298" s="5" t="s">
        <v>602</v>
      </c>
      <c r="F298" s="6"/>
      <c r="G298" s="5">
        <v>867.0</v>
      </c>
      <c r="H298" s="5" t="s">
        <v>22</v>
      </c>
      <c r="I298" s="7">
        <f t="shared" si="1"/>
        <v>1300.5</v>
      </c>
      <c r="J298" s="7">
        <f t="shared" si="7"/>
        <v>1127.1</v>
      </c>
      <c r="K298" s="7">
        <f t="shared" si="3"/>
        <v>1127.1</v>
      </c>
      <c r="L298" s="7">
        <f t="shared" si="4"/>
        <v>1040.4</v>
      </c>
      <c r="M298" s="7">
        <f t="shared" si="5"/>
        <v>997.05</v>
      </c>
      <c r="N298" s="7">
        <f t="shared" si="6"/>
        <v>953.7</v>
      </c>
    </row>
    <row r="299">
      <c r="A299" s="5" t="s">
        <v>439</v>
      </c>
      <c r="B299" s="5" t="s">
        <v>36</v>
      </c>
      <c r="C299" s="6"/>
      <c r="D299" s="5" t="s">
        <v>603</v>
      </c>
      <c r="E299" s="5" t="s">
        <v>604</v>
      </c>
      <c r="F299" s="6"/>
      <c r="G299" s="8">
        <v>9701.0</v>
      </c>
      <c r="H299" s="5" t="s">
        <v>22</v>
      </c>
      <c r="I299" s="7">
        <f t="shared" si="1"/>
        <v>14551.5</v>
      </c>
      <c r="J299" s="7">
        <f t="shared" si="7"/>
        <v>12611.3</v>
      </c>
      <c r="K299" s="7">
        <f t="shared" si="3"/>
        <v>12611.3</v>
      </c>
      <c r="L299" s="7">
        <f t="shared" si="4"/>
        <v>11641.2</v>
      </c>
      <c r="M299" s="7">
        <f t="shared" si="5"/>
        <v>11156.15</v>
      </c>
      <c r="N299" s="7">
        <f t="shared" si="6"/>
        <v>10671.1</v>
      </c>
    </row>
    <row r="300">
      <c r="A300" s="5" t="s">
        <v>439</v>
      </c>
      <c r="B300" s="5" t="s">
        <v>36</v>
      </c>
      <c r="C300" s="6"/>
      <c r="D300" s="5" t="s">
        <v>605</v>
      </c>
      <c r="E300" s="5" t="s">
        <v>606</v>
      </c>
      <c r="F300" s="6"/>
      <c r="G300" s="8">
        <v>4467.0</v>
      </c>
      <c r="H300" s="5" t="s">
        <v>22</v>
      </c>
      <c r="I300" s="7">
        <f t="shared" si="1"/>
        <v>6700.5</v>
      </c>
      <c r="J300" s="7">
        <f t="shared" si="7"/>
        <v>5807.1</v>
      </c>
      <c r="K300" s="7">
        <f t="shared" si="3"/>
        <v>5807.1</v>
      </c>
      <c r="L300" s="7">
        <f t="shared" si="4"/>
        <v>5360.4</v>
      </c>
      <c r="M300" s="7">
        <f t="shared" si="5"/>
        <v>5137.05</v>
      </c>
      <c r="N300" s="7">
        <f t="shared" si="6"/>
        <v>4913.7</v>
      </c>
    </row>
    <row r="301">
      <c r="A301" s="5" t="s">
        <v>439</v>
      </c>
      <c r="B301" s="5" t="s">
        <v>36</v>
      </c>
      <c r="C301" s="6"/>
      <c r="D301" s="5" t="s">
        <v>607</v>
      </c>
      <c r="E301" s="5" t="s">
        <v>608</v>
      </c>
      <c r="F301" s="6"/>
      <c r="G301" s="8">
        <v>29417.0</v>
      </c>
      <c r="H301" s="5" t="s">
        <v>22</v>
      </c>
      <c r="I301" s="7">
        <f t="shared" si="1"/>
        <v>44125.5</v>
      </c>
      <c r="J301" s="7">
        <f t="shared" si="7"/>
        <v>38242.1</v>
      </c>
      <c r="K301" s="7">
        <f t="shared" si="3"/>
        <v>38242.1</v>
      </c>
      <c r="L301" s="7">
        <f t="shared" si="4"/>
        <v>35300.4</v>
      </c>
      <c r="M301" s="7">
        <f t="shared" si="5"/>
        <v>33829.55</v>
      </c>
      <c r="N301" s="7">
        <f t="shared" si="6"/>
        <v>32358.7</v>
      </c>
    </row>
    <row r="302">
      <c r="A302" s="5" t="s">
        <v>439</v>
      </c>
      <c r="B302" s="5" t="s">
        <v>36</v>
      </c>
      <c r="C302" s="6"/>
      <c r="D302" s="5" t="s">
        <v>609</v>
      </c>
      <c r="E302" s="5" t="s">
        <v>610</v>
      </c>
      <c r="F302" s="6"/>
      <c r="G302" s="8">
        <v>2441.0</v>
      </c>
      <c r="H302" s="5" t="s">
        <v>22</v>
      </c>
      <c r="I302" s="7">
        <f t="shared" si="1"/>
        <v>3661.5</v>
      </c>
      <c r="J302" s="7">
        <f t="shared" si="7"/>
        <v>3173.3</v>
      </c>
      <c r="K302" s="7">
        <f t="shared" si="3"/>
        <v>3173.3</v>
      </c>
      <c r="L302" s="7">
        <f t="shared" si="4"/>
        <v>2929.2</v>
      </c>
      <c r="M302" s="7">
        <f t="shared" si="5"/>
        <v>2807.15</v>
      </c>
      <c r="N302" s="7">
        <f t="shared" si="6"/>
        <v>2685.1</v>
      </c>
    </row>
    <row r="303">
      <c r="A303" s="5" t="s">
        <v>439</v>
      </c>
      <c r="B303" s="5" t="s">
        <v>36</v>
      </c>
      <c r="C303" s="6"/>
      <c r="D303" s="5" t="s">
        <v>611</v>
      </c>
      <c r="E303" s="5" t="s">
        <v>612</v>
      </c>
      <c r="F303" s="6"/>
      <c r="G303" s="8">
        <v>5581.0</v>
      </c>
      <c r="H303" s="5" t="s">
        <v>22</v>
      </c>
      <c r="I303" s="7">
        <f t="shared" si="1"/>
        <v>8371.5</v>
      </c>
      <c r="J303" s="7">
        <f t="shared" si="7"/>
        <v>7255.3</v>
      </c>
      <c r="K303" s="7">
        <f t="shared" si="3"/>
        <v>7255.3</v>
      </c>
      <c r="L303" s="7">
        <f t="shared" si="4"/>
        <v>6697.2</v>
      </c>
      <c r="M303" s="7">
        <f t="shared" si="5"/>
        <v>6418.15</v>
      </c>
      <c r="N303" s="7">
        <f t="shared" si="6"/>
        <v>6139.1</v>
      </c>
    </row>
    <row r="304">
      <c r="A304" s="5" t="s">
        <v>439</v>
      </c>
      <c r="B304" s="5" t="s">
        <v>36</v>
      </c>
      <c r="C304" s="6"/>
      <c r="D304" s="5" t="s">
        <v>613</v>
      </c>
      <c r="E304" s="5" t="s">
        <v>614</v>
      </c>
      <c r="F304" s="6"/>
      <c r="G304" s="8">
        <v>5753.0</v>
      </c>
      <c r="H304" s="5" t="s">
        <v>22</v>
      </c>
      <c r="I304" s="7">
        <f t="shared" si="1"/>
        <v>8629.5</v>
      </c>
      <c r="J304" s="7">
        <f t="shared" si="7"/>
        <v>7478.9</v>
      </c>
      <c r="K304" s="7">
        <f t="shared" si="3"/>
        <v>7478.9</v>
      </c>
      <c r="L304" s="7">
        <f t="shared" si="4"/>
        <v>6903.6</v>
      </c>
      <c r="M304" s="7">
        <f t="shared" si="5"/>
        <v>6615.95</v>
      </c>
      <c r="N304" s="7">
        <f t="shared" si="6"/>
        <v>6328.3</v>
      </c>
    </row>
    <row r="305">
      <c r="A305" s="5" t="s">
        <v>439</v>
      </c>
      <c r="B305" s="5" t="s">
        <v>36</v>
      </c>
      <c r="C305" s="6"/>
      <c r="D305" s="5" t="s">
        <v>615</v>
      </c>
      <c r="E305" s="5" t="s">
        <v>616</v>
      </c>
      <c r="F305" s="6"/>
      <c r="G305" s="8">
        <v>111454.0</v>
      </c>
      <c r="H305" s="5" t="s">
        <v>22</v>
      </c>
      <c r="I305" s="7">
        <f t="shared" si="1"/>
        <v>167181</v>
      </c>
      <c r="J305" s="7">
        <f t="shared" si="7"/>
        <v>144890.2</v>
      </c>
      <c r="K305" s="7">
        <f t="shared" si="3"/>
        <v>144890.2</v>
      </c>
      <c r="L305" s="7">
        <f t="shared" si="4"/>
        <v>133744.8</v>
      </c>
      <c r="M305" s="7">
        <f t="shared" si="5"/>
        <v>128172.1</v>
      </c>
      <c r="N305" s="7">
        <f t="shared" si="6"/>
        <v>122599.4</v>
      </c>
    </row>
    <row r="306">
      <c r="A306" s="5" t="s">
        <v>439</v>
      </c>
      <c r="B306" s="5" t="s">
        <v>36</v>
      </c>
      <c r="C306" s="6"/>
      <c r="D306" s="5" t="s">
        <v>617</v>
      </c>
      <c r="E306" s="5" t="s">
        <v>618</v>
      </c>
      <c r="F306" s="6"/>
      <c r="G306" s="8">
        <v>10258.0</v>
      </c>
      <c r="H306" s="5" t="s">
        <v>22</v>
      </c>
      <c r="I306" s="7">
        <f t="shared" si="1"/>
        <v>15387</v>
      </c>
      <c r="J306" s="7">
        <f t="shared" si="7"/>
        <v>13335.4</v>
      </c>
      <c r="K306" s="7">
        <f t="shared" si="3"/>
        <v>13335.4</v>
      </c>
      <c r="L306" s="7">
        <f t="shared" si="4"/>
        <v>12309.6</v>
      </c>
      <c r="M306" s="7">
        <f t="shared" si="5"/>
        <v>11796.7</v>
      </c>
      <c r="N306" s="7">
        <f t="shared" si="6"/>
        <v>11283.8</v>
      </c>
    </row>
    <row r="307">
      <c r="A307" s="5" t="s">
        <v>439</v>
      </c>
      <c r="B307" s="5" t="s">
        <v>36</v>
      </c>
      <c r="C307" s="6"/>
      <c r="D307" s="5" t="s">
        <v>619</v>
      </c>
      <c r="E307" s="5" t="s">
        <v>620</v>
      </c>
      <c r="F307" s="6"/>
      <c r="G307" s="8">
        <v>107379.0</v>
      </c>
      <c r="H307" s="5" t="s">
        <v>22</v>
      </c>
      <c r="I307" s="7">
        <f t="shared" si="1"/>
        <v>161068.5</v>
      </c>
      <c r="J307" s="7">
        <f t="shared" si="7"/>
        <v>139592.7</v>
      </c>
      <c r="K307" s="7">
        <f t="shared" si="3"/>
        <v>139592.7</v>
      </c>
      <c r="L307" s="7">
        <f t="shared" si="4"/>
        <v>128854.8</v>
      </c>
      <c r="M307" s="7">
        <f t="shared" si="5"/>
        <v>123485.85</v>
      </c>
      <c r="N307" s="7">
        <f t="shared" si="6"/>
        <v>118116.9</v>
      </c>
    </row>
    <row r="308">
      <c r="A308" s="5" t="s">
        <v>439</v>
      </c>
      <c r="B308" s="5" t="s">
        <v>36</v>
      </c>
      <c r="C308" s="6"/>
      <c r="D308" s="5" t="s">
        <v>621</v>
      </c>
      <c r="E308" s="5" t="s">
        <v>622</v>
      </c>
      <c r="F308" s="6"/>
      <c r="G308" s="8">
        <v>17702.0</v>
      </c>
      <c r="H308" s="5" t="s">
        <v>22</v>
      </c>
      <c r="I308" s="7">
        <f t="shared" si="1"/>
        <v>26553</v>
      </c>
      <c r="J308" s="7">
        <f t="shared" si="7"/>
        <v>23012.6</v>
      </c>
      <c r="K308" s="7">
        <f t="shared" si="3"/>
        <v>23012.6</v>
      </c>
      <c r="L308" s="7">
        <f t="shared" si="4"/>
        <v>21242.4</v>
      </c>
      <c r="M308" s="7">
        <f t="shared" si="5"/>
        <v>20357.3</v>
      </c>
      <c r="N308" s="7">
        <f t="shared" si="6"/>
        <v>19472.2</v>
      </c>
    </row>
    <row r="309">
      <c r="A309" s="5" t="s">
        <v>439</v>
      </c>
      <c r="B309" s="5" t="s">
        <v>36</v>
      </c>
      <c r="C309" s="6"/>
      <c r="D309" s="5" t="s">
        <v>623</v>
      </c>
      <c r="E309" s="5" t="s">
        <v>624</v>
      </c>
      <c r="F309" s="6"/>
      <c r="G309" s="8">
        <v>11613.0</v>
      </c>
      <c r="H309" s="5" t="s">
        <v>22</v>
      </c>
      <c r="I309" s="7">
        <f t="shared" si="1"/>
        <v>17419.5</v>
      </c>
      <c r="J309" s="7">
        <f t="shared" si="7"/>
        <v>15096.9</v>
      </c>
      <c r="K309" s="7">
        <f t="shared" si="3"/>
        <v>15096.9</v>
      </c>
      <c r="L309" s="7">
        <f t="shared" si="4"/>
        <v>13935.6</v>
      </c>
      <c r="M309" s="7">
        <f t="shared" si="5"/>
        <v>13354.95</v>
      </c>
      <c r="N309" s="7">
        <f t="shared" si="6"/>
        <v>12774.3</v>
      </c>
    </row>
    <row r="310">
      <c r="A310" s="5" t="s">
        <v>439</v>
      </c>
      <c r="B310" s="5" t="s">
        <v>36</v>
      </c>
      <c r="C310" s="6"/>
      <c r="D310" s="5" t="s">
        <v>625</v>
      </c>
      <c r="E310" s="5" t="s">
        <v>626</v>
      </c>
      <c r="F310" s="6"/>
      <c r="G310" s="8">
        <v>36130.0</v>
      </c>
      <c r="H310" s="5" t="s">
        <v>22</v>
      </c>
      <c r="I310" s="7">
        <f t="shared" si="1"/>
        <v>54195</v>
      </c>
      <c r="J310" s="7">
        <f t="shared" si="7"/>
        <v>46969</v>
      </c>
      <c r="K310" s="7">
        <f t="shared" si="3"/>
        <v>46969</v>
      </c>
      <c r="L310" s="7">
        <f t="shared" si="4"/>
        <v>43356</v>
      </c>
      <c r="M310" s="7">
        <f t="shared" si="5"/>
        <v>41549.5</v>
      </c>
      <c r="N310" s="7">
        <f t="shared" si="6"/>
        <v>39743</v>
      </c>
    </row>
    <row r="311">
      <c r="A311" s="5" t="s">
        <v>439</v>
      </c>
      <c r="B311" s="5" t="s">
        <v>36</v>
      </c>
      <c r="C311" s="6"/>
      <c r="D311" s="5" t="s">
        <v>627</v>
      </c>
      <c r="E311" s="5" t="s">
        <v>628</v>
      </c>
      <c r="F311" s="6"/>
      <c r="G311" s="8">
        <v>2741.0</v>
      </c>
      <c r="H311" s="5" t="s">
        <v>22</v>
      </c>
      <c r="I311" s="7">
        <f t="shared" si="1"/>
        <v>4111.5</v>
      </c>
      <c r="J311" s="7">
        <f t="shared" si="7"/>
        <v>3563.3</v>
      </c>
      <c r="K311" s="7">
        <f t="shared" si="3"/>
        <v>3563.3</v>
      </c>
      <c r="L311" s="7">
        <f t="shared" si="4"/>
        <v>3289.2</v>
      </c>
      <c r="M311" s="7">
        <f t="shared" si="5"/>
        <v>3152.15</v>
      </c>
      <c r="N311" s="7">
        <f t="shared" si="6"/>
        <v>3015.1</v>
      </c>
    </row>
    <row r="312">
      <c r="A312" s="5" t="s">
        <v>439</v>
      </c>
      <c r="B312" s="5" t="s">
        <v>36</v>
      </c>
      <c r="C312" s="6"/>
      <c r="D312" s="5" t="s">
        <v>629</v>
      </c>
      <c r="E312" s="5" t="s">
        <v>630</v>
      </c>
      <c r="F312" s="6"/>
      <c r="G312" s="8">
        <v>6906.0</v>
      </c>
      <c r="H312" s="5" t="s">
        <v>22</v>
      </c>
      <c r="I312" s="7">
        <f t="shared" si="1"/>
        <v>10359</v>
      </c>
      <c r="J312" s="7">
        <f t="shared" si="7"/>
        <v>8977.8</v>
      </c>
      <c r="K312" s="7">
        <f t="shared" si="3"/>
        <v>8977.8</v>
      </c>
      <c r="L312" s="7">
        <f t="shared" si="4"/>
        <v>8287.2</v>
      </c>
      <c r="M312" s="7">
        <f t="shared" si="5"/>
        <v>7941.9</v>
      </c>
      <c r="N312" s="7">
        <f t="shared" si="6"/>
        <v>7596.6</v>
      </c>
    </row>
    <row r="313">
      <c r="A313" s="5" t="s">
        <v>439</v>
      </c>
      <c r="B313" s="5" t="s">
        <v>36</v>
      </c>
      <c r="C313" s="6"/>
      <c r="D313" s="5" t="s">
        <v>631</v>
      </c>
      <c r="E313" s="5" t="s">
        <v>632</v>
      </c>
      <c r="F313" s="6"/>
      <c r="G313" s="8">
        <v>88908.0</v>
      </c>
      <c r="H313" s="5" t="s">
        <v>22</v>
      </c>
      <c r="I313" s="7">
        <f t="shared" si="1"/>
        <v>133362</v>
      </c>
      <c r="J313" s="7">
        <f t="shared" si="7"/>
        <v>115580.4</v>
      </c>
      <c r="K313" s="7">
        <f t="shared" si="3"/>
        <v>115580.4</v>
      </c>
      <c r="L313" s="7">
        <f t="shared" si="4"/>
        <v>106689.6</v>
      </c>
      <c r="M313" s="7">
        <f t="shared" si="5"/>
        <v>102244.2</v>
      </c>
      <c r="N313" s="7">
        <f t="shared" si="6"/>
        <v>97798.8</v>
      </c>
    </row>
    <row r="314">
      <c r="A314" s="5" t="s">
        <v>439</v>
      </c>
      <c r="B314" s="5" t="s">
        <v>36</v>
      </c>
      <c r="C314" s="6"/>
      <c r="D314" s="5" t="s">
        <v>633</v>
      </c>
      <c r="E314" s="5" t="s">
        <v>634</v>
      </c>
      <c r="F314" s="6"/>
      <c r="G314" s="8">
        <v>22876.0</v>
      </c>
      <c r="H314" s="5" t="s">
        <v>22</v>
      </c>
      <c r="I314" s="7">
        <f t="shared" si="1"/>
        <v>34314</v>
      </c>
      <c r="J314" s="7">
        <f t="shared" si="7"/>
        <v>29738.8</v>
      </c>
      <c r="K314" s="7">
        <f t="shared" si="3"/>
        <v>29738.8</v>
      </c>
      <c r="L314" s="7">
        <f t="shared" si="4"/>
        <v>27451.2</v>
      </c>
      <c r="M314" s="7">
        <f t="shared" si="5"/>
        <v>26307.4</v>
      </c>
      <c r="N314" s="7">
        <f t="shared" si="6"/>
        <v>25163.6</v>
      </c>
    </row>
    <row r="315">
      <c r="A315" s="5" t="s">
        <v>439</v>
      </c>
      <c r="B315" s="5" t="s">
        <v>36</v>
      </c>
      <c r="C315" s="6"/>
      <c r="D315" s="5" t="s">
        <v>635</v>
      </c>
      <c r="E315" s="5" t="s">
        <v>636</v>
      </c>
      <c r="F315" s="6"/>
      <c r="G315" s="8">
        <v>206684.0</v>
      </c>
      <c r="H315" s="5" t="s">
        <v>22</v>
      </c>
      <c r="I315" s="7">
        <f t="shared" si="1"/>
        <v>310026</v>
      </c>
      <c r="J315" s="7">
        <f t="shared" si="7"/>
        <v>268689.2</v>
      </c>
      <c r="K315" s="7">
        <f t="shared" si="3"/>
        <v>268689.2</v>
      </c>
      <c r="L315" s="7">
        <f t="shared" si="4"/>
        <v>248020.8</v>
      </c>
      <c r="M315" s="7">
        <f t="shared" si="5"/>
        <v>237686.6</v>
      </c>
      <c r="N315" s="7">
        <f t="shared" si="6"/>
        <v>227352.4</v>
      </c>
    </row>
    <row r="316">
      <c r="A316" s="5" t="s">
        <v>439</v>
      </c>
      <c r="B316" s="5" t="s">
        <v>36</v>
      </c>
      <c r="C316" s="6"/>
      <c r="D316" s="5" t="s">
        <v>637</v>
      </c>
      <c r="E316" s="5" t="s">
        <v>638</v>
      </c>
      <c r="F316" s="6"/>
      <c r="G316" s="8">
        <v>69187.0</v>
      </c>
      <c r="H316" s="5" t="s">
        <v>22</v>
      </c>
      <c r="I316" s="7">
        <f t="shared" si="1"/>
        <v>103780.5</v>
      </c>
      <c r="J316" s="7">
        <f t="shared" si="7"/>
        <v>89943.1</v>
      </c>
      <c r="K316" s="7">
        <f t="shared" si="3"/>
        <v>89943.1</v>
      </c>
      <c r="L316" s="7">
        <f t="shared" si="4"/>
        <v>83024.4</v>
      </c>
      <c r="M316" s="7">
        <f t="shared" si="5"/>
        <v>79565.05</v>
      </c>
      <c r="N316" s="7">
        <f t="shared" si="6"/>
        <v>76105.7</v>
      </c>
    </row>
    <row r="317">
      <c r="A317" s="5" t="s">
        <v>439</v>
      </c>
      <c r="B317" s="5" t="s">
        <v>36</v>
      </c>
      <c r="C317" s="6"/>
      <c r="D317" s="5" t="s">
        <v>639</v>
      </c>
      <c r="E317" s="5" t="s">
        <v>640</v>
      </c>
      <c r="F317" s="6"/>
      <c r="G317" s="8">
        <v>1478.0</v>
      </c>
      <c r="H317" s="5" t="s">
        <v>22</v>
      </c>
      <c r="I317" s="7">
        <f t="shared" si="1"/>
        <v>2217</v>
      </c>
      <c r="J317" s="7">
        <f t="shared" si="7"/>
        <v>1921.4</v>
      </c>
      <c r="K317" s="7">
        <f t="shared" si="3"/>
        <v>1921.4</v>
      </c>
      <c r="L317" s="7">
        <f t="shared" si="4"/>
        <v>1773.6</v>
      </c>
      <c r="M317" s="7">
        <f t="shared" si="5"/>
        <v>1699.7</v>
      </c>
      <c r="N317" s="7">
        <f t="shared" si="6"/>
        <v>1625.8</v>
      </c>
    </row>
    <row r="318">
      <c r="A318" s="5" t="s">
        <v>439</v>
      </c>
      <c r="B318" s="5" t="s">
        <v>36</v>
      </c>
      <c r="C318" s="6"/>
      <c r="D318" s="5" t="s">
        <v>641</v>
      </c>
      <c r="E318" s="5" t="s">
        <v>642</v>
      </c>
      <c r="F318" s="6"/>
      <c r="G318" s="8">
        <v>115874.0</v>
      </c>
      <c r="H318" s="5" t="s">
        <v>22</v>
      </c>
      <c r="I318" s="7">
        <f t="shared" si="1"/>
        <v>173811</v>
      </c>
      <c r="J318" s="7">
        <f t="shared" si="7"/>
        <v>150636.2</v>
      </c>
      <c r="K318" s="7">
        <f t="shared" si="3"/>
        <v>150636.2</v>
      </c>
      <c r="L318" s="7">
        <f t="shared" si="4"/>
        <v>139048.8</v>
      </c>
      <c r="M318" s="7">
        <f t="shared" si="5"/>
        <v>133255.1</v>
      </c>
      <c r="N318" s="7">
        <f t="shared" si="6"/>
        <v>127461.4</v>
      </c>
    </row>
    <row r="319">
      <c r="A319" s="5" t="s">
        <v>439</v>
      </c>
      <c r="B319" s="5" t="s">
        <v>36</v>
      </c>
      <c r="C319" s="6"/>
      <c r="D319" s="5" t="s">
        <v>643</v>
      </c>
      <c r="E319" s="5" t="s">
        <v>644</v>
      </c>
      <c r="F319" s="6"/>
      <c r="G319" s="8">
        <v>108428.0</v>
      </c>
      <c r="H319" s="5" t="s">
        <v>22</v>
      </c>
      <c r="I319" s="7">
        <f t="shared" si="1"/>
        <v>162642</v>
      </c>
      <c r="J319" s="7">
        <f t="shared" si="7"/>
        <v>140956.4</v>
      </c>
      <c r="K319" s="7">
        <f t="shared" si="3"/>
        <v>140956.4</v>
      </c>
      <c r="L319" s="7">
        <f t="shared" si="4"/>
        <v>130113.6</v>
      </c>
      <c r="M319" s="7">
        <f t="shared" si="5"/>
        <v>124692.2</v>
      </c>
      <c r="N319" s="7">
        <f t="shared" si="6"/>
        <v>119270.8</v>
      </c>
    </row>
    <row r="320">
      <c r="A320" s="5" t="s">
        <v>439</v>
      </c>
      <c r="B320" s="5" t="s">
        <v>36</v>
      </c>
      <c r="C320" s="6"/>
      <c r="D320" s="5" t="s">
        <v>645</v>
      </c>
      <c r="E320" s="5" t="s">
        <v>646</v>
      </c>
      <c r="F320" s="6"/>
      <c r="G320" s="8">
        <v>31870.0</v>
      </c>
      <c r="H320" s="5" t="s">
        <v>22</v>
      </c>
      <c r="I320" s="7">
        <f t="shared" si="1"/>
        <v>47805</v>
      </c>
      <c r="J320" s="7">
        <f t="shared" si="7"/>
        <v>41431</v>
      </c>
      <c r="K320" s="7">
        <f t="shared" si="3"/>
        <v>41431</v>
      </c>
      <c r="L320" s="7">
        <f t="shared" si="4"/>
        <v>38244</v>
      </c>
      <c r="M320" s="7">
        <f t="shared" si="5"/>
        <v>36650.5</v>
      </c>
      <c r="N320" s="7">
        <f t="shared" si="6"/>
        <v>35057</v>
      </c>
    </row>
    <row r="321">
      <c r="A321" s="5" t="s">
        <v>439</v>
      </c>
      <c r="B321" s="5" t="s">
        <v>36</v>
      </c>
      <c r="C321" s="6"/>
      <c r="D321" s="5" t="s">
        <v>647</v>
      </c>
      <c r="E321" s="5" t="s">
        <v>648</v>
      </c>
      <c r="F321" s="6"/>
      <c r="G321" s="8">
        <v>49018.0</v>
      </c>
      <c r="H321" s="5" t="s">
        <v>22</v>
      </c>
      <c r="I321" s="7">
        <f t="shared" si="1"/>
        <v>73527</v>
      </c>
      <c r="J321" s="7">
        <f t="shared" si="7"/>
        <v>63723.4</v>
      </c>
      <c r="K321" s="7">
        <f t="shared" si="3"/>
        <v>63723.4</v>
      </c>
      <c r="L321" s="7">
        <f t="shared" si="4"/>
        <v>58821.6</v>
      </c>
      <c r="M321" s="7">
        <f t="shared" si="5"/>
        <v>56370.7</v>
      </c>
      <c r="N321" s="7">
        <f t="shared" si="6"/>
        <v>53919.8</v>
      </c>
    </row>
    <row r="322">
      <c r="A322" s="5" t="s">
        <v>439</v>
      </c>
      <c r="B322" s="5" t="s">
        <v>36</v>
      </c>
      <c r="C322" s="6"/>
      <c r="D322" s="5" t="s">
        <v>649</v>
      </c>
      <c r="E322" s="5" t="s">
        <v>650</v>
      </c>
      <c r="F322" s="6"/>
      <c r="G322" s="8">
        <v>13948.0</v>
      </c>
      <c r="H322" s="5" t="s">
        <v>22</v>
      </c>
      <c r="I322" s="7">
        <f t="shared" si="1"/>
        <v>20922</v>
      </c>
      <c r="J322" s="7">
        <f t="shared" si="7"/>
        <v>18132.4</v>
      </c>
      <c r="K322" s="7">
        <f t="shared" si="3"/>
        <v>18132.4</v>
      </c>
      <c r="L322" s="7">
        <f t="shared" si="4"/>
        <v>16737.6</v>
      </c>
      <c r="M322" s="7">
        <f t="shared" si="5"/>
        <v>16040.2</v>
      </c>
      <c r="N322" s="7">
        <f t="shared" si="6"/>
        <v>15342.8</v>
      </c>
    </row>
    <row r="323">
      <c r="A323" s="5" t="s">
        <v>439</v>
      </c>
      <c r="B323" s="5" t="s">
        <v>36</v>
      </c>
      <c r="C323" s="6"/>
      <c r="D323" s="5" t="s">
        <v>651</v>
      </c>
      <c r="E323" s="5" t="s">
        <v>652</v>
      </c>
      <c r="F323" s="6"/>
      <c r="G323" s="8">
        <v>4263.0</v>
      </c>
      <c r="H323" s="5" t="s">
        <v>22</v>
      </c>
      <c r="I323" s="7">
        <f t="shared" si="1"/>
        <v>6394.5</v>
      </c>
      <c r="J323" s="7">
        <f t="shared" si="7"/>
        <v>5541.9</v>
      </c>
      <c r="K323" s="7">
        <f t="shared" si="3"/>
        <v>5541.9</v>
      </c>
      <c r="L323" s="7">
        <f t="shared" si="4"/>
        <v>5115.6</v>
      </c>
      <c r="M323" s="7">
        <f t="shared" si="5"/>
        <v>4902.45</v>
      </c>
      <c r="N323" s="7">
        <f t="shared" si="6"/>
        <v>4689.3</v>
      </c>
    </row>
    <row r="324">
      <c r="A324" s="5" t="s">
        <v>439</v>
      </c>
      <c r="B324" s="5" t="s">
        <v>36</v>
      </c>
      <c r="C324" s="6"/>
      <c r="D324" s="5" t="s">
        <v>653</v>
      </c>
      <c r="E324" s="5" t="s">
        <v>654</v>
      </c>
      <c r="F324" s="6"/>
      <c r="G324" s="8">
        <v>5178.0</v>
      </c>
      <c r="H324" s="5" t="s">
        <v>22</v>
      </c>
      <c r="I324" s="7">
        <f t="shared" si="1"/>
        <v>7767</v>
      </c>
      <c r="J324" s="7">
        <f t="shared" si="7"/>
        <v>6731.4</v>
      </c>
      <c r="K324" s="7">
        <f t="shared" si="3"/>
        <v>6731.4</v>
      </c>
      <c r="L324" s="7">
        <f t="shared" si="4"/>
        <v>6213.6</v>
      </c>
      <c r="M324" s="7">
        <f t="shared" si="5"/>
        <v>5954.7</v>
      </c>
      <c r="N324" s="7">
        <f t="shared" si="6"/>
        <v>5695.8</v>
      </c>
    </row>
    <row r="325">
      <c r="A325" s="5" t="s">
        <v>439</v>
      </c>
      <c r="B325" s="5" t="s">
        <v>36</v>
      </c>
      <c r="C325" s="6"/>
      <c r="D325" s="5" t="s">
        <v>655</v>
      </c>
      <c r="E325" s="5" t="s">
        <v>656</v>
      </c>
      <c r="F325" s="6"/>
      <c r="G325" s="6"/>
      <c r="H325" s="5" t="s">
        <v>22</v>
      </c>
      <c r="I325" s="7">
        <f t="shared" si="1"/>
        <v>0</v>
      </c>
      <c r="J325" s="7">
        <f t="shared" si="7"/>
        <v>0</v>
      </c>
      <c r="K325" s="7">
        <f t="shared" si="3"/>
        <v>0</v>
      </c>
      <c r="L325" s="7">
        <f t="shared" si="4"/>
        <v>0</v>
      </c>
      <c r="M325" s="7">
        <f t="shared" si="5"/>
        <v>0</v>
      </c>
      <c r="N325" s="7">
        <f t="shared" si="6"/>
        <v>0</v>
      </c>
    </row>
    <row r="326">
      <c r="A326" s="5" t="s">
        <v>439</v>
      </c>
      <c r="B326" s="5" t="s">
        <v>36</v>
      </c>
      <c r="C326" s="6"/>
      <c r="D326" s="5" t="s">
        <v>657</v>
      </c>
      <c r="E326" s="5" t="s">
        <v>658</v>
      </c>
      <c r="F326" s="6"/>
      <c r="G326" s="8">
        <v>6401.0</v>
      </c>
      <c r="H326" s="5" t="s">
        <v>22</v>
      </c>
      <c r="I326" s="7">
        <f t="shared" si="1"/>
        <v>9601.5</v>
      </c>
      <c r="J326" s="7">
        <f t="shared" si="7"/>
        <v>8321.3</v>
      </c>
      <c r="K326" s="7">
        <f t="shared" si="3"/>
        <v>8321.3</v>
      </c>
      <c r="L326" s="7">
        <f t="shared" si="4"/>
        <v>7681.2</v>
      </c>
      <c r="M326" s="7">
        <f t="shared" si="5"/>
        <v>7361.15</v>
      </c>
      <c r="N326" s="7">
        <f t="shared" si="6"/>
        <v>7041.1</v>
      </c>
    </row>
    <row r="327">
      <c r="A327" s="5" t="s">
        <v>439</v>
      </c>
      <c r="B327" s="5" t="s">
        <v>36</v>
      </c>
      <c r="C327" s="6"/>
      <c r="D327" s="5" t="s">
        <v>659</v>
      </c>
      <c r="E327" s="5" t="s">
        <v>660</v>
      </c>
      <c r="F327" s="6"/>
      <c r="G327" s="8">
        <v>9100.0</v>
      </c>
      <c r="H327" s="5" t="s">
        <v>22</v>
      </c>
      <c r="I327" s="7">
        <f t="shared" si="1"/>
        <v>13650</v>
      </c>
      <c r="J327" s="7">
        <f t="shared" si="7"/>
        <v>11830</v>
      </c>
      <c r="K327" s="7">
        <f t="shared" si="3"/>
        <v>11830</v>
      </c>
      <c r="L327" s="7">
        <f t="shared" si="4"/>
        <v>10920</v>
      </c>
      <c r="M327" s="7">
        <f t="shared" si="5"/>
        <v>10465</v>
      </c>
      <c r="N327" s="7">
        <f t="shared" si="6"/>
        <v>10010</v>
      </c>
    </row>
    <row r="328">
      <c r="A328" s="5" t="s">
        <v>439</v>
      </c>
      <c r="B328" s="5" t="s">
        <v>36</v>
      </c>
      <c r="C328" s="6"/>
      <c r="D328" s="5" t="s">
        <v>661</v>
      </c>
      <c r="E328" s="5" t="s">
        <v>662</v>
      </c>
      <c r="F328" s="6"/>
      <c r="G328" s="8">
        <v>3973.0</v>
      </c>
      <c r="H328" s="5" t="s">
        <v>22</v>
      </c>
      <c r="I328" s="7">
        <f t="shared" si="1"/>
        <v>5959.5</v>
      </c>
      <c r="J328" s="7">
        <f t="shared" si="7"/>
        <v>5164.9</v>
      </c>
      <c r="K328" s="7">
        <f t="shared" si="3"/>
        <v>5164.9</v>
      </c>
      <c r="L328" s="7">
        <f t="shared" si="4"/>
        <v>4767.6</v>
      </c>
      <c r="M328" s="7">
        <f t="shared" si="5"/>
        <v>4568.95</v>
      </c>
      <c r="N328" s="7">
        <f t="shared" si="6"/>
        <v>4370.3</v>
      </c>
    </row>
    <row r="329">
      <c r="A329" s="5" t="s">
        <v>439</v>
      </c>
      <c r="B329" s="5" t="s">
        <v>36</v>
      </c>
      <c r="C329" s="6"/>
      <c r="D329" s="5" t="s">
        <v>663</v>
      </c>
      <c r="E329" s="5" t="s">
        <v>664</v>
      </c>
      <c r="F329" s="6"/>
      <c r="G329" s="8">
        <v>4882.0</v>
      </c>
      <c r="H329" s="5" t="s">
        <v>22</v>
      </c>
      <c r="I329" s="7">
        <f t="shared" si="1"/>
        <v>7323</v>
      </c>
      <c r="J329" s="7">
        <f t="shared" si="7"/>
        <v>6346.6</v>
      </c>
      <c r="K329" s="7">
        <f t="shared" si="3"/>
        <v>6346.6</v>
      </c>
      <c r="L329" s="7">
        <f t="shared" si="4"/>
        <v>5858.4</v>
      </c>
      <c r="M329" s="7">
        <f t="shared" si="5"/>
        <v>5614.3</v>
      </c>
      <c r="N329" s="7">
        <f t="shared" si="6"/>
        <v>5370.2</v>
      </c>
    </row>
    <row r="330">
      <c r="A330" s="5" t="s">
        <v>439</v>
      </c>
      <c r="B330" s="5" t="s">
        <v>36</v>
      </c>
      <c r="C330" s="6"/>
      <c r="D330" s="5" t="s">
        <v>665</v>
      </c>
      <c r="E330" s="5" t="s">
        <v>666</v>
      </c>
      <c r="F330" s="6"/>
      <c r="G330" s="8">
        <v>6246.0</v>
      </c>
      <c r="H330" s="5" t="s">
        <v>22</v>
      </c>
      <c r="I330" s="7">
        <f t="shared" si="1"/>
        <v>9369</v>
      </c>
      <c r="J330" s="7">
        <f t="shared" si="7"/>
        <v>8119.8</v>
      </c>
      <c r="K330" s="7">
        <f t="shared" si="3"/>
        <v>8119.8</v>
      </c>
      <c r="L330" s="7">
        <f t="shared" si="4"/>
        <v>7495.2</v>
      </c>
      <c r="M330" s="7">
        <f t="shared" si="5"/>
        <v>7182.9</v>
      </c>
      <c r="N330" s="7">
        <f t="shared" si="6"/>
        <v>6870.6</v>
      </c>
    </row>
    <row r="331">
      <c r="A331" s="5" t="s">
        <v>439</v>
      </c>
      <c r="B331" s="5" t="s">
        <v>36</v>
      </c>
      <c r="C331" s="6"/>
      <c r="D331" s="5" t="s">
        <v>667</v>
      </c>
      <c r="E331" s="5" t="s">
        <v>668</v>
      </c>
      <c r="F331" s="6"/>
      <c r="G331" s="8">
        <v>8100.0</v>
      </c>
      <c r="H331" s="5" t="s">
        <v>22</v>
      </c>
      <c r="I331" s="7">
        <f t="shared" si="1"/>
        <v>12150</v>
      </c>
      <c r="J331" s="7">
        <f t="shared" si="7"/>
        <v>10530</v>
      </c>
      <c r="K331" s="7">
        <f t="shared" si="3"/>
        <v>10530</v>
      </c>
      <c r="L331" s="7">
        <f t="shared" si="4"/>
        <v>9720</v>
      </c>
      <c r="M331" s="7">
        <f t="shared" si="5"/>
        <v>9315</v>
      </c>
      <c r="N331" s="7">
        <f t="shared" si="6"/>
        <v>8910</v>
      </c>
    </row>
    <row r="332">
      <c r="A332" s="5" t="s">
        <v>439</v>
      </c>
      <c r="B332" s="5" t="s">
        <v>36</v>
      </c>
      <c r="C332" s="6"/>
      <c r="D332" s="5" t="s">
        <v>669</v>
      </c>
      <c r="E332" s="5" t="s">
        <v>670</v>
      </c>
      <c r="F332" s="6"/>
      <c r="G332" s="8">
        <v>141921.0</v>
      </c>
      <c r="H332" s="5" t="s">
        <v>22</v>
      </c>
      <c r="I332" s="7">
        <f t="shared" si="1"/>
        <v>212881.5</v>
      </c>
      <c r="J332" s="7">
        <f t="shared" si="7"/>
        <v>184497.3</v>
      </c>
      <c r="K332" s="7">
        <f t="shared" si="3"/>
        <v>184497.3</v>
      </c>
      <c r="L332" s="7">
        <f t="shared" si="4"/>
        <v>170305.2</v>
      </c>
      <c r="M332" s="7">
        <f t="shared" si="5"/>
        <v>163209.15</v>
      </c>
      <c r="N332" s="7">
        <f t="shared" si="6"/>
        <v>156113.1</v>
      </c>
    </row>
    <row r="333">
      <c r="A333" s="5" t="s">
        <v>439</v>
      </c>
      <c r="B333" s="5" t="s">
        <v>36</v>
      </c>
      <c r="C333" s="6"/>
      <c r="D333" s="5" t="s">
        <v>671</v>
      </c>
      <c r="E333" s="5" t="s">
        <v>672</v>
      </c>
      <c r="F333" s="6"/>
      <c r="G333" s="5">
        <v>698.0</v>
      </c>
      <c r="H333" s="5" t="s">
        <v>22</v>
      </c>
      <c r="I333" s="7">
        <f t="shared" si="1"/>
        <v>1047</v>
      </c>
      <c r="J333" s="7">
        <f t="shared" si="7"/>
        <v>907.4</v>
      </c>
      <c r="K333" s="7">
        <f t="shared" si="3"/>
        <v>907.4</v>
      </c>
      <c r="L333" s="7">
        <f t="shared" si="4"/>
        <v>837.6</v>
      </c>
      <c r="M333" s="7">
        <f t="shared" si="5"/>
        <v>802.7</v>
      </c>
      <c r="N333" s="7">
        <f t="shared" si="6"/>
        <v>767.8</v>
      </c>
    </row>
    <row r="334">
      <c r="A334" s="5" t="s">
        <v>439</v>
      </c>
      <c r="B334" s="5" t="s">
        <v>36</v>
      </c>
      <c r="C334" s="6"/>
      <c r="D334" s="5" t="s">
        <v>673</v>
      </c>
      <c r="E334" s="5" t="s">
        <v>674</v>
      </c>
      <c r="F334" s="6"/>
      <c r="G334" s="5">
        <v>547.0</v>
      </c>
      <c r="H334" s="5" t="s">
        <v>22</v>
      </c>
      <c r="I334" s="7">
        <f t="shared" si="1"/>
        <v>820.5</v>
      </c>
      <c r="J334" s="7">
        <f t="shared" si="7"/>
        <v>711.1</v>
      </c>
      <c r="K334" s="7">
        <f t="shared" si="3"/>
        <v>711.1</v>
      </c>
      <c r="L334" s="7">
        <f t="shared" si="4"/>
        <v>656.4</v>
      </c>
      <c r="M334" s="7">
        <f t="shared" si="5"/>
        <v>629.05</v>
      </c>
      <c r="N334" s="7">
        <f t="shared" si="6"/>
        <v>601.7</v>
      </c>
    </row>
    <row r="335">
      <c r="A335" s="5" t="s">
        <v>439</v>
      </c>
      <c r="B335" s="5" t="s">
        <v>36</v>
      </c>
      <c r="C335" s="6"/>
      <c r="D335" s="5" t="s">
        <v>675</v>
      </c>
      <c r="E335" s="5" t="s">
        <v>676</v>
      </c>
      <c r="F335" s="6"/>
      <c r="G335" s="8">
        <v>36130.0</v>
      </c>
      <c r="H335" s="5" t="s">
        <v>22</v>
      </c>
      <c r="I335" s="7">
        <f t="shared" si="1"/>
        <v>54195</v>
      </c>
      <c r="J335" s="7">
        <f t="shared" si="7"/>
        <v>46969</v>
      </c>
      <c r="K335" s="7">
        <f t="shared" si="3"/>
        <v>46969</v>
      </c>
      <c r="L335" s="7">
        <f t="shared" si="4"/>
        <v>43356</v>
      </c>
      <c r="M335" s="7">
        <f t="shared" si="5"/>
        <v>41549.5</v>
      </c>
      <c r="N335" s="7">
        <f t="shared" si="6"/>
        <v>39743</v>
      </c>
    </row>
    <row r="336">
      <c r="A336" s="5" t="s">
        <v>439</v>
      </c>
      <c r="B336" s="5" t="s">
        <v>36</v>
      </c>
      <c r="C336" s="6"/>
      <c r="D336" s="5" t="s">
        <v>677</v>
      </c>
      <c r="E336" s="5" t="s">
        <v>678</v>
      </c>
      <c r="F336" s="6"/>
      <c r="G336" s="8">
        <v>43249.0</v>
      </c>
      <c r="H336" s="5" t="s">
        <v>22</v>
      </c>
      <c r="I336" s="7">
        <f t="shared" si="1"/>
        <v>64873.5</v>
      </c>
      <c r="J336" s="7">
        <f t="shared" si="7"/>
        <v>56223.7</v>
      </c>
      <c r="K336" s="7">
        <f t="shared" si="3"/>
        <v>56223.7</v>
      </c>
      <c r="L336" s="7">
        <f t="shared" si="4"/>
        <v>51898.8</v>
      </c>
      <c r="M336" s="7">
        <f t="shared" si="5"/>
        <v>49736.35</v>
      </c>
      <c r="N336" s="7">
        <f t="shared" si="6"/>
        <v>47573.9</v>
      </c>
    </row>
    <row r="337">
      <c r="A337" s="5" t="s">
        <v>439</v>
      </c>
      <c r="B337" s="5" t="s">
        <v>36</v>
      </c>
      <c r="C337" s="6"/>
      <c r="D337" s="5" t="s">
        <v>679</v>
      </c>
      <c r="E337" s="5" t="s">
        <v>680</v>
      </c>
      <c r="F337" s="6"/>
      <c r="G337" s="8">
        <v>89271.0</v>
      </c>
      <c r="H337" s="5" t="s">
        <v>22</v>
      </c>
      <c r="I337" s="7">
        <f t="shared" si="1"/>
        <v>133906.5</v>
      </c>
      <c r="J337" s="7">
        <f t="shared" si="7"/>
        <v>116052.3</v>
      </c>
      <c r="K337" s="7">
        <f t="shared" si="3"/>
        <v>116052.3</v>
      </c>
      <c r="L337" s="7">
        <f t="shared" si="4"/>
        <v>107125.2</v>
      </c>
      <c r="M337" s="7">
        <f t="shared" si="5"/>
        <v>102661.65</v>
      </c>
      <c r="N337" s="7">
        <f t="shared" si="6"/>
        <v>98198.1</v>
      </c>
    </row>
    <row r="338">
      <c r="A338" s="5" t="s">
        <v>439</v>
      </c>
      <c r="B338" s="6"/>
      <c r="C338" s="6"/>
      <c r="D338" s="5" t="s">
        <v>681</v>
      </c>
      <c r="E338" s="5" t="s">
        <v>682</v>
      </c>
      <c r="F338" s="6"/>
      <c r="G338" s="8">
        <v>3172.0</v>
      </c>
      <c r="H338" s="5" t="s">
        <v>22</v>
      </c>
      <c r="I338" s="7">
        <f t="shared" si="1"/>
        <v>4758</v>
      </c>
      <c r="J338" s="7">
        <f t="shared" si="7"/>
        <v>4123.6</v>
      </c>
      <c r="K338" s="7">
        <f t="shared" si="3"/>
        <v>4123.6</v>
      </c>
      <c r="L338" s="7">
        <f t="shared" si="4"/>
        <v>3806.4</v>
      </c>
      <c r="M338" s="7">
        <f t="shared" si="5"/>
        <v>3647.8</v>
      </c>
      <c r="N338" s="7">
        <f t="shared" si="6"/>
        <v>3489.2</v>
      </c>
    </row>
    <row r="339">
      <c r="A339" s="5" t="s">
        <v>439</v>
      </c>
      <c r="B339" s="6"/>
      <c r="C339" s="6"/>
      <c r="D339" s="5" t="s">
        <v>683</v>
      </c>
      <c r="E339" s="5" t="s">
        <v>684</v>
      </c>
      <c r="F339" s="6"/>
      <c r="G339" s="8">
        <v>25345.0</v>
      </c>
      <c r="H339" s="5" t="s">
        <v>22</v>
      </c>
      <c r="I339" s="7">
        <f t="shared" si="1"/>
        <v>38017.5</v>
      </c>
      <c r="J339" s="7">
        <f t="shared" si="7"/>
        <v>32948.5</v>
      </c>
      <c r="K339" s="7">
        <f t="shared" si="3"/>
        <v>32948.5</v>
      </c>
      <c r="L339" s="7">
        <f t="shared" si="4"/>
        <v>30414</v>
      </c>
      <c r="M339" s="7">
        <f t="shared" si="5"/>
        <v>29146.75</v>
      </c>
      <c r="N339" s="7">
        <f t="shared" si="6"/>
        <v>27879.5</v>
      </c>
    </row>
    <row r="340">
      <c r="A340" s="5" t="s">
        <v>439</v>
      </c>
      <c r="B340" s="6"/>
      <c r="C340" s="6"/>
      <c r="D340" s="5" t="s">
        <v>685</v>
      </c>
      <c r="E340" s="5" t="s">
        <v>686</v>
      </c>
      <c r="F340" s="6"/>
      <c r="G340" s="8">
        <v>34480.0</v>
      </c>
      <c r="H340" s="5" t="s">
        <v>22</v>
      </c>
      <c r="I340" s="7">
        <f t="shared" si="1"/>
        <v>51720</v>
      </c>
      <c r="J340" s="7">
        <f t="shared" si="7"/>
        <v>44824</v>
      </c>
      <c r="K340" s="7">
        <f t="shared" si="3"/>
        <v>44824</v>
      </c>
      <c r="L340" s="7">
        <f t="shared" si="4"/>
        <v>41376</v>
      </c>
      <c r="M340" s="7">
        <f t="shared" si="5"/>
        <v>39652</v>
      </c>
      <c r="N340" s="7">
        <f t="shared" si="6"/>
        <v>37928</v>
      </c>
    </row>
    <row r="341">
      <c r="A341" s="5" t="s">
        <v>439</v>
      </c>
      <c r="B341" s="6"/>
      <c r="C341" s="6"/>
      <c r="D341" s="5" t="s">
        <v>687</v>
      </c>
      <c r="E341" s="5" t="s">
        <v>688</v>
      </c>
      <c r="F341" s="6"/>
      <c r="G341" s="5">
        <v>442.0</v>
      </c>
      <c r="H341" s="5" t="s">
        <v>22</v>
      </c>
      <c r="I341" s="7">
        <f t="shared" si="1"/>
        <v>663</v>
      </c>
      <c r="J341" s="7">
        <f t="shared" si="7"/>
        <v>574.6</v>
      </c>
      <c r="K341" s="7">
        <f t="shared" si="3"/>
        <v>574.6</v>
      </c>
      <c r="L341" s="7">
        <f t="shared" si="4"/>
        <v>530.4</v>
      </c>
      <c r="M341" s="7">
        <f t="shared" si="5"/>
        <v>508.3</v>
      </c>
      <c r="N341" s="7">
        <f t="shared" si="6"/>
        <v>486.2</v>
      </c>
    </row>
    <row r="342">
      <c r="A342" s="5" t="s">
        <v>439</v>
      </c>
      <c r="B342" s="6"/>
      <c r="C342" s="6"/>
      <c r="D342" s="5" t="s">
        <v>689</v>
      </c>
      <c r="E342" s="5" t="s">
        <v>690</v>
      </c>
      <c r="F342" s="6"/>
      <c r="G342" s="8">
        <v>6264.0</v>
      </c>
      <c r="H342" s="5" t="s">
        <v>22</v>
      </c>
      <c r="I342" s="7">
        <f t="shared" si="1"/>
        <v>9396</v>
      </c>
      <c r="J342" s="7">
        <f t="shared" si="7"/>
        <v>8143.2</v>
      </c>
      <c r="K342" s="7">
        <f t="shared" si="3"/>
        <v>8143.2</v>
      </c>
      <c r="L342" s="7">
        <f t="shared" si="4"/>
        <v>7516.8</v>
      </c>
      <c r="M342" s="7">
        <f t="shared" si="5"/>
        <v>7203.6</v>
      </c>
      <c r="N342" s="7">
        <f t="shared" si="6"/>
        <v>6890.4</v>
      </c>
    </row>
    <row r="343">
      <c r="A343" s="5" t="s">
        <v>439</v>
      </c>
      <c r="B343" s="6"/>
      <c r="C343" s="6"/>
      <c r="D343" s="5" t="s">
        <v>691</v>
      </c>
      <c r="E343" s="5" t="s">
        <v>692</v>
      </c>
      <c r="F343" s="6"/>
      <c r="G343" s="8">
        <v>6044.0</v>
      </c>
      <c r="H343" s="5" t="s">
        <v>22</v>
      </c>
      <c r="I343" s="7">
        <f t="shared" si="1"/>
        <v>9066</v>
      </c>
      <c r="J343" s="7">
        <f t="shared" si="7"/>
        <v>7857.2</v>
      </c>
      <c r="K343" s="7">
        <f t="shared" si="3"/>
        <v>7857.2</v>
      </c>
      <c r="L343" s="7">
        <f t="shared" si="4"/>
        <v>7252.8</v>
      </c>
      <c r="M343" s="7">
        <f t="shared" si="5"/>
        <v>6950.6</v>
      </c>
      <c r="N343" s="7">
        <f t="shared" si="6"/>
        <v>6648.4</v>
      </c>
    </row>
    <row r="344">
      <c r="A344" s="5" t="s">
        <v>439</v>
      </c>
      <c r="B344" s="6"/>
      <c r="C344" s="6"/>
      <c r="D344" s="5" t="s">
        <v>693</v>
      </c>
      <c r="E344" s="5" t="s">
        <v>694</v>
      </c>
      <c r="F344" s="6"/>
      <c r="G344" s="8">
        <v>27113.0</v>
      </c>
      <c r="H344" s="5" t="s">
        <v>22</v>
      </c>
      <c r="I344" s="7">
        <f t="shared" si="1"/>
        <v>40669.5</v>
      </c>
      <c r="J344" s="7">
        <f t="shared" si="7"/>
        <v>35246.9</v>
      </c>
      <c r="K344" s="7">
        <f t="shared" si="3"/>
        <v>35246.9</v>
      </c>
      <c r="L344" s="7">
        <f t="shared" si="4"/>
        <v>32535.6</v>
      </c>
      <c r="M344" s="7">
        <f t="shared" si="5"/>
        <v>31179.95</v>
      </c>
      <c r="N344" s="7">
        <f t="shared" si="6"/>
        <v>29824.3</v>
      </c>
    </row>
    <row r="345">
      <c r="A345" s="5" t="s">
        <v>439</v>
      </c>
      <c r="B345" s="6"/>
      <c r="C345" s="6"/>
      <c r="D345" s="5" t="s">
        <v>695</v>
      </c>
      <c r="E345" s="5" t="s">
        <v>696</v>
      </c>
      <c r="F345" s="6"/>
      <c r="G345" s="8">
        <v>15141.0</v>
      </c>
      <c r="H345" s="5" t="s">
        <v>22</v>
      </c>
      <c r="I345" s="7">
        <f t="shared" si="1"/>
        <v>22711.5</v>
      </c>
      <c r="J345" s="7">
        <f t="shared" si="7"/>
        <v>19683.3</v>
      </c>
      <c r="K345" s="7">
        <f t="shared" si="3"/>
        <v>19683.3</v>
      </c>
      <c r="L345" s="7">
        <f t="shared" si="4"/>
        <v>18169.2</v>
      </c>
      <c r="M345" s="7">
        <f t="shared" si="5"/>
        <v>17412.15</v>
      </c>
      <c r="N345" s="7">
        <f t="shared" si="6"/>
        <v>16655.1</v>
      </c>
    </row>
    <row r="346">
      <c r="A346" s="5" t="s">
        <v>439</v>
      </c>
      <c r="B346" s="6"/>
      <c r="C346" s="6"/>
      <c r="D346" s="5" t="s">
        <v>697</v>
      </c>
      <c r="E346" s="5" t="s">
        <v>698</v>
      </c>
      <c r="F346" s="6"/>
      <c r="G346" s="8">
        <v>41139.0</v>
      </c>
      <c r="H346" s="5" t="s">
        <v>22</v>
      </c>
      <c r="I346" s="7">
        <f t="shared" si="1"/>
        <v>61708.5</v>
      </c>
      <c r="J346" s="7">
        <f t="shared" si="7"/>
        <v>53480.7</v>
      </c>
      <c r="K346" s="7">
        <f t="shared" si="3"/>
        <v>53480.7</v>
      </c>
      <c r="L346" s="7">
        <f t="shared" si="4"/>
        <v>49366.8</v>
      </c>
      <c r="M346" s="7">
        <f t="shared" si="5"/>
        <v>47309.85</v>
      </c>
      <c r="N346" s="7">
        <f t="shared" si="6"/>
        <v>45252.9</v>
      </c>
    </row>
    <row r="347">
      <c r="A347" s="5" t="s">
        <v>439</v>
      </c>
      <c r="B347" s="6"/>
      <c r="C347" s="6"/>
      <c r="D347" s="5" t="s">
        <v>699</v>
      </c>
      <c r="E347" s="5" t="s">
        <v>700</v>
      </c>
      <c r="F347" s="5" t="s">
        <v>701</v>
      </c>
      <c r="G347" s="8">
        <v>36396.0</v>
      </c>
      <c r="H347" s="5" t="s">
        <v>22</v>
      </c>
      <c r="I347" s="7">
        <f t="shared" si="1"/>
        <v>54594</v>
      </c>
      <c r="J347" s="7">
        <f t="shared" si="7"/>
        <v>47314.8</v>
      </c>
      <c r="K347" s="7">
        <f t="shared" si="3"/>
        <v>47314.8</v>
      </c>
      <c r="L347" s="7">
        <f t="shared" si="4"/>
        <v>43675.2</v>
      </c>
      <c r="M347" s="7">
        <f t="shared" si="5"/>
        <v>41855.4</v>
      </c>
      <c r="N347" s="7">
        <f t="shared" si="6"/>
        <v>40035.6</v>
      </c>
    </row>
    <row r="348">
      <c r="A348" s="5" t="s">
        <v>439</v>
      </c>
      <c r="B348" s="6"/>
      <c r="C348" s="6"/>
      <c r="D348" s="5" t="s">
        <v>702</v>
      </c>
      <c r="E348" s="5" t="s">
        <v>701</v>
      </c>
      <c r="F348" s="6"/>
      <c r="G348" s="8">
        <v>32740.0</v>
      </c>
      <c r="H348" s="5" t="s">
        <v>22</v>
      </c>
      <c r="I348" s="7">
        <f t="shared" si="1"/>
        <v>49110</v>
      </c>
      <c r="J348" s="7">
        <f t="shared" si="7"/>
        <v>42562</v>
      </c>
      <c r="K348" s="7">
        <f t="shared" si="3"/>
        <v>42562</v>
      </c>
      <c r="L348" s="7">
        <f t="shared" si="4"/>
        <v>39288</v>
      </c>
      <c r="M348" s="7">
        <f t="shared" si="5"/>
        <v>37651</v>
      </c>
      <c r="N348" s="7">
        <f t="shared" si="6"/>
        <v>36014</v>
      </c>
    </row>
    <row r="349">
      <c r="A349" s="5" t="s">
        <v>439</v>
      </c>
      <c r="B349" s="6"/>
      <c r="C349" s="6"/>
      <c r="D349" s="5" t="s">
        <v>703</v>
      </c>
      <c r="E349" s="5" t="s">
        <v>704</v>
      </c>
      <c r="F349" s="5" t="s">
        <v>705</v>
      </c>
      <c r="G349" s="8">
        <v>70163.0</v>
      </c>
      <c r="H349" s="5" t="s">
        <v>22</v>
      </c>
      <c r="I349" s="7">
        <f t="shared" si="1"/>
        <v>105244.5</v>
      </c>
      <c r="J349" s="7">
        <f t="shared" si="7"/>
        <v>91211.9</v>
      </c>
      <c r="K349" s="7">
        <f t="shared" si="3"/>
        <v>91211.9</v>
      </c>
      <c r="L349" s="7">
        <f t="shared" si="4"/>
        <v>84195.6</v>
      </c>
      <c r="M349" s="7">
        <f t="shared" si="5"/>
        <v>80687.45</v>
      </c>
      <c r="N349" s="7">
        <f t="shared" si="6"/>
        <v>77179.3</v>
      </c>
    </row>
    <row r="350">
      <c r="A350" s="5" t="s">
        <v>439</v>
      </c>
      <c r="B350" s="6"/>
      <c r="C350" s="6"/>
      <c r="D350" s="5" t="s">
        <v>706</v>
      </c>
      <c r="E350" s="5" t="s">
        <v>707</v>
      </c>
      <c r="F350" s="6"/>
      <c r="G350" s="8">
        <v>66586.0</v>
      </c>
      <c r="H350" s="5" t="s">
        <v>22</v>
      </c>
      <c r="I350" s="7">
        <f t="shared" si="1"/>
        <v>99879</v>
      </c>
      <c r="J350" s="7">
        <f t="shared" si="7"/>
        <v>86561.8</v>
      </c>
      <c r="K350" s="7">
        <f t="shared" si="3"/>
        <v>86561.8</v>
      </c>
      <c r="L350" s="7">
        <f t="shared" si="4"/>
        <v>79903.2</v>
      </c>
      <c r="M350" s="7">
        <f t="shared" si="5"/>
        <v>76573.9</v>
      </c>
      <c r="N350" s="7">
        <f t="shared" si="6"/>
        <v>73244.6</v>
      </c>
    </row>
    <row r="351">
      <c r="A351" s="5" t="s">
        <v>439</v>
      </c>
      <c r="B351" s="6"/>
      <c r="C351" s="6"/>
      <c r="D351" s="5" t="s">
        <v>708</v>
      </c>
      <c r="E351" s="5" t="s">
        <v>709</v>
      </c>
      <c r="F351" s="6"/>
      <c r="G351" s="8">
        <v>14261.0</v>
      </c>
      <c r="H351" s="5" t="s">
        <v>22</v>
      </c>
      <c r="I351" s="7">
        <f t="shared" si="1"/>
        <v>21391.5</v>
      </c>
      <c r="J351" s="7">
        <f t="shared" si="7"/>
        <v>18539.3</v>
      </c>
      <c r="K351" s="7">
        <f t="shared" si="3"/>
        <v>18539.3</v>
      </c>
      <c r="L351" s="7">
        <f t="shared" si="4"/>
        <v>17113.2</v>
      </c>
      <c r="M351" s="7">
        <f t="shared" si="5"/>
        <v>16400.15</v>
      </c>
      <c r="N351" s="7">
        <f t="shared" si="6"/>
        <v>15687.1</v>
      </c>
    </row>
    <row r="352">
      <c r="A352" s="5" t="s">
        <v>439</v>
      </c>
      <c r="B352" s="6"/>
      <c r="C352" s="6"/>
      <c r="D352" s="5" t="s">
        <v>710</v>
      </c>
      <c r="E352" s="5" t="s">
        <v>711</v>
      </c>
      <c r="F352" s="6"/>
      <c r="G352" s="8">
        <v>7036.0</v>
      </c>
      <c r="H352" s="5" t="s">
        <v>22</v>
      </c>
      <c r="I352" s="7">
        <f t="shared" si="1"/>
        <v>10554</v>
      </c>
      <c r="J352" s="7">
        <f t="shared" si="7"/>
        <v>9146.8</v>
      </c>
      <c r="K352" s="7">
        <f t="shared" si="3"/>
        <v>9146.8</v>
      </c>
      <c r="L352" s="7">
        <f t="shared" si="4"/>
        <v>8443.2</v>
      </c>
      <c r="M352" s="7">
        <f t="shared" si="5"/>
        <v>8091.4</v>
      </c>
      <c r="N352" s="7">
        <f t="shared" si="6"/>
        <v>7739.6</v>
      </c>
    </row>
    <row r="353">
      <c r="A353" s="5" t="s">
        <v>439</v>
      </c>
      <c r="B353" s="6"/>
      <c r="C353" s="6"/>
      <c r="D353" s="5" t="s">
        <v>712</v>
      </c>
      <c r="E353" s="5" t="s">
        <v>713</v>
      </c>
      <c r="F353" s="6"/>
      <c r="G353" s="8">
        <v>66217.0</v>
      </c>
      <c r="H353" s="5" t="s">
        <v>22</v>
      </c>
      <c r="I353" s="7">
        <f t="shared" si="1"/>
        <v>99325.5</v>
      </c>
      <c r="J353" s="7">
        <f t="shared" si="7"/>
        <v>86082.1</v>
      </c>
      <c r="K353" s="7">
        <f t="shared" si="3"/>
        <v>86082.1</v>
      </c>
      <c r="L353" s="7">
        <f t="shared" si="4"/>
        <v>79460.4</v>
      </c>
      <c r="M353" s="7">
        <f t="shared" si="5"/>
        <v>76149.55</v>
      </c>
      <c r="N353" s="7">
        <f t="shared" si="6"/>
        <v>72838.7</v>
      </c>
    </row>
    <row r="354">
      <c r="A354" s="5" t="s">
        <v>439</v>
      </c>
      <c r="B354" s="6"/>
      <c r="C354" s="6"/>
      <c r="D354" s="5" t="s">
        <v>714</v>
      </c>
      <c r="E354" s="5" t="s">
        <v>715</v>
      </c>
      <c r="F354" s="6"/>
      <c r="G354" s="8">
        <v>18787.0</v>
      </c>
      <c r="H354" s="5" t="s">
        <v>22</v>
      </c>
      <c r="I354" s="7">
        <f t="shared" si="1"/>
        <v>28180.5</v>
      </c>
      <c r="J354" s="7">
        <f t="shared" si="7"/>
        <v>24423.1</v>
      </c>
      <c r="K354" s="7">
        <f t="shared" si="3"/>
        <v>24423.1</v>
      </c>
      <c r="L354" s="7">
        <f t="shared" si="4"/>
        <v>22544.4</v>
      </c>
      <c r="M354" s="7">
        <f t="shared" si="5"/>
        <v>21605.05</v>
      </c>
      <c r="N354" s="7">
        <f t="shared" si="6"/>
        <v>20665.7</v>
      </c>
    </row>
    <row r="355">
      <c r="A355" s="5" t="s">
        <v>439</v>
      </c>
      <c r="B355" s="5" t="s">
        <v>436</v>
      </c>
      <c r="C355" s="6"/>
      <c r="D355" s="6"/>
      <c r="E355" s="5" t="s">
        <v>716</v>
      </c>
      <c r="F355" s="5" t="s">
        <v>717</v>
      </c>
      <c r="G355" s="5">
        <v>360.0</v>
      </c>
      <c r="H355" s="5" t="s">
        <v>22</v>
      </c>
      <c r="I355" s="7">
        <f t="shared" si="1"/>
        <v>540</v>
      </c>
      <c r="J355" s="7">
        <f t="shared" si="7"/>
        <v>468</v>
      </c>
      <c r="K355" s="7">
        <f t="shared" si="3"/>
        <v>468</v>
      </c>
      <c r="L355" s="7">
        <f t="shared" si="4"/>
        <v>432</v>
      </c>
      <c r="M355" s="7">
        <f t="shared" si="5"/>
        <v>414</v>
      </c>
      <c r="N355" s="7">
        <f t="shared" si="6"/>
        <v>396</v>
      </c>
    </row>
    <row r="356">
      <c r="A356" s="5" t="s">
        <v>439</v>
      </c>
      <c r="B356" s="5" t="s">
        <v>36</v>
      </c>
      <c r="C356" s="6"/>
      <c r="D356" s="5" t="s">
        <v>185</v>
      </c>
      <c r="E356" s="5" t="s">
        <v>718</v>
      </c>
      <c r="F356" s="6"/>
      <c r="G356" s="8">
        <v>18547.0</v>
      </c>
      <c r="H356" s="5" t="s">
        <v>22</v>
      </c>
      <c r="I356" s="7">
        <f t="shared" si="1"/>
        <v>27820.5</v>
      </c>
      <c r="J356" s="7">
        <f t="shared" si="7"/>
        <v>24111.1</v>
      </c>
      <c r="K356" s="7">
        <f t="shared" si="3"/>
        <v>24111.1</v>
      </c>
      <c r="L356" s="7">
        <f t="shared" si="4"/>
        <v>22256.4</v>
      </c>
      <c r="M356" s="7">
        <f t="shared" si="5"/>
        <v>21329.05</v>
      </c>
      <c r="N356" s="7">
        <f t="shared" si="6"/>
        <v>20401.7</v>
      </c>
    </row>
    <row r="357">
      <c r="A357" s="5" t="s">
        <v>439</v>
      </c>
      <c r="B357" s="5" t="s">
        <v>36</v>
      </c>
      <c r="C357" s="6"/>
      <c r="D357" s="5" t="s">
        <v>719</v>
      </c>
      <c r="E357" s="5" t="s">
        <v>720</v>
      </c>
      <c r="F357" s="6"/>
      <c r="G357" s="5">
        <v>357.0</v>
      </c>
      <c r="H357" s="5" t="s">
        <v>22</v>
      </c>
      <c r="I357" s="7">
        <f t="shared" si="1"/>
        <v>535.5</v>
      </c>
      <c r="J357" s="7">
        <f t="shared" si="7"/>
        <v>464.1</v>
      </c>
      <c r="K357" s="7">
        <f t="shared" si="3"/>
        <v>464.1</v>
      </c>
      <c r="L357" s="7">
        <f t="shared" si="4"/>
        <v>428.4</v>
      </c>
      <c r="M357" s="7">
        <f t="shared" si="5"/>
        <v>410.55</v>
      </c>
      <c r="N357" s="7">
        <f t="shared" si="6"/>
        <v>392.7</v>
      </c>
    </row>
    <row r="358">
      <c r="A358" s="5" t="s">
        <v>439</v>
      </c>
      <c r="B358" s="5" t="s">
        <v>36</v>
      </c>
      <c r="C358" s="6"/>
      <c r="D358" s="5" t="s">
        <v>721</v>
      </c>
      <c r="E358" s="5" t="s">
        <v>722</v>
      </c>
      <c r="F358" s="6"/>
      <c r="G358" s="8">
        <v>14601.0</v>
      </c>
      <c r="H358" s="5" t="s">
        <v>22</v>
      </c>
      <c r="I358" s="7">
        <f t="shared" si="1"/>
        <v>21901.5</v>
      </c>
      <c r="J358" s="7">
        <f t="shared" si="7"/>
        <v>18981.3</v>
      </c>
      <c r="K358" s="7">
        <f t="shared" si="3"/>
        <v>18981.3</v>
      </c>
      <c r="L358" s="7">
        <f t="shared" si="4"/>
        <v>17521.2</v>
      </c>
      <c r="M358" s="7">
        <f t="shared" si="5"/>
        <v>16791.15</v>
      </c>
      <c r="N358" s="7">
        <f t="shared" si="6"/>
        <v>16061.1</v>
      </c>
    </row>
    <row r="359">
      <c r="A359" s="5" t="s">
        <v>439</v>
      </c>
      <c r="B359" s="5" t="s">
        <v>36</v>
      </c>
      <c r="C359" s="6"/>
      <c r="D359" s="5" t="s">
        <v>723</v>
      </c>
      <c r="E359" s="5" t="s">
        <v>724</v>
      </c>
      <c r="F359" s="6"/>
      <c r="G359" s="8">
        <v>89271.0</v>
      </c>
      <c r="H359" s="5" t="s">
        <v>22</v>
      </c>
      <c r="I359" s="7">
        <f t="shared" si="1"/>
        <v>133906.5</v>
      </c>
      <c r="J359" s="7">
        <f t="shared" si="7"/>
        <v>116052.3</v>
      </c>
      <c r="K359" s="7">
        <f t="shared" si="3"/>
        <v>116052.3</v>
      </c>
      <c r="L359" s="7">
        <f t="shared" si="4"/>
        <v>107125.2</v>
      </c>
      <c r="M359" s="7">
        <f t="shared" si="5"/>
        <v>102661.65</v>
      </c>
      <c r="N359" s="7">
        <f t="shared" si="6"/>
        <v>98198.1</v>
      </c>
    </row>
    <row r="360">
      <c r="A360" s="5" t="s">
        <v>439</v>
      </c>
      <c r="B360" s="5" t="s">
        <v>36</v>
      </c>
      <c r="C360" s="6"/>
      <c r="D360" s="5" t="s">
        <v>725</v>
      </c>
      <c r="E360" s="5" t="s">
        <v>726</v>
      </c>
      <c r="F360" s="6"/>
      <c r="G360" s="8">
        <v>66217.0</v>
      </c>
      <c r="H360" s="5" t="s">
        <v>22</v>
      </c>
      <c r="I360" s="7">
        <f t="shared" si="1"/>
        <v>99325.5</v>
      </c>
      <c r="J360" s="7">
        <f t="shared" si="7"/>
        <v>86082.1</v>
      </c>
      <c r="K360" s="7">
        <f t="shared" si="3"/>
        <v>86082.1</v>
      </c>
      <c r="L360" s="7">
        <f t="shared" si="4"/>
        <v>79460.4</v>
      </c>
      <c r="M360" s="7">
        <f t="shared" si="5"/>
        <v>76149.55</v>
      </c>
      <c r="N360" s="7">
        <f t="shared" si="6"/>
        <v>72838.7</v>
      </c>
    </row>
    <row r="361">
      <c r="A361" s="5" t="s">
        <v>439</v>
      </c>
      <c r="B361" s="5" t="s">
        <v>36</v>
      </c>
      <c r="C361" s="6"/>
      <c r="D361" s="5" t="s">
        <v>727</v>
      </c>
      <c r="E361" s="5" t="s">
        <v>728</v>
      </c>
      <c r="F361" s="6"/>
      <c r="G361" s="8">
        <v>126449.0</v>
      </c>
      <c r="H361" s="5" t="s">
        <v>22</v>
      </c>
      <c r="I361" s="7">
        <f t="shared" si="1"/>
        <v>189673.5</v>
      </c>
      <c r="J361" s="7">
        <f t="shared" si="7"/>
        <v>164383.7</v>
      </c>
      <c r="K361" s="7">
        <f t="shared" si="3"/>
        <v>164383.7</v>
      </c>
      <c r="L361" s="7">
        <f t="shared" si="4"/>
        <v>151738.8</v>
      </c>
      <c r="M361" s="7">
        <f t="shared" si="5"/>
        <v>145416.35</v>
      </c>
      <c r="N361" s="7">
        <f t="shared" si="6"/>
        <v>139093.9</v>
      </c>
    </row>
    <row r="362">
      <c r="A362" s="5" t="s">
        <v>439</v>
      </c>
      <c r="B362" s="5" t="s">
        <v>36</v>
      </c>
      <c r="C362" s="6"/>
      <c r="D362" s="5" t="s">
        <v>729</v>
      </c>
      <c r="E362" s="5" t="s">
        <v>730</v>
      </c>
      <c r="F362" s="6"/>
      <c r="G362" s="8">
        <v>126449.0</v>
      </c>
      <c r="H362" s="5" t="s">
        <v>22</v>
      </c>
      <c r="I362" s="7">
        <f t="shared" si="1"/>
        <v>189673.5</v>
      </c>
      <c r="J362" s="7">
        <f t="shared" si="7"/>
        <v>164383.7</v>
      </c>
      <c r="K362" s="7">
        <f t="shared" si="3"/>
        <v>164383.7</v>
      </c>
      <c r="L362" s="7">
        <f t="shared" si="4"/>
        <v>151738.8</v>
      </c>
      <c r="M362" s="7">
        <f t="shared" si="5"/>
        <v>145416.35</v>
      </c>
      <c r="N362" s="7">
        <f t="shared" si="6"/>
        <v>139093.9</v>
      </c>
    </row>
    <row r="363">
      <c r="A363" s="5" t="s">
        <v>439</v>
      </c>
      <c r="B363" s="5" t="s">
        <v>36</v>
      </c>
      <c r="C363" s="6"/>
      <c r="D363" s="5" t="s">
        <v>731</v>
      </c>
      <c r="E363" s="5" t="s">
        <v>732</v>
      </c>
      <c r="F363" s="6"/>
      <c r="G363" s="8">
        <v>126449.0</v>
      </c>
      <c r="H363" s="5" t="s">
        <v>22</v>
      </c>
      <c r="I363" s="7">
        <f t="shared" si="1"/>
        <v>189673.5</v>
      </c>
      <c r="J363" s="7">
        <f t="shared" si="7"/>
        <v>164383.7</v>
      </c>
      <c r="K363" s="7">
        <f t="shared" si="3"/>
        <v>164383.7</v>
      </c>
      <c r="L363" s="7">
        <f t="shared" si="4"/>
        <v>151738.8</v>
      </c>
      <c r="M363" s="7">
        <f t="shared" si="5"/>
        <v>145416.35</v>
      </c>
      <c r="N363" s="7">
        <f t="shared" si="6"/>
        <v>139093.9</v>
      </c>
    </row>
    <row r="364">
      <c r="A364" s="5" t="s">
        <v>439</v>
      </c>
      <c r="B364" s="5" t="s">
        <v>36</v>
      </c>
      <c r="C364" s="6"/>
      <c r="D364" s="5" t="s">
        <v>733</v>
      </c>
      <c r="E364" s="5" t="s">
        <v>734</v>
      </c>
      <c r="F364" s="6"/>
      <c r="G364" s="8">
        <v>126449.0</v>
      </c>
      <c r="H364" s="5" t="s">
        <v>22</v>
      </c>
      <c r="I364" s="7">
        <f t="shared" si="1"/>
        <v>189673.5</v>
      </c>
      <c r="J364" s="7">
        <f t="shared" si="7"/>
        <v>164383.7</v>
      </c>
      <c r="K364" s="7">
        <f t="shared" si="3"/>
        <v>164383.7</v>
      </c>
      <c r="L364" s="7">
        <f t="shared" si="4"/>
        <v>151738.8</v>
      </c>
      <c r="M364" s="7">
        <f t="shared" si="5"/>
        <v>145416.35</v>
      </c>
      <c r="N364" s="7">
        <f t="shared" si="6"/>
        <v>139093.9</v>
      </c>
    </row>
    <row r="365">
      <c r="A365" s="5" t="s">
        <v>439</v>
      </c>
      <c r="B365" s="5" t="s">
        <v>36</v>
      </c>
      <c r="C365" s="6"/>
      <c r="D365" s="5" t="s">
        <v>735</v>
      </c>
      <c r="E365" s="5" t="s">
        <v>736</v>
      </c>
      <c r="F365" s="6"/>
      <c r="G365" s="8">
        <v>168951.0</v>
      </c>
      <c r="H365" s="5" t="s">
        <v>22</v>
      </c>
      <c r="I365" s="7">
        <f t="shared" si="1"/>
        <v>253426.5</v>
      </c>
      <c r="J365" s="7">
        <f t="shared" si="7"/>
        <v>219636.3</v>
      </c>
      <c r="K365" s="7">
        <f t="shared" si="3"/>
        <v>219636.3</v>
      </c>
      <c r="L365" s="7">
        <f t="shared" si="4"/>
        <v>202741.2</v>
      </c>
      <c r="M365" s="7">
        <f t="shared" si="5"/>
        <v>194293.65</v>
      </c>
      <c r="N365" s="7">
        <f t="shared" si="6"/>
        <v>185846.1</v>
      </c>
    </row>
    <row r="366">
      <c r="A366" s="5" t="s">
        <v>439</v>
      </c>
      <c r="B366" s="5" t="s">
        <v>36</v>
      </c>
      <c r="C366" s="6"/>
      <c r="D366" s="5" t="s">
        <v>737</v>
      </c>
      <c r="E366" s="5" t="s">
        <v>738</v>
      </c>
      <c r="F366" s="6"/>
      <c r="G366" s="8">
        <v>168951.0</v>
      </c>
      <c r="H366" s="5" t="s">
        <v>22</v>
      </c>
      <c r="I366" s="7">
        <f t="shared" si="1"/>
        <v>253426.5</v>
      </c>
      <c r="J366" s="7">
        <f t="shared" si="7"/>
        <v>219636.3</v>
      </c>
      <c r="K366" s="7">
        <f t="shared" si="3"/>
        <v>219636.3</v>
      </c>
      <c r="L366" s="7">
        <f t="shared" si="4"/>
        <v>202741.2</v>
      </c>
      <c r="M366" s="7">
        <f t="shared" si="5"/>
        <v>194293.65</v>
      </c>
      <c r="N366" s="7">
        <f t="shared" si="6"/>
        <v>185846.1</v>
      </c>
    </row>
    <row r="367">
      <c r="A367" s="5" t="s">
        <v>439</v>
      </c>
      <c r="B367" s="5" t="s">
        <v>36</v>
      </c>
      <c r="C367" s="6"/>
      <c r="D367" s="5" t="s">
        <v>739</v>
      </c>
      <c r="E367" s="5" t="s">
        <v>740</v>
      </c>
      <c r="F367" s="6"/>
      <c r="G367" s="8">
        <v>168951.0</v>
      </c>
      <c r="H367" s="5" t="s">
        <v>22</v>
      </c>
      <c r="I367" s="7">
        <f t="shared" si="1"/>
        <v>253426.5</v>
      </c>
      <c r="J367" s="7">
        <f t="shared" si="7"/>
        <v>219636.3</v>
      </c>
      <c r="K367" s="7">
        <f t="shared" si="3"/>
        <v>219636.3</v>
      </c>
      <c r="L367" s="7">
        <f t="shared" si="4"/>
        <v>202741.2</v>
      </c>
      <c r="M367" s="7">
        <f t="shared" si="5"/>
        <v>194293.65</v>
      </c>
      <c r="N367" s="7">
        <f t="shared" si="6"/>
        <v>185846.1</v>
      </c>
    </row>
    <row r="368">
      <c r="A368" s="5" t="s">
        <v>439</v>
      </c>
      <c r="B368" s="5" t="s">
        <v>36</v>
      </c>
      <c r="C368" s="6"/>
      <c r="D368" s="5" t="s">
        <v>741</v>
      </c>
      <c r="E368" s="5" t="s">
        <v>742</v>
      </c>
      <c r="F368" s="6"/>
      <c r="G368" s="8">
        <v>168951.0</v>
      </c>
      <c r="H368" s="5" t="s">
        <v>22</v>
      </c>
      <c r="I368" s="7">
        <f t="shared" si="1"/>
        <v>253426.5</v>
      </c>
      <c r="J368" s="7">
        <f t="shared" si="7"/>
        <v>219636.3</v>
      </c>
      <c r="K368" s="7">
        <f t="shared" si="3"/>
        <v>219636.3</v>
      </c>
      <c r="L368" s="7">
        <f t="shared" si="4"/>
        <v>202741.2</v>
      </c>
      <c r="M368" s="7">
        <f t="shared" si="5"/>
        <v>194293.65</v>
      </c>
      <c r="N368" s="7">
        <f t="shared" si="6"/>
        <v>185846.1</v>
      </c>
    </row>
    <row r="369">
      <c r="A369" s="5" t="s">
        <v>439</v>
      </c>
      <c r="B369" s="5" t="s">
        <v>36</v>
      </c>
      <c r="C369" s="6"/>
      <c r="D369" s="5" t="s">
        <v>743</v>
      </c>
      <c r="E369" s="5" t="s">
        <v>744</v>
      </c>
      <c r="F369" s="6"/>
      <c r="G369" s="8">
        <v>39099.0</v>
      </c>
      <c r="H369" s="5" t="s">
        <v>22</v>
      </c>
      <c r="I369" s="7">
        <f t="shared" si="1"/>
        <v>58648.5</v>
      </c>
      <c r="J369" s="7">
        <f t="shared" si="7"/>
        <v>50828.7</v>
      </c>
      <c r="K369" s="7">
        <f t="shared" si="3"/>
        <v>50828.7</v>
      </c>
      <c r="L369" s="7">
        <f t="shared" si="4"/>
        <v>46918.8</v>
      </c>
      <c r="M369" s="7">
        <f t="shared" si="5"/>
        <v>44963.85</v>
      </c>
      <c r="N369" s="7">
        <f t="shared" si="6"/>
        <v>43008.9</v>
      </c>
    </row>
    <row r="370">
      <c r="A370" s="5" t="s">
        <v>439</v>
      </c>
      <c r="B370" s="5" t="s">
        <v>36</v>
      </c>
      <c r="C370" s="6"/>
      <c r="D370" s="5" t="s">
        <v>745</v>
      </c>
      <c r="E370" s="5" t="s">
        <v>746</v>
      </c>
      <c r="F370" s="6"/>
      <c r="G370" s="8">
        <v>39099.0</v>
      </c>
      <c r="H370" s="5" t="s">
        <v>22</v>
      </c>
      <c r="I370" s="7">
        <f t="shared" si="1"/>
        <v>58648.5</v>
      </c>
      <c r="J370" s="7">
        <f t="shared" si="7"/>
        <v>50828.7</v>
      </c>
      <c r="K370" s="7">
        <f t="shared" si="3"/>
        <v>50828.7</v>
      </c>
      <c r="L370" s="7">
        <f t="shared" si="4"/>
        <v>46918.8</v>
      </c>
      <c r="M370" s="7">
        <f t="shared" si="5"/>
        <v>44963.85</v>
      </c>
      <c r="N370" s="7">
        <f t="shared" si="6"/>
        <v>43008.9</v>
      </c>
    </row>
    <row r="371">
      <c r="A371" s="5" t="s">
        <v>439</v>
      </c>
      <c r="B371" s="5" t="s">
        <v>36</v>
      </c>
      <c r="C371" s="6"/>
      <c r="D371" s="5" t="s">
        <v>747</v>
      </c>
      <c r="E371" s="5" t="s">
        <v>748</v>
      </c>
      <c r="F371" s="6"/>
      <c r="G371" s="8">
        <v>39099.0</v>
      </c>
      <c r="H371" s="5" t="s">
        <v>22</v>
      </c>
      <c r="I371" s="7">
        <f t="shared" si="1"/>
        <v>58648.5</v>
      </c>
      <c r="J371" s="7">
        <f t="shared" si="7"/>
        <v>50828.7</v>
      </c>
      <c r="K371" s="7">
        <f t="shared" si="3"/>
        <v>50828.7</v>
      </c>
      <c r="L371" s="7">
        <f t="shared" si="4"/>
        <v>46918.8</v>
      </c>
      <c r="M371" s="7">
        <f t="shared" si="5"/>
        <v>44963.85</v>
      </c>
      <c r="N371" s="7">
        <f t="shared" si="6"/>
        <v>43008.9</v>
      </c>
    </row>
    <row r="372">
      <c r="A372" s="5" t="s">
        <v>439</v>
      </c>
      <c r="B372" s="5" t="s">
        <v>36</v>
      </c>
      <c r="C372" s="6"/>
      <c r="D372" s="5" t="s">
        <v>749</v>
      </c>
      <c r="E372" s="5" t="s">
        <v>750</v>
      </c>
      <c r="F372" s="6"/>
      <c r="G372" s="8">
        <v>39099.0</v>
      </c>
      <c r="H372" s="5" t="s">
        <v>22</v>
      </c>
      <c r="I372" s="7">
        <f t="shared" si="1"/>
        <v>58648.5</v>
      </c>
      <c r="J372" s="7">
        <f t="shared" si="7"/>
        <v>50828.7</v>
      </c>
      <c r="K372" s="7">
        <f t="shared" si="3"/>
        <v>50828.7</v>
      </c>
      <c r="L372" s="7">
        <f t="shared" si="4"/>
        <v>46918.8</v>
      </c>
      <c r="M372" s="7">
        <f t="shared" si="5"/>
        <v>44963.85</v>
      </c>
      <c r="N372" s="7">
        <f t="shared" si="6"/>
        <v>43008.9</v>
      </c>
    </row>
    <row r="373">
      <c r="A373" s="5" t="s">
        <v>439</v>
      </c>
      <c r="B373" s="5" t="s">
        <v>36</v>
      </c>
      <c r="C373" s="6"/>
      <c r="D373" s="5" t="s">
        <v>751</v>
      </c>
      <c r="E373" s="5" t="s">
        <v>752</v>
      </c>
      <c r="F373" s="6"/>
      <c r="G373" s="8">
        <v>11371.0</v>
      </c>
      <c r="H373" s="5" t="s">
        <v>22</v>
      </c>
      <c r="I373" s="7">
        <f t="shared" si="1"/>
        <v>17056.5</v>
      </c>
      <c r="J373" s="7">
        <f t="shared" si="7"/>
        <v>14782.3</v>
      </c>
      <c r="K373" s="7">
        <f t="shared" si="3"/>
        <v>14782.3</v>
      </c>
      <c r="L373" s="7">
        <f t="shared" si="4"/>
        <v>13645.2</v>
      </c>
      <c r="M373" s="7">
        <f t="shared" si="5"/>
        <v>13076.65</v>
      </c>
      <c r="N373" s="7">
        <f t="shared" si="6"/>
        <v>12508.1</v>
      </c>
    </row>
    <row r="374">
      <c r="A374" s="5" t="s">
        <v>439</v>
      </c>
      <c r="B374" s="5" t="s">
        <v>36</v>
      </c>
      <c r="C374" s="6"/>
      <c r="D374" s="5" t="s">
        <v>753</v>
      </c>
      <c r="E374" s="5" t="s">
        <v>754</v>
      </c>
      <c r="F374" s="6"/>
      <c r="G374" s="8">
        <v>49537.0</v>
      </c>
      <c r="H374" s="5" t="s">
        <v>22</v>
      </c>
      <c r="I374" s="7">
        <f t="shared" si="1"/>
        <v>74305.5</v>
      </c>
      <c r="J374" s="7">
        <f t="shared" si="7"/>
        <v>64398.1</v>
      </c>
      <c r="K374" s="7">
        <f t="shared" si="3"/>
        <v>64398.1</v>
      </c>
      <c r="L374" s="7">
        <f t="shared" si="4"/>
        <v>59444.4</v>
      </c>
      <c r="M374" s="7">
        <f t="shared" si="5"/>
        <v>56967.55</v>
      </c>
      <c r="N374" s="7">
        <f t="shared" si="6"/>
        <v>54490.7</v>
      </c>
    </row>
    <row r="375">
      <c r="A375" s="5" t="s">
        <v>439</v>
      </c>
      <c r="B375" s="5" t="s">
        <v>36</v>
      </c>
      <c r="C375" s="6"/>
      <c r="D375" s="5" t="s">
        <v>755</v>
      </c>
      <c r="E375" s="5" t="s">
        <v>756</v>
      </c>
      <c r="F375" s="6"/>
      <c r="G375" s="8">
        <v>44516.0</v>
      </c>
      <c r="H375" s="5" t="s">
        <v>22</v>
      </c>
      <c r="I375" s="7">
        <f t="shared" si="1"/>
        <v>66774</v>
      </c>
      <c r="J375" s="7">
        <f t="shared" si="7"/>
        <v>57870.8</v>
      </c>
      <c r="K375" s="7">
        <f t="shared" si="3"/>
        <v>57870.8</v>
      </c>
      <c r="L375" s="7">
        <f t="shared" si="4"/>
        <v>53419.2</v>
      </c>
      <c r="M375" s="7">
        <f t="shared" si="5"/>
        <v>51193.4</v>
      </c>
      <c r="N375" s="7">
        <f t="shared" si="6"/>
        <v>48967.6</v>
      </c>
    </row>
    <row r="376">
      <c r="A376" s="5" t="s">
        <v>439</v>
      </c>
      <c r="B376" s="5" t="s">
        <v>36</v>
      </c>
      <c r="C376" s="6"/>
      <c r="D376" s="5" t="s">
        <v>757</v>
      </c>
      <c r="E376" s="5" t="s">
        <v>758</v>
      </c>
      <c r="F376" s="6"/>
      <c r="G376" s="8">
        <v>65392.0</v>
      </c>
      <c r="H376" s="5" t="s">
        <v>22</v>
      </c>
      <c r="I376" s="7">
        <f t="shared" si="1"/>
        <v>98088</v>
      </c>
      <c r="J376" s="7">
        <f t="shared" si="7"/>
        <v>85009.6</v>
      </c>
      <c r="K376" s="7">
        <f t="shared" si="3"/>
        <v>85009.6</v>
      </c>
      <c r="L376" s="7">
        <f t="shared" si="4"/>
        <v>78470.4</v>
      </c>
      <c r="M376" s="7">
        <f t="shared" si="5"/>
        <v>75200.8</v>
      </c>
      <c r="N376" s="7">
        <f t="shared" si="6"/>
        <v>71931.2</v>
      </c>
    </row>
    <row r="377">
      <c r="A377" s="5" t="s">
        <v>439</v>
      </c>
      <c r="B377" s="5" t="s">
        <v>36</v>
      </c>
      <c r="C377" s="6"/>
      <c r="D377" s="5" t="s">
        <v>759</v>
      </c>
      <c r="E377" s="5" t="s">
        <v>760</v>
      </c>
      <c r="F377" s="6"/>
      <c r="G377" s="8">
        <v>33178.0</v>
      </c>
      <c r="H377" s="5" t="s">
        <v>22</v>
      </c>
      <c r="I377" s="7">
        <f t="shared" si="1"/>
        <v>49767</v>
      </c>
      <c r="J377" s="7">
        <f t="shared" si="7"/>
        <v>43131.4</v>
      </c>
      <c r="K377" s="7">
        <f t="shared" si="3"/>
        <v>43131.4</v>
      </c>
      <c r="L377" s="7">
        <f t="shared" si="4"/>
        <v>39813.6</v>
      </c>
      <c r="M377" s="7">
        <f t="shared" si="5"/>
        <v>38154.7</v>
      </c>
      <c r="N377" s="7">
        <f t="shared" si="6"/>
        <v>36495.8</v>
      </c>
    </row>
    <row r="378">
      <c r="A378" s="5" t="s">
        <v>439</v>
      </c>
      <c r="B378" s="5" t="s">
        <v>36</v>
      </c>
      <c r="C378" s="6"/>
      <c r="D378" s="5" t="s">
        <v>761</v>
      </c>
      <c r="E378" s="5" t="s">
        <v>762</v>
      </c>
      <c r="F378" s="6"/>
      <c r="G378" s="8">
        <v>50410.0</v>
      </c>
      <c r="H378" s="5" t="s">
        <v>22</v>
      </c>
      <c r="I378" s="7">
        <f t="shared" si="1"/>
        <v>75615</v>
      </c>
      <c r="J378" s="7">
        <f t="shared" si="7"/>
        <v>65533</v>
      </c>
      <c r="K378" s="7">
        <f t="shared" si="3"/>
        <v>65533</v>
      </c>
      <c r="L378" s="7">
        <f t="shared" si="4"/>
        <v>60492</v>
      </c>
      <c r="M378" s="7">
        <f t="shared" si="5"/>
        <v>57971.5</v>
      </c>
      <c r="N378" s="7">
        <f t="shared" si="6"/>
        <v>55451</v>
      </c>
    </row>
    <row r="379">
      <c r="A379" s="5" t="s">
        <v>439</v>
      </c>
      <c r="B379" s="5" t="s">
        <v>36</v>
      </c>
      <c r="C379" s="6"/>
      <c r="D379" s="5" t="s">
        <v>763</v>
      </c>
      <c r="E379" s="5" t="s">
        <v>764</v>
      </c>
      <c r="F379" s="6"/>
      <c r="G379" s="8">
        <v>30167.0</v>
      </c>
      <c r="H379" s="5" t="s">
        <v>22</v>
      </c>
      <c r="I379" s="7">
        <f t="shared" si="1"/>
        <v>45250.5</v>
      </c>
      <c r="J379" s="7">
        <f t="shared" si="7"/>
        <v>39217.1</v>
      </c>
      <c r="K379" s="7">
        <f t="shared" si="3"/>
        <v>39217.1</v>
      </c>
      <c r="L379" s="7">
        <f t="shared" si="4"/>
        <v>36200.4</v>
      </c>
      <c r="M379" s="7">
        <f t="shared" si="5"/>
        <v>34692.05</v>
      </c>
      <c r="N379" s="7">
        <f t="shared" si="6"/>
        <v>33183.7</v>
      </c>
    </row>
    <row r="380">
      <c r="A380" s="5" t="s">
        <v>439</v>
      </c>
      <c r="B380" s="5" t="s">
        <v>36</v>
      </c>
      <c r="C380" s="6"/>
      <c r="D380" s="5" t="s">
        <v>765</v>
      </c>
      <c r="E380" s="5" t="s">
        <v>766</v>
      </c>
      <c r="F380" s="6"/>
      <c r="G380" s="8">
        <v>7520.0</v>
      </c>
      <c r="H380" s="5" t="s">
        <v>22</v>
      </c>
      <c r="I380" s="7">
        <f t="shared" si="1"/>
        <v>11280</v>
      </c>
      <c r="J380" s="7">
        <f t="shared" si="7"/>
        <v>9776</v>
      </c>
      <c r="K380" s="7">
        <f t="shared" si="3"/>
        <v>9776</v>
      </c>
      <c r="L380" s="7">
        <f t="shared" si="4"/>
        <v>9024</v>
      </c>
      <c r="M380" s="7">
        <f t="shared" si="5"/>
        <v>8648</v>
      </c>
      <c r="N380" s="7">
        <f t="shared" si="6"/>
        <v>8272</v>
      </c>
    </row>
    <row r="381">
      <c r="A381" s="5" t="s">
        <v>439</v>
      </c>
      <c r="B381" s="5" t="s">
        <v>36</v>
      </c>
      <c r="C381" s="6"/>
      <c r="D381" s="5" t="s">
        <v>767</v>
      </c>
      <c r="E381" s="5" t="s">
        <v>768</v>
      </c>
      <c r="F381" s="6"/>
      <c r="G381" s="8">
        <v>52184.0</v>
      </c>
      <c r="H381" s="5" t="s">
        <v>22</v>
      </c>
      <c r="I381" s="7">
        <f t="shared" si="1"/>
        <v>78276</v>
      </c>
      <c r="J381" s="7">
        <f t="shared" si="7"/>
        <v>67839.2</v>
      </c>
      <c r="K381" s="7">
        <f t="shared" si="3"/>
        <v>67839.2</v>
      </c>
      <c r="L381" s="7">
        <f t="shared" si="4"/>
        <v>62620.8</v>
      </c>
      <c r="M381" s="7">
        <f t="shared" si="5"/>
        <v>60011.6</v>
      </c>
      <c r="N381" s="7">
        <f t="shared" si="6"/>
        <v>57402.4</v>
      </c>
    </row>
    <row r="382">
      <c r="A382" s="5" t="s">
        <v>439</v>
      </c>
      <c r="B382" s="5" t="s">
        <v>36</v>
      </c>
      <c r="C382" s="6"/>
      <c r="D382" s="5" t="s">
        <v>769</v>
      </c>
      <c r="E382" s="5" t="s">
        <v>770</v>
      </c>
      <c r="F382" s="6"/>
      <c r="G382" s="8">
        <v>18096.0</v>
      </c>
      <c r="H382" s="5" t="s">
        <v>22</v>
      </c>
      <c r="I382" s="7">
        <f t="shared" si="1"/>
        <v>27144</v>
      </c>
      <c r="J382" s="7">
        <f t="shared" si="7"/>
        <v>23524.8</v>
      </c>
      <c r="K382" s="7">
        <f t="shared" si="3"/>
        <v>23524.8</v>
      </c>
      <c r="L382" s="7">
        <f t="shared" si="4"/>
        <v>21715.2</v>
      </c>
      <c r="M382" s="7">
        <f t="shared" si="5"/>
        <v>20810.4</v>
      </c>
      <c r="N382" s="7">
        <f t="shared" si="6"/>
        <v>19905.6</v>
      </c>
    </row>
    <row r="383">
      <c r="A383" s="5" t="s">
        <v>439</v>
      </c>
      <c r="B383" s="5" t="s">
        <v>36</v>
      </c>
      <c r="C383" s="6"/>
      <c r="D383" s="5" t="s">
        <v>771</v>
      </c>
      <c r="E383" s="5" t="s">
        <v>772</v>
      </c>
      <c r="F383" s="6"/>
      <c r="G383" s="8">
        <v>18096.0</v>
      </c>
      <c r="H383" s="5" t="s">
        <v>22</v>
      </c>
      <c r="I383" s="7">
        <f t="shared" si="1"/>
        <v>27144</v>
      </c>
      <c r="J383" s="7">
        <f t="shared" si="7"/>
        <v>23524.8</v>
      </c>
      <c r="K383" s="7">
        <f t="shared" si="3"/>
        <v>23524.8</v>
      </c>
      <c r="L383" s="7">
        <f t="shared" si="4"/>
        <v>21715.2</v>
      </c>
      <c r="M383" s="7">
        <f t="shared" si="5"/>
        <v>20810.4</v>
      </c>
      <c r="N383" s="7">
        <f t="shared" si="6"/>
        <v>19905.6</v>
      </c>
    </row>
    <row r="384">
      <c r="A384" s="5" t="s">
        <v>439</v>
      </c>
      <c r="B384" s="5" t="s">
        <v>36</v>
      </c>
      <c r="C384" s="6"/>
      <c r="D384" s="5" t="s">
        <v>773</v>
      </c>
      <c r="E384" s="5" t="s">
        <v>774</v>
      </c>
      <c r="F384" s="6"/>
      <c r="G384" s="8">
        <v>45987.0</v>
      </c>
      <c r="H384" s="5" t="s">
        <v>22</v>
      </c>
      <c r="I384" s="7">
        <f t="shared" si="1"/>
        <v>68980.5</v>
      </c>
      <c r="J384" s="7">
        <f t="shared" si="7"/>
        <v>59783.1</v>
      </c>
      <c r="K384" s="7">
        <f t="shared" si="3"/>
        <v>59783.1</v>
      </c>
      <c r="L384" s="7">
        <f t="shared" si="4"/>
        <v>55184.4</v>
      </c>
      <c r="M384" s="7">
        <f t="shared" si="5"/>
        <v>52885.05</v>
      </c>
      <c r="N384" s="7">
        <f t="shared" si="6"/>
        <v>50585.7</v>
      </c>
    </row>
    <row r="385">
      <c r="A385" s="5" t="s">
        <v>439</v>
      </c>
      <c r="B385" s="5" t="s">
        <v>36</v>
      </c>
      <c r="C385" s="6"/>
      <c r="D385" s="5" t="s">
        <v>775</v>
      </c>
      <c r="E385" s="5" t="s">
        <v>776</v>
      </c>
      <c r="F385" s="6"/>
      <c r="G385" s="8">
        <v>16407.0</v>
      </c>
      <c r="H385" s="5" t="s">
        <v>22</v>
      </c>
      <c r="I385" s="7">
        <f t="shared" si="1"/>
        <v>24610.5</v>
      </c>
      <c r="J385" s="7">
        <f t="shared" si="7"/>
        <v>21329.1</v>
      </c>
      <c r="K385" s="7">
        <f t="shared" si="3"/>
        <v>21329.1</v>
      </c>
      <c r="L385" s="7">
        <f t="shared" si="4"/>
        <v>19688.4</v>
      </c>
      <c r="M385" s="7">
        <f t="shared" si="5"/>
        <v>18868.05</v>
      </c>
      <c r="N385" s="7">
        <f t="shared" si="6"/>
        <v>18047.7</v>
      </c>
    </row>
    <row r="386">
      <c r="A386" s="5" t="s">
        <v>439</v>
      </c>
      <c r="B386" s="5" t="s">
        <v>36</v>
      </c>
      <c r="C386" s="6"/>
      <c r="D386" s="5" t="s">
        <v>777</v>
      </c>
      <c r="E386" s="5" t="s">
        <v>778</v>
      </c>
      <c r="F386" s="6"/>
      <c r="G386" s="8">
        <v>22881.0</v>
      </c>
      <c r="H386" s="5" t="s">
        <v>22</v>
      </c>
      <c r="I386" s="7">
        <f t="shared" si="1"/>
        <v>34321.5</v>
      </c>
      <c r="J386" s="7">
        <f t="shared" si="7"/>
        <v>29745.3</v>
      </c>
      <c r="K386" s="7">
        <f t="shared" si="3"/>
        <v>29745.3</v>
      </c>
      <c r="L386" s="7">
        <f t="shared" si="4"/>
        <v>27457.2</v>
      </c>
      <c r="M386" s="7">
        <f t="shared" si="5"/>
        <v>26313.15</v>
      </c>
      <c r="N386" s="7">
        <f t="shared" si="6"/>
        <v>25169.1</v>
      </c>
    </row>
    <row r="387">
      <c r="A387" s="5" t="s">
        <v>439</v>
      </c>
      <c r="B387" s="5" t="s">
        <v>36</v>
      </c>
      <c r="C387" s="6"/>
      <c r="D387" s="5" t="s">
        <v>779</v>
      </c>
      <c r="E387" s="5" t="s">
        <v>780</v>
      </c>
      <c r="F387" s="6"/>
      <c r="G387" s="8">
        <v>39130.0</v>
      </c>
      <c r="H387" s="5" t="s">
        <v>22</v>
      </c>
      <c r="I387" s="7">
        <f t="shared" si="1"/>
        <v>58695</v>
      </c>
      <c r="J387" s="7">
        <f t="shared" si="7"/>
        <v>50869</v>
      </c>
      <c r="K387" s="7">
        <f t="shared" si="3"/>
        <v>50869</v>
      </c>
      <c r="L387" s="7">
        <f t="shared" si="4"/>
        <v>46956</v>
      </c>
      <c r="M387" s="7">
        <f t="shared" si="5"/>
        <v>44999.5</v>
      </c>
      <c r="N387" s="7">
        <f t="shared" si="6"/>
        <v>43043</v>
      </c>
    </row>
    <row r="388">
      <c r="A388" s="5" t="s">
        <v>439</v>
      </c>
      <c r="B388" s="5" t="s">
        <v>36</v>
      </c>
      <c r="C388" s="6"/>
      <c r="D388" s="5" t="s">
        <v>781</v>
      </c>
      <c r="E388" s="5" t="s">
        <v>782</v>
      </c>
      <c r="F388" s="6"/>
      <c r="G388" s="8">
        <v>15696.0</v>
      </c>
      <c r="H388" s="5" t="s">
        <v>22</v>
      </c>
      <c r="I388" s="7">
        <f t="shared" si="1"/>
        <v>23544</v>
      </c>
      <c r="J388" s="7">
        <f t="shared" si="7"/>
        <v>20404.8</v>
      </c>
      <c r="K388" s="7">
        <f t="shared" si="3"/>
        <v>20404.8</v>
      </c>
      <c r="L388" s="7">
        <f t="shared" si="4"/>
        <v>18835.2</v>
      </c>
      <c r="M388" s="7">
        <f t="shared" si="5"/>
        <v>18050.4</v>
      </c>
      <c r="N388" s="7">
        <f t="shared" si="6"/>
        <v>17265.6</v>
      </c>
    </row>
    <row r="389">
      <c r="A389" s="5" t="s">
        <v>439</v>
      </c>
      <c r="B389" s="5" t="s">
        <v>36</v>
      </c>
      <c r="C389" s="6"/>
      <c r="D389" s="5" t="s">
        <v>783</v>
      </c>
      <c r="E389" s="5" t="s">
        <v>784</v>
      </c>
      <c r="F389" s="6"/>
      <c r="G389" s="8">
        <v>20763.0</v>
      </c>
      <c r="H389" s="5" t="s">
        <v>22</v>
      </c>
      <c r="I389" s="7">
        <f t="shared" si="1"/>
        <v>31144.5</v>
      </c>
      <c r="J389" s="7">
        <f t="shared" si="7"/>
        <v>26991.9</v>
      </c>
      <c r="K389" s="7">
        <f t="shared" si="3"/>
        <v>26991.9</v>
      </c>
      <c r="L389" s="7">
        <f t="shared" si="4"/>
        <v>24915.6</v>
      </c>
      <c r="M389" s="7">
        <f t="shared" si="5"/>
        <v>23877.45</v>
      </c>
      <c r="N389" s="7">
        <f t="shared" si="6"/>
        <v>22839.3</v>
      </c>
    </row>
    <row r="390">
      <c r="A390" s="5" t="s">
        <v>439</v>
      </c>
      <c r="B390" s="5" t="s">
        <v>36</v>
      </c>
      <c r="C390" s="6"/>
      <c r="D390" s="5" t="s">
        <v>785</v>
      </c>
      <c r="E390" s="5" t="s">
        <v>786</v>
      </c>
      <c r="F390" s="6"/>
      <c r="G390" s="5">
        <v>693.0</v>
      </c>
      <c r="H390" s="5" t="s">
        <v>22</v>
      </c>
      <c r="I390" s="7">
        <f t="shared" si="1"/>
        <v>1039.5</v>
      </c>
      <c r="J390" s="7">
        <f t="shared" si="7"/>
        <v>900.9</v>
      </c>
      <c r="K390" s="7">
        <f t="shared" si="3"/>
        <v>900.9</v>
      </c>
      <c r="L390" s="7">
        <f t="shared" si="4"/>
        <v>831.6</v>
      </c>
      <c r="M390" s="7">
        <f t="shared" si="5"/>
        <v>796.95</v>
      </c>
      <c r="N390" s="7">
        <f t="shared" si="6"/>
        <v>762.3</v>
      </c>
    </row>
    <row r="391">
      <c r="A391" s="5" t="s">
        <v>439</v>
      </c>
      <c r="B391" s="5" t="s">
        <v>36</v>
      </c>
      <c r="C391" s="6"/>
      <c r="D391" s="5" t="s">
        <v>787</v>
      </c>
      <c r="E391" s="5" t="s">
        <v>788</v>
      </c>
      <c r="F391" s="6"/>
      <c r="G391" s="8">
        <v>41153.0</v>
      </c>
      <c r="H391" s="5" t="s">
        <v>22</v>
      </c>
      <c r="I391" s="7">
        <f t="shared" si="1"/>
        <v>61729.5</v>
      </c>
      <c r="J391" s="7">
        <f t="shared" si="7"/>
        <v>53498.9</v>
      </c>
      <c r="K391" s="7">
        <f t="shared" si="3"/>
        <v>53498.9</v>
      </c>
      <c r="L391" s="7">
        <f t="shared" si="4"/>
        <v>49383.6</v>
      </c>
      <c r="M391" s="7">
        <f t="shared" si="5"/>
        <v>47325.95</v>
      </c>
      <c r="N391" s="7">
        <f t="shared" si="6"/>
        <v>45268.3</v>
      </c>
    </row>
    <row r="392">
      <c r="A392" s="5" t="s">
        <v>439</v>
      </c>
      <c r="B392" s="5" t="s">
        <v>36</v>
      </c>
      <c r="C392" s="6"/>
      <c r="D392" s="5" t="s">
        <v>789</v>
      </c>
      <c r="E392" s="5" t="s">
        <v>790</v>
      </c>
      <c r="F392" s="6"/>
      <c r="G392" s="8">
        <v>8041.0</v>
      </c>
      <c r="H392" s="5" t="s">
        <v>22</v>
      </c>
      <c r="I392" s="7">
        <f t="shared" si="1"/>
        <v>12061.5</v>
      </c>
      <c r="J392" s="7">
        <f t="shared" si="7"/>
        <v>10453.3</v>
      </c>
      <c r="K392" s="7">
        <f t="shared" si="3"/>
        <v>10453.3</v>
      </c>
      <c r="L392" s="7">
        <f t="shared" si="4"/>
        <v>9649.2</v>
      </c>
      <c r="M392" s="7">
        <f t="shared" si="5"/>
        <v>9247.15</v>
      </c>
      <c r="N392" s="7">
        <f t="shared" si="6"/>
        <v>8845.1</v>
      </c>
    </row>
    <row r="393">
      <c r="A393" s="5" t="s">
        <v>439</v>
      </c>
      <c r="B393" s="5" t="s">
        <v>36</v>
      </c>
      <c r="C393" s="6"/>
      <c r="D393" s="5" t="s">
        <v>791</v>
      </c>
      <c r="E393" s="5" t="s">
        <v>792</v>
      </c>
      <c r="F393" s="6"/>
      <c r="G393" s="8">
        <v>29907.0</v>
      </c>
      <c r="H393" s="5" t="s">
        <v>22</v>
      </c>
      <c r="I393" s="7">
        <f t="shared" si="1"/>
        <v>44860.5</v>
      </c>
      <c r="J393" s="7">
        <f t="shared" si="7"/>
        <v>38879.1</v>
      </c>
      <c r="K393" s="7">
        <f t="shared" si="3"/>
        <v>38879.1</v>
      </c>
      <c r="L393" s="7">
        <f t="shared" si="4"/>
        <v>35888.4</v>
      </c>
      <c r="M393" s="7">
        <f t="shared" si="5"/>
        <v>34393.05</v>
      </c>
      <c r="N393" s="7">
        <f t="shared" si="6"/>
        <v>32897.7</v>
      </c>
    </row>
    <row r="394">
      <c r="A394" s="5" t="s">
        <v>439</v>
      </c>
      <c r="B394" s="5" t="s">
        <v>36</v>
      </c>
      <c r="C394" s="6"/>
      <c r="D394" s="5" t="s">
        <v>793</v>
      </c>
      <c r="E394" s="5" t="s">
        <v>794</v>
      </c>
      <c r="F394" s="6"/>
      <c r="G394" s="8">
        <v>55952.0</v>
      </c>
      <c r="H394" s="5" t="s">
        <v>22</v>
      </c>
      <c r="I394" s="7">
        <f t="shared" si="1"/>
        <v>83928</v>
      </c>
      <c r="J394" s="7">
        <f t="shared" si="7"/>
        <v>72737.6</v>
      </c>
      <c r="K394" s="7">
        <f t="shared" si="3"/>
        <v>72737.6</v>
      </c>
      <c r="L394" s="7">
        <f t="shared" si="4"/>
        <v>67142.4</v>
      </c>
      <c r="M394" s="7">
        <f t="shared" si="5"/>
        <v>64344.8</v>
      </c>
      <c r="N394" s="7">
        <f t="shared" si="6"/>
        <v>61547.2</v>
      </c>
    </row>
    <row r="395">
      <c r="A395" s="5" t="s">
        <v>439</v>
      </c>
      <c r="B395" s="5" t="s">
        <v>36</v>
      </c>
      <c r="C395" s="6"/>
      <c r="D395" s="5" t="s">
        <v>795</v>
      </c>
      <c r="E395" s="5" t="s">
        <v>796</v>
      </c>
      <c r="F395" s="6"/>
      <c r="G395" s="8">
        <v>50358.0</v>
      </c>
      <c r="H395" s="5" t="s">
        <v>22</v>
      </c>
      <c r="I395" s="7">
        <f t="shared" si="1"/>
        <v>75537</v>
      </c>
      <c r="J395" s="7">
        <f t="shared" si="7"/>
        <v>65465.4</v>
      </c>
      <c r="K395" s="7">
        <f t="shared" si="3"/>
        <v>65465.4</v>
      </c>
      <c r="L395" s="7">
        <f t="shared" si="4"/>
        <v>60429.6</v>
      </c>
      <c r="M395" s="7">
        <f t="shared" si="5"/>
        <v>57911.7</v>
      </c>
      <c r="N395" s="7">
        <f t="shared" si="6"/>
        <v>55393.8</v>
      </c>
    </row>
    <row r="396">
      <c r="A396" s="5" t="s">
        <v>439</v>
      </c>
      <c r="B396" s="5" t="s">
        <v>36</v>
      </c>
      <c r="C396" s="6"/>
      <c r="D396" s="5" t="s">
        <v>797</v>
      </c>
      <c r="E396" s="5" t="s">
        <v>798</v>
      </c>
      <c r="F396" s="6"/>
      <c r="G396" s="8">
        <v>1896.0</v>
      </c>
      <c r="H396" s="5" t="s">
        <v>22</v>
      </c>
      <c r="I396" s="7">
        <f t="shared" si="1"/>
        <v>2844</v>
      </c>
      <c r="J396" s="7">
        <f t="shared" si="7"/>
        <v>2464.8</v>
      </c>
      <c r="K396" s="7">
        <f t="shared" si="3"/>
        <v>2464.8</v>
      </c>
      <c r="L396" s="7">
        <f t="shared" si="4"/>
        <v>2275.2</v>
      </c>
      <c r="M396" s="7">
        <f t="shared" si="5"/>
        <v>2180.4</v>
      </c>
      <c r="N396" s="7">
        <f t="shared" si="6"/>
        <v>2085.6</v>
      </c>
    </row>
    <row r="397">
      <c r="A397" s="5" t="s">
        <v>439</v>
      </c>
      <c r="B397" s="5" t="s">
        <v>36</v>
      </c>
      <c r="C397" s="6"/>
      <c r="D397" s="5" t="s">
        <v>799</v>
      </c>
      <c r="E397" s="5" t="s">
        <v>800</v>
      </c>
      <c r="F397" s="6"/>
      <c r="G397" s="8">
        <v>13338.0</v>
      </c>
      <c r="H397" s="5" t="s">
        <v>22</v>
      </c>
      <c r="I397" s="7">
        <f t="shared" si="1"/>
        <v>20007</v>
      </c>
      <c r="J397" s="7">
        <f t="shared" si="7"/>
        <v>17339.4</v>
      </c>
      <c r="K397" s="7">
        <f t="shared" si="3"/>
        <v>17339.4</v>
      </c>
      <c r="L397" s="7">
        <f t="shared" si="4"/>
        <v>16005.6</v>
      </c>
      <c r="M397" s="7">
        <f t="shared" si="5"/>
        <v>15338.7</v>
      </c>
      <c r="N397" s="7">
        <f t="shared" si="6"/>
        <v>14671.8</v>
      </c>
    </row>
    <row r="398">
      <c r="A398" s="5" t="s">
        <v>439</v>
      </c>
      <c r="B398" s="5" t="s">
        <v>36</v>
      </c>
      <c r="C398" s="6"/>
      <c r="D398" s="5" t="s">
        <v>801</v>
      </c>
      <c r="E398" s="5" t="s">
        <v>802</v>
      </c>
      <c r="F398" s="6"/>
      <c r="G398" s="8">
        <v>32691.0</v>
      </c>
      <c r="H398" s="5" t="s">
        <v>22</v>
      </c>
      <c r="I398" s="7">
        <f t="shared" si="1"/>
        <v>49036.5</v>
      </c>
      <c r="J398" s="7">
        <f t="shared" si="7"/>
        <v>42498.3</v>
      </c>
      <c r="K398" s="7">
        <f t="shared" si="3"/>
        <v>42498.3</v>
      </c>
      <c r="L398" s="7">
        <f t="shared" si="4"/>
        <v>39229.2</v>
      </c>
      <c r="M398" s="7">
        <f t="shared" si="5"/>
        <v>37594.65</v>
      </c>
      <c r="N398" s="7">
        <f t="shared" si="6"/>
        <v>35960.1</v>
      </c>
    </row>
    <row r="399">
      <c r="A399" s="5" t="s">
        <v>439</v>
      </c>
      <c r="B399" s="5" t="s">
        <v>36</v>
      </c>
      <c r="C399" s="6"/>
      <c r="D399" s="5" t="s">
        <v>803</v>
      </c>
      <c r="E399" s="5" t="s">
        <v>804</v>
      </c>
      <c r="F399" s="6"/>
      <c r="G399" s="8">
        <v>1778.0</v>
      </c>
      <c r="H399" s="5" t="s">
        <v>22</v>
      </c>
      <c r="I399" s="7">
        <f t="shared" si="1"/>
        <v>2667</v>
      </c>
      <c r="J399" s="7">
        <f t="shared" si="7"/>
        <v>2311.4</v>
      </c>
      <c r="K399" s="7">
        <f t="shared" si="3"/>
        <v>2311.4</v>
      </c>
      <c r="L399" s="7">
        <f t="shared" si="4"/>
        <v>2133.6</v>
      </c>
      <c r="M399" s="7">
        <f t="shared" si="5"/>
        <v>2044.7</v>
      </c>
      <c r="N399" s="7">
        <f t="shared" si="6"/>
        <v>1955.8</v>
      </c>
    </row>
    <row r="400">
      <c r="A400" s="5" t="s">
        <v>439</v>
      </c>
      <c r="B400" s="5" t="s">
        <v>36</v>
      </c>
      <c r="C400" s="6"/>
      <c r="D400" s="5" t="s">
        <v>805</v>
      </c>
      <c r="E400" s="5" t="s">
        <v>806</v>
      </c>
      <c r="F400" s="6"/>
      <c r="G400" s="8">
        <v>1336.0</v>
      </c>
      <c r="H400" s="5" t="s">
        <v>22</v>
      </c>
      <c r="I400" s="7">
        <f t="shared" si="1"/>
        <v>2004</v>
      </c>
      <c r="J400" s="7">
        <f t="shared" si="7"/>
        <v>1736.8</v>
      </c>
      <c r="K400" s="7">
        <f t="shared" si="3"/>
        <v>1736.8</v>
      </c>
      <c r="L400" s="7">
        <f t="shared" si="4"/>
        <v>1603.2</v>
      </c>
      <c r="M400" s="7">
        <f t="shared" si="5"/>
        <v>1536.4</v>
      </c>
      <c r="N400" s="7">
        <f t="shared" si="6"/>
        <v>1469.6</v>
      </c>
    </row>
    <row r="401">
      <c r="A401" s="5" t="s">
        <v>439</v>
      </c>
      <c r="B401" s="5" t="s">
        <v>36</v>
      </c>
      <c r="C401" s="6"/>
      <c r="D401" s="5" t="s">
        <v>807</v>
      </c>
      <c r="E401" s="5" t="s">
        <v>808</v>
      </c>
      <c r="F401" s="6"/>
      <c r="G401" s="8">
        <v>1146.0</v>
      </c>
      <c r="H401" s="5" t="s">
        <v>22</v>
      </c>
      <c r="I401" s="7">
        <f t="shared" si="1"/>
        <v>1719</v>
      </c>
      <c r="J401" s="7">
        <f t="shared" si="7"/>
        <v>1489.8</v>
      </c>
      <c r="K401" s="7">
        <f t="shared" si="3"/>
        <v>1489.8</v>
      </c>
      <c r="L401" s="7">
        <f t="shared" si="4"/>
        <v>1375.2</v>
      </c>
      <c r="M401" s="7">
        <f t="shared" si="5"/>
        <v>1317.9</v>
      </c>
      <c r="N401" s="7">
        <f t="shared" si="6"/>
        <v>1260.6</v>
      </c>
    </row>
    <row r="402">
      <c r="A402" s="5" t="s">
        <v>439</v>
      </c>
      <c r="B402" s="5" t="s">
        <v>36</v>
      </c>
      <c r="C402" s="6"/>
      <c r="D402" s="5" t="s">
        <v>809</v>
      </c>
      <c r="E402" s="5" t="s">
        <v>810</v>
      </c>
      <c r="F402" s="6"/>
      <c r="G402" s="5">
        <v>964.0</v>
      </c>
      <c r="H402" s="5" t="s">
        <v>22</v>
      </c>
      <c r="I402" s="7">
        <f t="shared" si="1"/>
        <v>1446</v>
      </c>
      <c r="J402" s="7">
        <f t="shared" si="7"/>
        <v>1253.2</v>
      </c>
      <c r="K402" s="7">
        <f t="shared" si="3"/>
        <v>1253.2</v>
      </c>
      <c r="L402" s="7">
        <f t="shared" si="4"/>
        <v>1156.8</v>
      </c>
      <c r="M402" s="7">
        <f t="shared" si="5"/>
        <v>1108.6</v>
      </c>
      <c r="N402" s="7">
        <f t="shared" si="6"/>
        <v>1060.4</v>
      </c>
    </row>
    <row r="403">
      <c r="A403" s="5" t="s">
        <v>439</v>
      </c>
      <c r="B403" s="5" t="s">
        <v>36</v>
      </c>
      <c r="C403" s="6"/>
      <c r="D403" s="5" t="s">
        <v>811</v>
      </c>
      <c r="E403" s="5" t="s">
        <v>812</v>
      </c>
      <c r="F403" s="6"/>
      <c r="G403" s="8">
        <v>3418.0</v>
      </c>
      <c r="H403" s="5" t="s">
        <v>22</v>
      </c>
      <c r="I403" s="7">
        <f t="shared" si="1"/>
        <v>5127</v>
      </c>
      <c r="J403" s="7">
        <f t="shared" si="7"/>
        <v>4443.4</v>
      </c>
      <c r="K403" s="7">
        <f t="shared" si="3"/>
        <v>4443.4</v>
      </c>
      <c r="L403" s="7">
        <f t="shared" si="4"/>
        <v>4101.6</v>
      </c>
      <c r="M403" s="7">
        <f t="shared" si="5"/>
        <v>3930.7</v>
      </c>
      <c r="N403" s="7">
        <f t="shared" si="6"/>
        <v>3759.8</v>
      </c>
    </row>
    <row r="404">
      <c r="A404" s="5" t="s">
        <v>439</v>
      </c>
      <c r="B404" s="5" t="s">
        <v>36</v>
      </c>
      <c r="C404" s="6"/>
      <c r="D404" s="5" t="s">
        <v>813</v>
      </c>
      <c r="E404" s="5" t="s">
        <v>814</v>
      </c>
      <c r="F404" s="6"/>
      <c r="G404" s="8">
        <v>1126.0</v>
      </c>
      <c r="H404" s="5" t="s">
        <v>22</v>
      </c>
      <c r="I404" s="7">
        <f t="shared" si="1"/>
        <v>1689</v>
      </c>
      <c r="J404" s="7">
        <f t="shared" si="7"/>
        <v>1463.8</v>
      </c>
      <c r="K404" s="7">
        <f t="shared" si="3"/>
        <v>1463.8</v>
      </c>
      <c r="L404" s="7">
        <f t="shared" si="4"/>
        <v>1351.2</v>
      </c>
      <c r="M404" s="7">
        <f t="shared" si="5"/>
        <v>1294.9</v>
      </c>
      <c r="N404" s="7">
        <f t="shared" si="6"/>
        <v>1238.6</v>
      </c>
    </row>
    <row r="405">
      <c r="A405" s="5" t="s">
        <v>439</v>
      </c>
      <c r="B405" s="5" t="s">
        <v>36</v>
      </c>
      <c r="C405" s="6"/>
      <c r="D405" s="5" t="s">
        <v>815</v>
      </c>
      <c r="E405" s="5" t="s">
        <v>816</v>
      </c>
      <c r="F405" s="6"/>
      <c r="G405" s="8">
        <v>1393.0</v>
      </c>
      <c r="H405" s="5" t="s">
        <v>22</v>
      </c>
      <c r="I405" s="7">
        <f t="shared" si="1"/>
        <v>2089.5</v>
      </c>
      <c r="J405" s="7">
        <f t="shared" si="7"/>
        <v>1810.9</v>
      </c>
      <c r="K405" s="7">
        <f t="shared" si="3"/>
        <v>1810.9</v>
      </c>
      <c r="L405" s="7">
        <f t="shared" si="4"/>
        <v>1671.6</v>
      </c>
      <c r="M405" s="7">
        <f t="shared" si="5"/>
        <v>1601.95</v>
      </c>
      <c r="N405" s="7">
        <f t="shared" si="6"/>
        <v>1532.3</v>
      </c>
    </row>
    <row r="406">
      <c r="A406" s="5" t="s">
        <v>439</v>
      </c>
      <c r="B406" s="5" t="s">
        <v>36</v>
      </c>
      <c r="C406" s="6"/>
      <c r="D406" s="5" t="s">
        <v>817</v>
      </c>
      <c r="E406" s="5" t="s">
        <v>818</v>
      </c>
      <c r="F406" s="6"/>
      <c r="G406" s="8">
        <v>12235.0</v>
      </c>
      <c r="H406" s="5" t="s">
        <v>22</v>
      </c>
      <c r="I406" s="7">
        <f t="shared" si="1"/>
        <v>18352.5</v>
      </c>
      <c r="J406" s="7">
        <f t="shared" si="7"/>
        <v>15905.5</v>
      </c>
      <c r="K406" s="7">
        <f t="shared" si="3"/>
        <v>15905.5</v>
      </c>
      <c r="L406" s="7">
        <f t="shared" si="4"/>
        <v>14682</v>
      </c>
      <c r="M406" s="7">
        <f t="shared" si="5"/>
        <v>14070.25</v>
      </c>
      <c r="N406" s="7">
        <f t="shared" si="6"/>
        <v>13458.5</v>
      </c>
    </row>
    <row r="407">
      <c r="A407" s="5" t="s">
        <v>439</v>
      </c>
      <c r="B407" s="5" t="s">
        <v>36</v>
      </c>
      <c r="C407" s="6"/>
      <c r="D407" s="5" t="s">
        <v>819</v>
      </c>
      <c r="E407" s="5" t="s">
        <v>820</v>
      </c>
      <c r="F407" s="6"/>
      <c r="G407" s="8">
        <v>8538.0</v>
      </c>
      <c r="H407" s="5" t="s">
        <v>22</v>
      </c>
      <c r="I407" s="7">
        <f t="shared" si="1"/>
        <v>12807</v>
      </c>
      <c r="J407" s="7">
        <f t="shared" si="7"/>
        <v>11099.4</v>
      </c>
      <c r="K407" s="7">
        <f t="shared" si="3"/>
        <v>11099.4</v>
      </c>
      <c r="L407" s="7">
        <f t="shared" si="4"/>
        <v>10245.6</v>
      </c>
      <c r="M407" s="7">
        <f t="shared" si="5"/>
        <v>9818.7</v>
      </c>
      <c r="N407" s="7">
        <f t="shared" si="6"/>
        <v>9391.8</v>
      </c>
    </row>
    <row r="408">
      <c r="A408" s="5" t="s">
        <v>439</v>
      </c>
      <c r="B408" s="5" t="s">
        <v>36</v>
      </c>
      <c r="C408" s="6"/>
      <c r="D408" s="5" t="s">
        <v>821</v>
      </c>
      <c r="E408" s="5" t="s">
        <v>822</v>
      </c>
      <c r="F408" s="6"/>
      <c r="G408" s="8">
        <v>8543.0</v>
      </c>
      <c r="H408" s="5" t="s">
        <v>22</v>
      </c>
      <c r="I408" s="7">
        <f t="shared" si="1"/>
        <v>12814.5</v>
      </c>
      <c r="J408" s="7">
        <f t="shared" si="7"/>
        <v>11105.9</v>
      </c>
      <c r="K408" s="7">
        <f t="shared" si="3"/>
        <v>11105.9</v>
      </c>
      <c r="L408" s="7">
        <f t="shared" si="4"/>
        <v>10251.6</v>
      </c>
      <c r="M408" s="7">
        <f t="shared" si="5"/>
        <v>9824.45</v>
      </c>
      <c r="N408" s="7">
        <f t="shared" si="6"/>
        <v>9397.3</v>
      </c>
    </row>
    <row r="409">
      <c r="A409" s="5" t="s">
        <v>439</v>
      </c>
      <c r="B409" s="5" t="s">
        <v>36</v>
      </c>
      <c r="C409" s="6"/>
      <c r="D409" s="5" t="s">
        <v>823</v>
      </c>
      <c r="E409" s="5" t="s">
        <v>824</v>
      </c>
      <c r="F409" s="6"/>
      <c r="G409" s="8">
        <v>9986.0</v>
      </c>
      <c r="H409" s="5" t="s">
        <v>22</v>
      </c>
      <c r="I409" s="7">
        <f t="shared" si="1"/>
        <v>14979</v>
      </c>
      <c r="J409" s="7">
        <f t="shared" si="7"/>
        <v>12981.8</v>
      </c>
      <c r="K409" s="7">
        <f t="shared" si="3"/>
        <v>12981.8</v>
      </c>
      <c r="L409" s="7">
        <f t="shared" si="4"/>
        <v>11983.2</v>
      </c>
      <c r="M409" s="7">
        <f t="shared" si="5"/>
        <v>11483.9</v>
      </c>
      <c r="N409" s="7">
        <f t="shared" si="6"/>
        <v>10984.6</v>
      </c>
    </row>
    <row r="410">
      <c r="A410" s="5" t="s">
        <v>439</v>
      </c>
      <c r="B410" s="5" t="s">
        <v>36</v>
      </c>
      <c r="C410" s="6"/>
      <c r="D410" s="5" t="s">
        <v>825</v>
      </c>
      <c r="E410" s="5" t="s">
        <v>826</v>
      </c>
      <c r="F410" s="6"/>
      <c r="G410" s="8">
        <v>9994.0</v>
      </c>
      <c r="H410" s="5" t="s">
        <v>22</v>
      </c>
      <c r="I410" s="7">
        <f t="shared" si="1"/>
        <v>14991</v>
      </c>
      <c r="J410" s="7">
        <f t="shared" si="7"/>
        <v>12992.2</v>
      </c>
      <c r="K410" s="7">
        <f t="shared" si="3"/>
        <v>12992.2</v>
      </c>
      <c r="L410" s="7">
        <f t="shared" si="4"/>
        <v>11992.8</v>
      </c>
      <c r="M410" s="7">
        <f t="shared" si="5"/>
        <v>11493.1</v>
      </c>
      <c r="N410" s="7">
        <f t="shared" si="6"/>
        <v>10993.4</v>
      </c>
    </row>
    <row r="411">
      <c r="A411" s="5" t="s">
        <v>439</v>
      </c>
      <c r="B411" s="5" t="s">
        <v>36</v>
      </c>
      <c r="C411" s="6"/>
      <c r="D411" s="5" t="s">
        <v>827</v>
      </c>
      <c r="E411" s="5" t="s">
        <v>828</v>
      </c>
      <c r="F411" s="6"/>
      <c r="G411" s="8">
        <v>7952.0</v>
      </c>
      <c r="H411" s="5" t="s">
        <v>22</v>
      </c>
      <c r="I411" s="7">
        <f t="shared" si="1"/>
        <v>11928</v>
      </c>
      <c r="J411" s="7">
        <f t="shared" si="7"/>
        <v>10337.6</v>
      </c>
      <c r="K411" s="7">
        <f t="shared" si="3"/>
        <v>10337.6</v>
      </c>
      <c r="L411" s="7">
        <f t="shared" si="4"/>
        <v>9542.4</v>
      </c>
      <c r="M411" s="7">
        <f t="shared" si="5"/>
        <v>9144.8</v>
      </c>
      <c r="N411" s="7">
        <f t="shared" si="6"/>
        <v>8747.2</v>
      </c>
    </row>
    <row r="412">
      <c r="A412" s="5" t="s">
        <v>439</v>
      </c>
      <c r="B412" s="5" t="s">
        <v>36</v>
      </c>
      <c r="C412" s="6"/>
      <c r="D412" s="5" t="s">
        <v>829</v>
      </c>
      <c r="E412" s="5" t="s">
        <v>830</v>
      </c>
      <c r="F412" s="6"/>
      <c r="G412" s="8">
        <v>7952.0</v>
      </c>
      <c r="H412" s="5" t="s">
        <v>22</v>
      </c>
      <c r="I412" s="7">
        <f t="shared" si="1"/>
        <v>11928</v>
      </c>
      <c r="J412" s="7">
        <f t="shared" si="7"/>
        <v>10337.6</v>
      </c>
      <c r="K412" s="7">
        <f t="shared" si="3"/>
        <v>10337.6</v>
      </c>
      <c r="L412" s="7">
        <f t="shared" si="4"/>
        <v>9542.4</v>
      </c>
      <c r="M412" s="7">
        <f t="shared" si="5"/>
        <v>9144.8</v>
      </c>
      <c r="N412" s="7">
        <f t="shared" si="6"/>
        <v>8747.2</v>
      </c>
    </row>
    <row r="413">
      <c r="A413" s="5" t="s">
        <v>439</v>
      </c>
      <c r="B413" s="5" t="s">
        <v>36</v>
      </c>
      <c r="C413" s="6"/>
      <c r="D413" s="5" t="s">
        <v>831</v>
      </c>
      <c r="E413" s="5" t="s">
        <v>832</v>
      </c>
      <c r="F413" s="6"/>
      <c r="G413" s="8">
        <v>9100.0</v>
      </c>
      <c r="H413" s="5" t="s">
        <v>22</v>
      </c>
      <c r="I413" s="7">
        <f t="shared" si="1"/>
        <v>13650</v>
      </c>
      <c r="J413" s="7">
        <f t="shared" si="7"/>
        <v>11830</v>
      </c>
      <c r="K413" s="7">
        <f t="shared" si="3"/>
        <v>11830</v>
      </c>
      <c r="L413" s="7">
        <f t="shared" si="4"/>
        <v>10920</v>
      </c>
      <c r="M413" s="7">
        <f t="shared" si="5"/>
        <v>10465</v>
      </c>
      <c r="N413" s="7">
        <f t="shared" si="6"/>
        <v>10010</v>
      </c>
    </row>
    <row r="414">
      <c r="A414" s="5" t="s">
        <v>439</v>
      </c>
      <c r="B414" s="5" t="s">
        <v>36</v>
      </c>
      <c r="C414" s="6"/>
      <c r="D414" s="5" t="s">
        <v>833</v>
      </c>
      <c r="E414" s="5" t="s">
        <v>834</v>
      </c>
      <c r="F414" s="6"/>
      <c r="G414" s="8">
        <v>7043.0</v>
      </c>
      <c r="H414" s="5" t="s">
        <v>22</v>
      </c>
      <c r="I414" s="7">
        <f t="shared" si="1"/>
        <v>10564.5</v>
      </c>
      <c r="J414" s="7">
        <f t="shared" si="7"/>
        <v>9155.9</v>
      </c>
      <c r="K414" s="7">
        <f t="shared" si="3"/>
        <v>9155.9</v>
      </c>
      <c r="L414" s="7">
        <f t="shared" si="4"/>
        <v>8451.6</v>
      </c>
      <c r="M414" s="7">
        <f t="shared" si="5"/>
        <v>8099.45</v>
      </c>
      <c r="N414" s="7">
        <f t="shared" si="6"/>
        <v>7747.3</v>
      </c>
    </row>
    <row r="415">
      <c r="A415" s="5" t="s">
        <v>439</v>
      </c>
      <c r="B415" s="5" t="s">
        <v>36</v>
      </c>
      <c r="C415" s="6"/>
      <c r="D415" s="5" t="s">
        <v>835</v>
      </c>
      <c r="E415" s="5" t="s">
        <v>836</v>
      </c>
      <c r="F415" s="6"/>
      <c r="G415" s="8">
        <v>8772.0</v>
      </c>
      <c r="H415" s="5" t="s">
        <v>22</v>
      </c>
      <c r="I415" s="7">
        <f t="shared" si="1"/>
        <v>13158</v>
      </c>
      <c r="J415" s="7">
        <f t="shared" si="7"/>
        <v>11403.6</v>
      </c>
      <c r="K415" s="7">
        <f t="shared" si="3"/>
        <v>11403.6</v>
      </c>
      <c r="L415" s="7">
        <f t="shared" si="4"/>
        <v>10526.4</v>
      </c>
      <c r="M415" s="7">
        <f t="shared" si="5"/>
        <v>10087.8</v>
      </c>
      <c r="N415" s="7">
        <f t="shared" si="6"/>
        <v>9649.2</v>
      </c>
    </row>
    <row r="416">
      <c r="A416" s="5" t="s">
        <v>439</v>
      </c>
      <c r="B416" s="5" t="s">
        <v>36</v>
      </c>
      <c r="C416" s="6"/>
      <c r="D416" s="5" t="s">
        <v>837</v>
      </c>
      <c r="E416" s="5" t="s">
        <v>836</v>
      </c>
      <c r="F416" s="6"/>
      <c r="G416" s="8">
        <v>11948.0</v>
      </c>
      <c r="H416" s="5" t="s">
        <v>22</v>
      </c>
      <c r="I416" s="7">
        <f t="shared" si="1"/>
        <v>17922</v>
      </c>
      <c r="J416" s="7">
        <f t="shared" si="7"/>
        <v>15532.4</v>
      </c>
      <c r="K416" s="7">
        <f t="shared" si="3"/>
        <v>15532.4</v>
      </c>
      <c r="L416" s="7">
        <f t="shared" si="4"/>
        <v>14337.6</v>
      </c>
      <c r="M416" s="7">
        <f t="shared" si="5"/>
        <v>13740.2</v>
      </c>
      <c r="N416" s="7">
        <f t="shared" si="6"/>
        <v>13142.8</v>
      </c>
    </row>
    <row r="417">
      <c r="A417" s="5" t="s">
        <v>439</v>
      </c>
      <c r="B417" s="5" t="s">
        <v>36</v>
      </c>
      <c r="C417" s="6"/>
      <c r="D417" s="5" t="s">
        <v>838</v>
      </c>
      <c r="E417" s="5" t="s">
        <v>839</v>
      </c>
      <c r="F417" s="6"/>
      <c r="G417" s="8">
        <v>1847.0</v>
      </c>
      <c r="H417" s="5" t="s">
        <v>22</v>
      </c>
      <c r="I417" s="7">
        <f t="shared" si="1"/>
        <v>2770.5</v>
      </c>
      <c r="J417" s="7">
        <f t="shared" si="7"/>
        <v>2401.1</v>
      </c>
      <c r="K417" s="7">
        <f t="shared" si="3"/>
        <v>2401.1</v>
      </c>
      <c r="L417" s="7">
        <f t="shared" si="4"/>
        <v>2216.4</v>
      </c>
      <c r="M417" s="7">
        <f t="shared" si="5"/>
        <v>2124.05</v>
      </c>
      <c r="N417" s="7">
        <f t="shared" si="6"/>
        <v>2031.7</v>
      </c>
    </row>
    <row r="418">
      <c r="A418" s="5" t="s">
        <v>439</v>
      </c>
      <c r="B418" s="5" t="s">
        <v>36</v>
      </c>
      <c r="C418" s="6"/>
      <c r="D418" s="5" t="s">
        <v>840</v>
      </c>
      <c r="E418" s="5" t="s">
        <v>841</v>
      </c>
      <c r="F418" s="6"/>
      <c r="G418" s="8">
        <v>190041.0</v>
      </c>
      <c r="H418" s="5" t="s">
        <v>22</v>
      </c>
      <c r="I418" s="7">
        <f t="shared" si="1"/>
        <v>285061.5</v>
      </c>
      <c r="J418" s="7">
        <f t="shared" si="7"/>
        <v>247053.3</v>
      </c>
      <c r="K418" s="7">
        <f t="shared" si="3"/>
        <v>247053.3</v>
      </c>
      <c r="L418" s="7">
        <f t="shared" si="4"/>
        <v>228049.2</v>
      </c>
      <c r="M418" s="7">
        <f t="shared" si="5"/>
        <v>218547.15</v>
      </c>
      <c r="N418" s="7">
        <f t="shared" si="6"/>
        <v>209045.1</v>
      </c>
    </row>
    <row r="419">
      <c r="A419" s="5" t="s">
        <v>439</v>
      </c>
      <c r="B419" s="5" t="s">
        <v>36</v>
      </c>
      <c r="C419" s="6"/>
      <c r="D419" s="5" t="s">
        <v>842</v>
      </c>
      <c r="E419" s="5" t="s">
        <v>843</v>
      </c>
      <c r="F419" s="6"/>
      <c r="G419" s="8">
        <v>111433.0</v>
      </c>
      <c r="H419" s="5" t="s">
        <v>22</v>
      </c>
      <c r="I419" s="7">
        <f t="shared" si="1"/>
        <v>167149.5</v>
      </c>
      <c r="J419" s="7">
        <f t="shared" si="7"/>
        <v>144862.9</v>
      </c>
      <c r="K419" s="7">
        <f t="shared" si="3"/>
        <v>144862.9</v>
      </c>
      <c r="L419" s="7">
        <f t="shared" si="4"/>
        <v>133719.6</v>
      </c>
      <c r="M419" s="7">
        <f t="shared" si="5"/>
        <v>128147.95</v>
      </c>
      <c r="N419" s="7">
        <f t="shared" si="6"/>
        <v>122576.3</v>
      </c>
    </row>
    <row r="420">
      <c r="A420" s="5" t="s">
        <v>439</v>
      </c>
      <c r="B420" s="5" t="s">
        <v>36</v>
      </c>
      <c r="C420" s="6"/>
      <c r="D420" s="5" t="s">
        <v>844</v>
      </c>
      <c r="E420" s="5" t="s">
        <v>845</v>
      </c>
      <c r="F420" s="6"/>
      <c r="G420" s="8">
        <v>35201.0</v>
      </c>
      <c r="H420" s="5" t="s">
        <v>22</v>
      </c>
      <c r="I420" s="7">
        <f t="shared" si="1"/>
        <v>52801.5</v>
      </c>
      <c r="J420" s="7">
        <f t="shared" si="7"/>
        <v>45761.3</v>
      </c>
      <c r="K420" s="7">
        <f t="shared" si="3"/>
        <v>45761.3</v>
      </c>
      <c r="L420" s="7">
        <f t="shared" si="4"/>
        <v>42241.2</v>
      </c>
      <c r="M420" s="7">
        <f t="shared" si="5"/>
        <v>40481.15</v>
      </c>
      <c r="N420" s="7">
        <f t="shared" si="6"/>
        <v>38721.1</v>
      </c>
    </row>
    <row r="421">
      <c r="A421" s="5" t="s">
        <v>439</v>
      </c>
      <c r="B421" s="5" t="s">
        <v>36</v>
      </c>
      <c r="C421" s="6"/>
      <c r="D421" s="5" t="s">
        <v>846</v>
      </c>
      <c r="E421" s="5" t="s">
        <v>847</v>
      </c>
      <c r="F421" s="6"/>
      <c r="G421" s="8">
        <v>46660.0</v>
      </c>
      <c r="H421" s="5" t="s">
        <v>22</v>
      </c>
      <c r="I421" s="7">
        <f t="shared" si="1"/>
        <v>69990</v>
      </c>
      <c r="J421" s="7">
        <f t="shared" si="7"/>
        <v>60658</v>
      </c>
      <c r="K421" s="7">
        <f t="shared" si="3"/>
        <v>60658</v>
      </c>
      <c r="L421" s="7">
        <f t="shared" si="4"/>
        <v>55992</v>
      </c>
      <c r="M421" s="7">
        <f t="shared" si="5"/>
        <v>53659</v>
      </c>
      <c r="N421" s="7">
        <f t="shared" si="6"/>
        <v>51326</v>
      </c>
    </row>
    <row r="422">
      <c r="A422" s="5" t="s">
        <v>439</v>
      </c>
      <c r="B422" s="5" t="s">
        <v>36</v>
      </c>
      <c r="C422" s="6"/>
      <c r="D422" s="5" t="s">
        <v>848</v>
      </c>
      <c r="E422" s="5" t="s">
        <v>849</v>
      </c>
      <c r="F422" s="6"/>
      <c r="G422" s="8">
        <v>18792.0</v>
      </c>
      <c r="H422" s="5" t="s">
        <v>22</v>
      </c>
      <c r="I422" s="7">
        <f t="shared" si="1"/>
        <v>28188</v>
      </c>
      <c r="J422" s="7">
        <f t="shared" si="7"/>
        <v>24429.6</v>
      </c>
      <c r="K422" s="7">
        <f t="shared" si="3"/>
        <v>24429.6</v>
      </c>
      <c r="L422" s="7">
        <f t="shared" si="4"/>
        <v>22550.4</v>
      </c>
      <c r="M422" s="7">
        <f t="shared" si="5"/>
        <v>21610.8</v>
      </c>
      <c r="N422" s="7">
        <f t="shared" si="6"/>
        <v>20671.2</v>
      </c>
    </row>
    <row r="423">
      <c r="A423" s="5" t="s">
        <v>439</v>
      </c>
      <c r="B423" s="5" t="s">
        <v>36</v>
      </c>
      <c r="C423" s="6"/>
      <c r="D423" s="5" t="s">
        <v>850</v>
      </c>
      <c r="E423" s="5" t="s">
        <v>851</v>
      </c>
      <c r="F423" s="6"/>
      <c r="G423" s="8">
        <v>20409.0</v>
      </c>
      <c r="H423" s="5" t="s">
        <v>22</v>
      </c>
      <c r="I423" s="7">
        <f t="shared" si="1"/>
        <v>30613.5</v>
      </c>
      <c r="J423" s="7">
        <f t="shared" si="7"/>
        <v>26531.7</v>
      </c>
      <c r="K423" s="7">
        <f t="shared" si="3"/>
        <v>26531.7</v>
      </c>
      <c r="L423" s="7">
        <f t="shared" si="4"/>
        <v>24490.8</v>
      </c>
      <c r="M423" s="7">
        <f t="shared" si="5"/>
        <v>23470.35</v>
      </c>
      <c r="N423" s="7">
        <f t="shared" si="6"/>
        <v>22449.9</v>
      </c>
    </row>
    <row r="424">
      <c r="A424" s="5" t="s">
        <v>439</v>
      </c>
      <c r="B424" s="5" t="s">
        <v>36</v>
      </c>
      <c r="C424" s="6"/>
      <c r="D424" s="5" t="s">
        <v>852</v>
      </c>
      <c r="E424" s="5" t="s">
        <v>853</v>
      </c>
      <c r="F424" s="6"/>
      <c r="G424" s="8">
        <v>29133.0</v>
      </c>
      <c r="H424" s="5" t="s">
        <v>22</v>
      </c>
      <c r="I424" s="7">
        <f t="shared" si="1"/>
        <v>43699.5</v>
      </c>
      <c r="J424" s="7">
        <f t="shared" si="7"/>
        <v>37872.9</v>
      </c>
      <c r="K424" s="7">
        <f t="shared" si="3"/>
        <v>37872.9</v>
      </c>
      <c r="L424" s="7">
        <f t="shared" si="4"/>
        <v>34959.6</v>
      </c>
      <c r="M424" s="7">
        <f t="shared" si="5"/>
        <v>33502.95</v>
      </c>
      <c r="N424" s="7">
        <f t="shared" si="6"/>
        <v>32046.3</v>
      </c>
    </row>
    <row r="425">
      <c r="A425" s="5" t="s">
        <v>439</v>
      </c>
      <c r="B425" s="5" t="s">
        <v>36</v>
      </c>
      <c r="C425" s="6"/>
      <c r="D425" s="5" t="s">
        <v>854</v>
      </c>
      <c r="E425" s="5" t="s">
        <v>855</v>
      </c>
      <c r="F425" s="6"/>
      <c r="G425" s="8">
        <v>8884.0</v>
      </c>
      <c r="H425" s="5" t="s">
        <v>22</v>
      </c>
      <c r="I425" s="7">
        <f t="shared" si="1"/>
        <v>13326</v>
      </c>
      <c r="J425" s="7">
        <f t="shared" si="7"/>
        <v>11549.2</v>
      </c>
      <c r="K425" s="7">
        <f t="shared" si="3"/>
        <v>11549.2</v>
      </c>
      <c r="L425" s="7">
        <f t="shared" si="4"/>
        <v>10660.8</v>
      </c>
      <c r="M425" s="7">
        <f t="shared" si="5"/>
        <v>10216.6</v>
      </c>
      <c r="N425" s="7">
        <f t="shared" si="6"/>
        <v>9772.4</v>
      </c>
    </row>
    <row r="426">
      <c r="A426" s="5" t="s">
        <v>439</v>
      </c>
      <c r="B426" s="6"/>
      <c r="C426" s="6"/>
      <c r="D426" s="5" t="s">
        <v>856</v>
      </c>
      <c r="E426" s="5" t="s">
        <v>857</v>
      </c>
      <c r="F426" s="6"/>
      <c r="G426" s="8">
        <v>1688.0</v>
      </c>
      <c r="H426" s="5" t="s">
        <v>22</v>
      </c>
      <c r="I426" s="7">
        <f t="shared" si="1"/>
        <v>2532</v>
      </c>
      <c r="J426" s="7">
        <f t="shared" si="7"/>
        <v>2194.4</v>
      </c>
      <c r="K426" s="7">
        <f t="shared" si="3"/>
        <v>2194.4</v>
      </c>
      <c r="L426" s="7">
        <f t="shared" si="4"/>
        <v>2025.6</v>
      </c>
      <c r="M426" s="7">
        <f t="shared" si="5"/>
        <v>1941.2</v>
      </c>
      <c r="N426" s="7">
        <f t="shared" si="6"/>
        <v>1856.8</v>
      </c>
    </row>
    <row r="427">
      <c r="A427" s="5" t="s">
        <v>439</v>
      </c>
      <c r="B427" s="6"/>
      <c r="C427" s="6"/>
      <c r="D427" s="5" t="s">
        <v>858</v>
      </c>
      <c r="E427" s="5" t="s">
        <v>859</v>
      </c>
      <c r="F427" s="6"/>
      <c r="G427" s="8">
        <v>6309.0</v>
      </c>
      <c r="H427" s="5" t="s">
        <v>22</v>
      </c>
      <c r="I427" s="7">
        <f t="shared" si="1"/>
        <v>9463.5</v>
      </c>
      <c r="J427" s="7">
        <f t="shared" si="7"/>
        <v>8201.7</v>
      </c>
      <c r="K427" s="7">
        <f t="shared" si="3"/>
        <v>8201.7</v>
      </c>
      <c r="L427" s="7">
        <f t="shared" si="4"/>
        <v>7570.8</v>
      </c>
      <c r="M427" s="7">
        <f t="shared" si="5"/>
        <v>7255.35</v>
      </c>
      <c r="N427" s="7">
        <f t="shared" si="6"/>
        <v>6939.9</v>
      </c>
    </row>
    <row r="428">
      <c r="A428" s="5" t="s">
        <v>439</v>
      </c>
      <c r="B428" s="6"/>
      <c r="C428" s="6"/>
      <c r="D428" s="5" t="s">
        <v>860</v>
      </c>
      <c r="E428" s="5" t="s">
        <v>861</v>
      </c>
      <c r="F428" s="6"/>
      <c r="G428" s="8">
        <v>3386.0</v>
      </c>
      <c r="H428" s="5" t="s">
        <v>22</v>
      </c>
      <c r="I428" s="7">
        <f t="shared" si="1"/>
        <v>5079</v>
      </c>
      <c r="J428" s="7">
        <f t="shared" si="7"/>
        <v>4401.8</v>
      </c>
      <c r="K428" s="7">
        <f t="shared" si="3"/>
        <v>4401.8</v>
      </c>
      <c r="L428" s="7">
        <f t="shared" si="4"/>
        <v>4063.2</v>
      </c>
      <c r="M428" s="7">
        <f t="shared" si="5"/>
        <v>3893.9</v>
      </c>
      <c r="N428" s="7">
        <f t="shared" si="6"/>
        <v>3724.6</v>
      </c>
    </row>
    <row r="429">
      <c r="A429" s="5" t="s">
        <v>439</v>
      </c>
      <c r="B429" s="6"/>
      <c r="C429" s="6"/>
      <c r="D429" s="5" t="s">
        <v>862</v>
      </c>
      <c r="E429" s="5" t="s">
        <v>863</v>
      </c>
      <c r="F429" s="6"/>
      <c r="G429" s="8">
        <v>6626.0</v>
      </c>
      <c r="H429" s="5" t="s">
        <v>22</v>
      </c>
      <c r="I429" s="7">
        <f t="shared" si="1"/>
        <v>9939</v>
      </c>
      <c r="J429" s="7">
        <f t="shared" si="7"/>
        <v>8613.8</v>
      </c>
      <c r="K429" s="7">
        <f t="shared" si="3"/>
        <v>8613.8</v>
      </c>
      <c r="L429" s="7">
        <f t="shared" si="4"/>
        <v>7951.2</v>
      </c>
      <c r="M429" s="7">
        <f t="shared" si="5"/>
        <v>7619.9</v>
      </c>
      <c r="N429" s="7">
        <f t="shared" si="6"/>
        <v>7288.6</v>
      </c>
    </row>
    <row r="430">
      <c r="A430" s="5" t="s">
        <v>439</v>
      </c>
      <c r="B430" s="6"/>
      <c r="C430" s="6"/>
      <c r="D430" s="5" t="s">
        <v>864</v>
      </c>
      <c r="E430" s="5" t="s">
        <v>865</v>
      </c>
      <c r="F430" s="6"/>
      <c r="G430" s="8">
        <v>40124.0</v>
      </c>
      <c r="H430" s="5" t="s">
        <v>22</v>
      </c>
      <c r="I430" s="7">
        <f t="shared" si="1"/>
        <v>60186</v>
      </c>
      <c r="J430" s="7">
        <f t="shared" si="7"/>
        <v>52161.2</v>
      </c>
      <c r="K430" s="7">
        <f t="shared" si="3"/>
        <v>52161.2</v>
      </c>
      <c r="L430" s="7">
        <f t="shared" si="4"/>
        <v>48148.8</v>
      </c>
      <c r="M430" s="7">
        <f t="shared" si="5"/>
        <v>46142.6</v>
      </c>
      <c r="N430" s="7">
        <f t="shared" si="6"/>
        <v>44136.4</v>
      </c>
    </row>
    <row r="431">
      <c r="A431" s="5" t="s">
        <v>439</v>
      </c>
      <c r="B431" s="6"/>
      <c r="C431" s="6"/>
      <c r="D431" s="5" t="s">
        <v>866</v>
      </c>
      <c r="E431" s="5" t="s">
        <v>867</v>
      </c>
      <c r="F431" s="6"/>
      <c r="G431" s="8">
        <v>26265.0</v>
      </c>
      <c r="H431" s="5" t="s">
        <v>22</v>
      </c>
      <c r="I431" s="7">
        <f t="shared" si="1"/>
        <v>39397.5</v>
      </c>
      <c r="J431" s="7">
        <f t="shared" si="7"/>
        <v>34144.5</v>
      </c>
      <c r="K431" s="7">
        <f t="shared" si="3"/>
        <v>34144.5</v>
      </c>
      <c r="L431" s="7">
        <f t="shared" si="4"/>
        <v>31518</v>
      </c>
      <c r="M431" s="7">
        <f t="shared" si="5"/>
        <v>30204.75</v>
      </c>
      <c r="N431" s="7">
        <f t="shared" si="6"/>
        <v>28891.5</v>
      </c>
    </row>
    <row r="432">
      <c r="A432" s="5" t="s">
        <v>439</v>
      </c>
      <c r="B432" s="6"/>
      <c r="C432" s="6"/>
      <c r="D432" s="5" t="s">
        <v>868</v>
      </c>
      <c r="E432" s="5" t="s">
        <v>869</v>
      </c>
      <c r="F432" s="6"/>
      <c r="G432" s="8">
        <v>3418.0</v>
      </c>
      <c r="H432" s="5" t="s">
        <v>22</v>
      </c>
      <c r="I432" s="7">
        <f t="shared" si="1"/>
        <v>5127</v>
      </c>
      <c r="J432" s="7">
        <f t="shared" si="7"/>
        <v>4443.4</v>
      </c>
      <c r="K432" s="7">
        <f t="shared" si="3"/>
        <v>4443.4</v>
      </c>
      <c r="L432" s="7">
        <f t="shared" si="4"/>
        <v>4101.6</v>
      </c>
      <c r="M432" s="7">
        <f t="shared" si="5"/>
        <v>3930.7</v>
      </c>
      <c r="N432" s="7">
        <f t="shared" si="6"/>
        <v>3759.8</v>
      </c>
    </row>
    <row r="433">
      <c r="A433" s="5" t="s">
        <v>439</v>
      </c>
      <c r="B433" s="6"/>
      <c r="C433" s="6"/>
      <c r="D433" s="5" t="s">
        <v>870</v>
      </c>
      <c r="E433" s="5" t="s">
        <v>871</v>
      </c>
      <c r="F433" s="6"/>
      <c r="G433" s="8">
        <v>6437.0</v>
      </c>
      <c r="H433" s="5" t="s">
        <v>22</v>
      </c>
      <c r="I433" s="7">
        <f t="shared" si="1"/>
        <v>9655.5</v>
      </c>
      <c r="J433" s="7">
        <f t="shared" si="7"/>
        <v>8368.1</v>
      </c>
      <c r="K433" s="7">
        <f t="shared" si="3"/>
        <v>8368.1</v>
      </c>
      <c r="L433" s="7">
        <f t="shared" si="4"/>
        <v>7724.4</v>
      </c>
      <c r="M433" s="7">
        <f t="shared" si="5"/>
        <v>7402.55</v>
      </c>
      <c r="N433" s="7">
        <f t="shared" si="6"/>
        <v>7080.7</v>
      </c>
    </row>
    <row r="434">
      <c r="A434" s="5" t="s">
        <v>439</v>
      </c>
      <c r="B434" s="6"/>
      <c r="C434" s="6"/>
      <c r="D434" s="5" t="s">
        <v>872</v>
      </c>
      <c r="E434" s="5" t="s">
        <v>873</v>
      </c>
      <c r="F434" s="6"/>
      <c r="G434" s="8">
        <v>7446.0</v>
      </c>
      <c r="H434" s="5" t="s">
        <v>22</v>
      </c>
      <c r="I434" s="7">
        <f t="shared" si="1"/>
        <v>11169</v>
      </c>
      <c r="J434" s="7">
        <f t="shared" si="7"/>
        <v>9679.8</v>
      </c>
      <c r="K434" s="7">
        <f t="shared" si="3"/>
        <v>9679.8</v>
      </c>
      <c r="L434" s="7">
        <f t="shared" si="4"/>
        <v>8935.2</v>
      </c>
      <c r="M434" s="7">
        <f t="shared" si="5"/>
        <v>8562.9</v>
      </c>
      <c r="N434" s="7">
        <f t="shared" si="6"/>
        <v>8190.6</v>
      </c>
    </row>
    <row r="435">
      <c r="A435" s="5" t="s">
        <v>439</v>
      </c>
      <c r="B435" s="6"/>
      <c r="C435" s="6"/>
      <c r="D435" s="5" t="s">
        <v>874</v>
      </c>
      <c r="E435" s="5" t="s">
        <v>875</v>
      </c>
      <c r="F435" s="6"/>
      <c r="G435" s="8">
        <v>27961.0</v>
      </c>
      <c r="H435" s="5" t="s">
        <v>22</v>
      </c>
      <c r="I435" s="7">
        <f t="shared" si="1"/>
        <v>41941.5</v>
      </c>
      <c r="J435" s="7">
        <f t="shared" si="7"/>
        <v>36349.3</v>
      </c>
      <c r="K435" s="7">
        <f t="shared" si="3"/>
        <v>36349.3</v>
      </c>
      <c r="L435" s="7">
        <f t="shared" si="4"/>
        <v>33553.2</v>
      </c>
      <c r="M435" s="7">
        <f t="shared" si="5"/>
        <v>32155.15</v>
      </c>
      <c r="N435" s="7">
        <f t="shared" si="6"/>
        <v>30757.1</v>
      </c>
    </row>
    <row r="436">
      <c r="A436" s="5" t="s">
        <v>439</v>
      </c>
      <c r="B436" s="6"/>
      <c r="C436" s="6"/>
      <c r="D436" s="5" t="s">
        <v>876</v>
      </c>
      <c r="E436" s="5" t="s">
        <v>877</v>
      </c>
      <c r="F436" s="6"/>
      <c r="G436" s="8">
        <v>1055558.0</v>
      </c>
      <c r="H436" s="5" t="s">
        <v>22</v>
      </c>
      <c r="I436" s="7">
        <f t="shared" si="1"/>
        <v>1583337</v>
      </c>
      <c r="J436" s="7">
        <f t="shared" si="7"/>
        <v>1372225.4</v>
      </c>
      <c r="K436" s="7">
        <f t="shared" si="3"/>
        <v>1372225.4</v>
      </c>
      <c r="L436" s="7">
        <f t="shared" si="4"/>
        <v>1266669.6</v>
      </c>
      <c r="M436" s="7">
        <f t="shared" si="5"/>
        <v>1213891.7</v>
      </c>
      <c r="N436" s="7">
        <f t="shared" si="6"/>
        <v>1161113.8</v>
      </c>
    </row>
    <row r="437">
      <c r="A437" s="5" t="s">
        <v>439</v>
      </c>
      <c r="B437" s="6"/>
      <c r="C437" s="6"/>
      <c r="D437" s="5" t="s">
        <v>878</v>
      </c>
      <c r="E437" s="5" t="s">
        <v>879</v>
      </c>
      <c r="F437" s="6"/>
      <c r="G437" s="8">
        <v>193866.0</v>
      </c>
      <c r="H437" s="5" t="s">
        <v>22</v>
      </c>
      <c r="I437" s="7">
        <f t="shared" si="1"/>
        <v>290799</v>
      </c>
      <c r="J437" s="7">
        <f t="shared" si="7"/>
        <v>252025.8</v>
      </c>
      <c r="K437" s="7">
        <f t="shared" si="3"/>
        <v>252025.8</v>
      </c>
      <c r="L437" s="7">
        <f t="shared" si="4"/>
        <v>232639.2</v>
      </c>
      <c r="M437" s="7">
        <f t="shared" si="5"/>
        <v>222945.9</v>
      </c>
      <c r="N437" s="7">
        <f t="shared" si="6"/>
        <v>213252.6</v>
      </c>
    </row>
    <row r="438">
      <c r="A438" s="5" t="s">
        <v>439</v>
      </c>
      <c r="B438" s="6"/>
      <c r="C438" s="6"/>
      <c r="D438" s="5" t="s">
        <v>880</v>
      </c>
      <c r="E438" s="5" t="s">
        <v>881</v>
      </c>
      <c r="F438" s="6"/>
      <c r="G438" s="8">
        <v>131941.0</v>
      </c>
      <c r="H438" s="5" t="s">
        <v>22</v>
      </c>
      <c r="I438" s="7">
        <f t="shared" si="1"/>
        <v>197911.5</v>
      </c>
      <c r="J438" s="7">
        <f t="shared" si="7"/>
        <v>171523.3</v>
      </c>
      <c r="K438" s="7">
        <f t="shared" si="3"/>
        <v>171523.3</v>
      </c>
      <c r="L438" s="7">
        <f t="shared" si="4"/>
        <v>158329.2</v>
      </c>
      <c r="M438" s="7">
        <f t="shared" si="5"/>
        <v>151732.15</v>
      </c>
      <c r="N438" s="7">
        <f t="shared" si="6"/>
        <v>145135.1</v>
      </c>
    </row>
    <row r="439">
      <c r="A439" s="5" t="s">
        <v>439</v>
      </c>
      <c r="B439" s="6"/>
      <c r="C439" s="6"/>
      <c r="D439" s="5" t="s">
        <v>882</v>
      </c>
      <c r="E439" s="5" t="s">
        <v>883</v>
      </c>
      <c r="F439" s="6"/>
      <c r="G439" s="8">
        <v>148954.0</v>
      </c>
      <c r="H439" s="5" t="s">
        <v>22</v>
      </c>
      <c r="I439" s="7">
        <f t="shared" si="1"/>
        <v>223431</v>
      </c>
      <c r="J439" s="7">
        <f t="shared" si="7"/>
        <v>193640.2</v>
      </c>
      <c r="K439" s="7">
        <f t="shared" si="3"/>
        <v>193640.2</v>
      </c>
      <c r="L439" s="7">
        <f t="shared" si="4"/>
        <v>178744.8</v>
      </c>
      <c r="M439" s="7">
        <f t="shared" si="5"/>
        <v>171297.1</v>
      </c>
      <c r="N439" s="7">
        <f t="shared" si="6"/>
        <v>163849.4</v>
      </c>
    </row>
    <row r="440">
      <c r="A440" s="5" t="s">
        <v>439</v>
      </c>
      <c r="B440" s="6"/>
      <c r="C440" s="6"/>
      <c r="D440" s="5" t="s">
        <v>884</v>
      </c>
      <c r="E440" s="5" t="s">
        <v>885</v>
      </c>
      <c r="F440" s="6"/>
      <c r="G440" s="8">
        <v>218611.0</v>
      </c>
      <c r="H440" s="5" t="s">
        <v>22</v>
      </c>
      <c r="I440" s="7">
        <f t="shared" si="1"/>
        <v>327916.5</v>
      </c>
      <c r="J440" s="7">
        <f t="shared" si="7"/>
        <v>284194.3</v>
      </c>
      <c r="K440" s="7">
        <f t="shared" si="3"/>
        <v>284194.3</v>
      </c>
      <c r="L440" s="7">
        <f t="shared" si="4"/>
        <v>262333.2</v>
      </c>
      <c r="M440" s="7">
        <f t="shared" si="5"/>
        <v>251402.65</v>
      </c>
      <c r="N440" s="7">
        <f t="shared" si="6"/>
        <v>240472.1</v>
      </c>
    </row>
    <row r="441">
      <c r="A441" s="5" t="s">
        <v>439</v>
      </c>
      <c r="B441" s="6"/>
      <c r="C441" s="6"/>
      <c r="D441" s="5" t="s">
        <v>886</v>
      </c>
      <c r="E441" s="5" t="s">
        <v>887</v>
      </c>
      <c r="F441" s="6"/>
      <c r="G441" s="8">
        <v>3021.0</v>
      </c>
      <c r="H441" s="5" t="s">
        <v>22</v>
      </c>
      <c r="I441" s="7">
        <f t="shared" si="1"/>
        <v>4531.5</v>
      </c>
      <c r="J441" s="7">
        <f t="shared" si="7"/>
        <v>3927.3</v>
      </c>
      <c r="K441" s="7">
        <f t="shared" si="3"/>
        <v>3927.3</v>
      </c>
      <c r="L441" s="7">
        <f t="shared" si="4"/>
        <v>3625.2</v>
      </c>
      <c r="M441" s="7">
        <f t="shared" si="5"/>
        <v>3474.15</v>
      </c>
      <c r="N441" s="7">
        <f t="shared" si="6"/>
        <v>3323.1</v>
      </c>
    </row>
    <row r="442">
      <c r="A442" s="5" t="s">
        <v>439</v>
      </c>
      <c r="B442" s="6"/>
      <c r="C442" s="6"/>
      <c r="D442" s="5" t="s">
        <v>888</v>
      </c>
      <c r="E442" s="5" t="s">
        <v>889</v>
      </c>
      <c r="F442" s="6"/>
      <c r="G442" s="8">
        <v>8713.0</v>
      </c>
      <c r="H442" s="5" t="s">
        <v>22</v>
      </c>
      <c r="I442" s="7">
        <f t="shared" si="1"/>
        <v>13069.5</v>
      </c>
      <c r="J442" s="7">
        <f t="shared" si="7"/>
        <v>11326.9</v>
      </c>
      <c r="K442" s="7">
        <f t="shared" si="3"/>
        <v>11326.9</v>
      </c>
      <c r="L442" s="7">
        <f t="shared" si="4"/>
        <v>10455.6</v>
      </c>
      <c r="M442" s="7">
        <f t="shared" si="5"/>
        <v>10019.95</v>
      </c>
      <c r="N442" s="7">
        <f t="shared" si="6"/>
        <v>9584.3</v>
      </c>
    </row>
    <row r="443">
      <c r="A443" s="5" t="s">
        <v>439</v>
      </c>
      <c r="B443" s="6"/>
      <c r="C443" s="6"/>
      <c r="D443" s="5" t="s">
        <v>890</v>
      </c>
      <c r="E443" s="5" t="s">
        <v>891</v>
      </c>
      <c r="F443" s="6"/>
      <c r="G443" s="8">
        <v>9668.0</v>
      </c>
      <c r="H443" s="5" t="s">
        <v>22</v>
      </c>
      <c r="I443" s="7">
        <f t="shared" si="1"/>
        <v>14502</v>
      </c>
      <c r="J443" s="7">
        <f t="shared" si="7"/>
        <v>12568.4</v>
      </c>
      <c r="K443" s="7">
        <f t="shared" si="3"/>
        <v>12568.4</v>
      </c>
      <c r="L443" s="7">
        <f t="shared" si="4"/>
        <v>11601.6</v>
      </c>
      <c r="M443" s="7">
        <f t="shared" si="5"/>
        <v>11118.2</v>
      </c>
      <c r="N443" s="7">
        <f t="shared" si="6"/>
        <v>10634.8</v>
      </c>
    </row>
    <row r="444">
      <c r="A444" s="5" t="s">
        <v>439</v>
      </c>
      <c r="B444" s="6"/>
      <c r="C444" s="6"/>
      <c r="D444" s="5" t="s">
        <v>892</v>
      </c>
      <c r="E444" s="5" t="s">
        <v>893</v>
      </c>
      <c r="F444" s="6"/>
      <c r="G444" s="8">
        <v>5387.0</v>
      </c>
      <c r="H444" s="5" t="s">
        <v>22</v>
      </c>
      <c r="I444" s="7">
        <f t="shared" si="1"/>
        <v>8080.5</v>
      </c>
      <c r="J444" s="7">
        <f t="shared" si="7"/>
        <v>7003.1</v>
      </c>
      <c r="K444" s="7">
        <f t="shared" si="3"/>
        <v>7003.1</v>
      </c>
      <c r="L444" s="7">
        <f t="shared" si="4"/>
        <v>6464.4</v>
      </c>
      <c r="M444" s="7">
        <f t="shared" si="5"/>
        <v>6195.05</v>
      </c>
      <c r="N444" s="7">
        <f t="shared" si="6"/>
        <v>5925.7</v>
      </c>
    </row>
    <row r="445">
      <c r="A445" s="5" t="s">
        <v>439</v>
      </c>
      <c r="B445" s="6"/>
      <c r="C445" s="6"/>
      <c r="D445" s="5" t="s">
        <v>894</v>
      </c>
      <c r="E445" s="5" t="s">
        <v>895</v>
      </c>
      <c r="F445" s="6"/>
      <c r="G445" s="8">
        <v>17965.0</v>
      </c>
      <c r="H445" s="5" t="s">
        <v>22</v>
      </c>
      <c r="I445" s="7">
        <f t="shared" si="1"/>
        <v>26947.5</v>
      </c>
      <c r="J445" s="7">
        <f t="shared" si="7"/>
        <v>23354.5</v>
      </c>
      <c r="K445" s="7">
        <f t="shared" si="3"/>
        <v>23354.5</v>
      </c>
      <c r="L445" s="7">
        <f t="shared" si="4"/>
        <v>21558</v>
      </c>
      <c r="M445" s="7">
        <f t="shared" si="5"/>
        <v>20659.75</v>
      </c>
      <c r="N445" s="7">
        <f t="shared" si="6"/>
        <v>19761.5</v>
      </c>
    </row>
    <row r="446">
      <c r="A446" s="5" t="s">
        <v>439</v>
      </c>
      <c r="B446" s="6"/>
      <c r="C446" s="6"/>
      <c r="D446" s="5" t="s">
        <v>896</v>
      </c>
      <c r="E446" s="5" t="s">
        <v>897</v>
      </c>
      <c r="F446" s="6"/>
      <c r="G446" s="8">
        <v>6572.0</v>
      </c>
      <c r="H446" s="5" t="s">
        <v>22</v>
      </c>
      <c r="I446" s="7">
        <f t="shared" si="1"/>
        <v>9858</v>
      </c>
      <c r="J446" s="7">
        <f t="shared" si="7"/>
        <v>8543.6</v>
      </c>
      <c r="K446" s="7">
        <f t="shared" si="3"/>
        <v>8543.6</v>
      </c>
      <c r="L446" s="7">
        <f t="shared" si="4"/>
        <v>7886.4</v>
      </c>
      <c r="M446" s="7">
        <f t="shared" si="5"/>
        <v>7557.8</v>
      </c>
      <c r="N446" s="7">
        <f t="shared" si="6"/>
        <v>7229.2</v>
      </c>
    </row>
    <row r="447">
      <c r="A447" s="5" t="s">
        <v>439</v>
      </c>
      <c r="B447" s="6"/>
      <c r="C447" s="6"/>
      <c r="D447" s="5" t="s">
        <v>898</v>
      </c>
      <c r="E447" s="5" t="s">
        <v>899</v>
      </c>
      <c r="F447" s="6"/>
      <c r="G447" s="8">
        <v>18552.0</v>
      </c>
      <c r="H447" s="5" t="s">
        <v>22</v>
      </c>
      <c r="I447" s="7">
        <f t="shared" si="1"/>
        <v>27828</v>
      </c>
      <c r="J447" s="7">
        <f t="shared" si="7"/>
        <v>24117.6</v>
      </c>
      <c r="K447" s="7">
        <f t="shared" si="3"/>
        <v>24117.6</v>
      </c>
      <c r="L447" s="7">
        <f t="shared" si="4"/>
        <v>22262.4</v>
      </c>
      <c r="M447" s="7">
        <f t="shared" si="5"/>
        <v>21334.8</v>
      </c>
      <c r="N447" s="7">
        <f t="shared" si="6"/>
        <v>20407.2</v>
      </c>
    </row>
    <row r="448">
      <c r="A448" s="5" t="s">
        <v>439</v>
      </c>
      <c r="B448" s="6"/>
      <c r="C448" s="6"/>
      <c r="D448" s="5" t="s">
        <v>900</v>
      </c>
      <c r="E448" s="5" t="s">
        <v>901</v>
      </c>
      <c r="F448" s="6"/>
      <c r="G448" s="8">
        <v>5047.0</v>
      </c>
      <c r="H448" s="5" t="s">
        <v>22</v>
      </c>
      <c r="I448" s="7">
        <f t="shared" si="1"/>
        <v>7570.5</v>
      </c>
      <c r="J448" s="7">
        <f t="shared" si="7"/>
        <v>6561.1</v>
      </c>
      <c r="K448" s="7">
        <f t="shared" si="3"/>
        <v>6561.1</v>
      </c>
      <c r="L448" s="7">
        <f t="shared" si="4"/>
        <v>6056.4</v>
      </c>
      <c r="M448" s="7">
        <f t="shared" si="5"/>
        <v>5804.05</v>
      </c>
      <c r="N448" s="7">
        <f t="shared" si="6"/>
        <v>5551.7</v>
      </c>
    </row>
    <row r="449">
      <c r="A449" s="5" t="s">
        <v>439</v>
      </c>
      <c r="B449" s="6"/>
      <c r="C449" s="6"/>
      <c r="D449" s="5" t="s">
        <v>902</v>
      </c>
      <c r="E449" s="5" t="s">
        <v>903</v>
      </c>
      <c r="F449" s="6"/>
      <c r="G449" s="8">
        <v>5658.0</v>
      </c>
      <c r="H449" s="5" t="s">
        <v>22</v>
      </c>
      <c r="I449" s="7">
        <f t="shared" si="1"/>
        <v>8487</v>
      </c>
      <c r="J449" s="7">
        <f t="shared" si="7"/>
        <v>7355.4</v>
      </c>
      <c r="K449" s="7">
        <f t="shared" si="3"/>
        <v>7355.4</v>
      </c>
      <c r="L449" s="7">
        <f t="shared" si="4"/>
        <v>6789.6</v>
      </c>
      <c r="M449" s="7">
        <f t="shared" si="5"/>
        <v>6506.7</v>
      </c>
      <c r="N449" s="7">
        <f t="shared" si="6"/>
        <v>6223.8</v>
      </c>
    </row>
    <row r="450">
      <c r="A450" s="5" t="s">
        <v>439</v>
      </c>
      <c r="B450" s="6"/>
      <c r="C450" s="6"/>
      <c r="D450" s="5" t="s">
        <v>904</v>
      </c>
      <c r="E450" s="5" t="s">
        <v>905</v>
      </c>
      <c r="F450" s="6"/>
      <c r="G450" s="8">
        <v>5812.0</v>
      </c>
      <c r="H450" s="5" t="s">
        <v>22</v>
      </c>
      <c r="I450" s="7">
        <f t="shared" si="1"/>
        <v>8718</v>
      </c>
      <c r="J450" s="7">
        <f t="shared" si="7"/>
        <v>7555.6</v>
      </c>
      <c r="K450" s="7">
        <f t="shared" si="3"/>
        <v>7555.6</v>
      </c>
      <c r="L450" s="7">
        <f t="shared" si="4"/>
        <v>6974.4</v>
      </c>
      <c r="M450" s="7">
        <f t="shared" si="5"/>
        <v>6683.8</v>
      </c>
      <c r="N450" s="7">
        <f t="shared" si="6"/>
        <v>6393.2</v>
      </c>
    </row>
    <row r="451">
      <c r="A451" s="5" t="s">
        <v>439</v>
      </c>
      <c r="B451" s="6"/>
      <c r="C451" s="6"/>
      <c r="D451" s="5" t="s">
        <v>525</v>
      </c>
      <c r="E451" s="5" t="s">
        <v>906</v>
      </c>
      <c r="F451" s="6"/>
      <c r="G451" s="8">
        <v>3161.0</v>
      </c>
      <c r="H451" s="5" t="s">
        <v>22</v>
      </c>
      <c r="I451" s="7">
        <f t="shared" si="1"/>
        <v>4741.5</v>
      </c>
      <c r="J451" s="7">
        <f t="shared" si="7"/>
        <v>4109.3</v>
      </c>
      <c r="K451" s="7">
        <f t="shared" si="3"/>
        <v>4109.3</v>
      </c>
      <c r="L451" s="7">
        <f t="shared" si="4"/>
        <v>3793.2</v>
      </c>
      <c r="M451" s="7">
        <f t="shared" si="5"/>
        <v>3635.15</v>
      </c>
      <c r="N451" s="7">
        <f t="shared" si="6"/>
        <v>3477.1</v>
      </c>
    </row>
    <row r="452">
      <c r="A452" s="5" t="s">
        <v>439</v>
      </c>
      <c r="B452" s="6"/>
      <c r="C452" s="6"/>
      <c r="D452" s="5" t="s">
        <v>907</v>
      </c>
      <c r="E452" s="5" t="s">
        <v>908</v>
      </c>
      <c r="F452" s="6"/>
      <c r="G452" s="8">
        <v>5013.0</v>
      </c>
      <c r="H452" s="5" t="s">
        <v>22</v>
      </c>
      <c r="I452" s="7">
        <f t="shared" si="1"/>
        <v>7519.5</v>
      </c>
      <c r="J452" s="7">
        <f t="shared" si="7"/>
        <v>6516.9</v>
      </c>
      <c r="K452" s="7">
        <f t="shared" si="3"/>
        <v>6516.9</v>
      </c>
      <c r="L452" s="7">
        <f t="shared" si="4"/>
        <v>6015.6</v>
      </c>
      <c r="M452" s="7">
        <f t="shared" si="5"/>
        <v>5764.95</v>
      </c>
      <c r="N452" s="7">
        <f t="shared" si="6"/>
        <v>5514.3</v>
      </c>
    </row>
    <row r="453">
      <c r="A453" s="5" t="s">
        <v>439</v>
      </c>
      <c r="B453" s="6"/>
      <c r="C453" s="6"/>
      <c r="D453" s="5" t="s">
        <v>909</v>
      </c>
      <c r="E453" s="5" t="s">
        <v>910</v>
      </c>
      <c r="F453" s="6"/>
      <c r="G453" s="8">
        <v>4820.0</v>
      </c>
      <c r="H453" s="5" t="s">
        <v>22</v>
      </c>
      <c r="I453" s="7">
        <f t="shared" si="1"/>
        <v>7230</v>
      </c>
      <c r="J453" s="7">
        <f t="shared" si="7"/>
        <v>6266</v>
      </c>
      <c r="K453" s="7">
        <f t="shared" si="3"/>
        <v>6266</v>
      </c>
      <c r="L453" s="7">
        <f t="shared" si="4"/>
        <v>5784</v>
      </c>
      <c r="M453" s="7">
        <f t="shared" si="5"/>
        <v>5543</v>
      </c>
      <c r="N453" s="7">
        <f t="shared" si="6"/>
        <v>5302</v>
      </c>
    </row>
    <row r="454">
      <c r="A454" s="5" t="s">
        <v>439</v>
      </c>
      <c r="B454" s="6"/>
      <c r="C454" s="6"/>
      <c r="D454" s="5" t="s">
        <v>911</v>
      </c>
      <c r="E454" s="5" t="s">
        <v>912</v>
      </c>
      <c r="F454" s="6"/>
      <c r="G454" s="8">
        <v>4032.0</v>
      </c>
      <c r="H454" s="5" t="s">
        <v>22</v>
      </c>
      <c r="I454" s="7">
        <f t="shared" si="1"/>
        <v>6048</v>
      </c>
      <c r="J454" s="7">
        <f t="shared" si="7"/>
        <v>5241.6</v>
      </c>
      <c r="K454" s="7">
        <f t="shared" si="3"/>
        <v>5241.6</v>
      </c>
      <c r="L454" s="7">
        <f t="shared" si="4"/>
        <v>4838.4</v>
      </c>
      <c r="M454" s="7">
        <f t="shared" si="5"/>
        <v>4636.8</v>
      </c>
      <c r="N454" s="7">
        <f t="shared" si="6"/>
        <v>4435.2</v>
      </c>
    </row>
    <row r="455">
      <c r="A455" s="5" t="s">
        <v>439</v>
      </c>
      <c r="B455" s="6"/>
      <c r="C455" s="6"/>
      <c r="D455" s="5" t="s">
        <v>913</v>
      </c>
      <c r="E455" s="5" t="s">
        <v>914</v>
      </c>
      <c r="F455" s="6"/>
      <c r="G455" s="8">
        <v>3742.0</v>
      </c>
      <c r="H455" s="5" t="s">
        <v>22</v>
      </c>
      <c r="I455" s="7">
        <f t="shared" si="1"/>
        <v>5613</v>
      </c>
      <c r="J455" s="7">
        <f t="shared" si="7"/>
        <v>4864.6</v>
      </c>
      <c r="K455" s="7">
        <f t="shared" si="3"/>
        <v>4864.6</v>
      </c>
      <c r="L455" s="7">
        <f t="shared" si="4"/>
        <v>4490.4</v>
      </c>
      <c r="M455" s="7">
        <f t="shared" si="5"/>
        <v>4303.3</v>
      </c>
      <c r="N455" s="7">
        <f t="shared" si="6"/>
        <v>4116.2</v>
      </c>
    </row>
    <row r="456">
      <c r="A456" s="5" t="s">
        <v>439</v>
      </c>
      <c r="B456" s="6"/>
      <c r="C456" s="6"/>
      <c r="D456" s="5" t="s">
        <v>915</v>
      </c>
      <c r="E456" s="5" t="s">
        <v>916</v>
      </c>
      <c r="F456" s="6"/>
      <c r="G456" s="5">
        <v>721.0</v>
      </c>
      <c r="H456" s="5" t="s">
        <v>22</v>
      </c>
      <c r="I456" s="7">
        <f t="shared" si="1"/>
        <v>1081.5</v>
      </c>
      <c r="J456" s="7">
        <f t="shared" si="7"/>
        <v>937.3</v>
      </c>
      <c r="K456" s="7">
        <f t="shared" si="3"/>
        <v>937.3</v>
      </c>
      <c r="L456" s="7">
        <f t="shared" si="4"/>
        <v>865.2</v>
      </c>
      <c r="M456" s="7">
        <f t="shared" si="5"/>
        <v>829.15</v>
      </c>
      <c r="N456" s="7">
        <f t="shared" si="6"/>
        <v>793.1</v>
      </c>
    </row>
    <row r="457">
      <c r="A457" s="5" t="s">
        <v>439</v>
      </c>
      <c r="B457" s="6"/>
      <c r="C457" s="6"/>
      <c r="D457" s="5" t="s">
        <v>917</v>
      </c>
      <c r="E457" s="5" t="s">
        <v>918</v>
      </c>
      <c r="F457" s="6"/>
      <c r="G457" s="8">
        <v>8426.0</v>
      </c>
      <c r="H457" s="5" t="s">
        <v>22</v>
      </c>
      <c r="I457" s="7">
        <f t="shared" si="1"/>
        <v>12639</v>
      </c>
      <c r="J457" s="7">
        <f t="shared" si="7"/>
        <v>10953.8</v>
      </c>
      <c r="K457" s="7">
        <f t="shared" si="3"/>
        <v>10953.8</v>
      </c>
      <c r="L457" s="7">
        <f t="shared" si="4"/>
        <v>10111.2</v>
      </c>
      <c r="M457" s="7">
        <f t="shared" si="5"/>
        <v>9689.9</v>
      </c>
      <c r="N457" s="7">
        <f t="shared" si="6"/>
        <v>9268.6</v>
      </c>
    </row>
    <row r="458">
      <c r="A458" s="5" t="s">
        <v>439</v>
      </c>
      <c r="B458" s="6"/>
      <c r="C458" s="6"/>
      <c r="D458" s="5" t="s">
        <v>919</v>
      </c>
      <c r="E458" s="5" t="s">
        <v>920</v>
      </c>
      <c r="F458" s="6"/>
      <c r="G458" s="8">
        <v>1629.0</v>
      </c>
      <c r="H458" s="5" t="s">
        <v>22</v>
      </c>
      <c r="I458" s="7">
        <f t="shared" si="1"/>
        <v>2443.5</v>
      </c>
      <c r="J458" s="7">
        <f t="shared" si="7"/>
        <v>2117.7</v>
      </c>
      <c r="K458" s="7">
        <f t="shared" si="3"/>
        <v>2117.7</v>
      </c>
      <c r="L458" s="7">
        <f t="shared" si="4"/>
        <v>1954.8</v>
      </c>
      <c r="M458" s="7">
        <f t="shared" si="5"/>
        <v>1873.35</v>
      </c>
      <c r="N458" s="7">
        <f t="shared" si="6"/>
        <v>1791.9</v>
      </c>
    </row>
    <row r="459">
      <c r="A459" s="5" t="s">
        <v>439</v>
      </c>
      <c r="B459" s="6"/>
      <c r="C459" s="6"/>
      <c r="D459" s="5" t="s">
        <v>921</v>
      </c>
      <c r="E459" s="5" t="s">
        <v>922</v>
      </c>
      <c r="F459" s="6"/>
      <c r="G459" s="8">
        <v>3178.0</v>
      </c>
      <c r="H459" s="5" t="s">
        <v>22</v>
      </c>
      <c r="I459" s="7">
        <f t="shared" si="1"/>
        <v>4767</v>
      </c>
      <c r="J459" s="7">
        <f t="shared" si="7"/>
        <v>4131.4</v>
      </c>
      <c r="K459" s="7">
        <f t="shared" si="3"/>
        <v>4131.4</v>
      </c>
      <c r="L459" s="7">
        <f t="shared" si="4"/>
        <v>3813.6</v>
      </c>
      <c r="M459" s="7">
        <f t="shared" si="5"/>
        <v>3654.7</v>
      </c>
      <c r="N459" s="7">
        <f t="shared" si="6"/>
        <v>3495.8</v>
      </c>
    </row>
    <row r="460">
      <c r="A460" s="5" t="s">
        <v>439</v>
      </c>
      <c r="B460" s="6"/>
      <c r="C460" s="6"/>
      <c r="D460" s="5" t="s">
        <v>923</v>
      </c>
      <c r="E460" s="5" t="s">
        <v>924</v>
      </c>
      <c r="F460" s="6"/>
      <c r="G460" s="8">
        <v>1452.0</v>
      </c>
      <c r="H460" s="5" t="s">
        <v>22</v>
      </c>
      <c r="I460" s="7">
        <f t="shared" si="1"/>
        <v>2178</v>
      </c>
      <c r="J460" s="7">
        <f t="shared" si="7"/>
        <v>1887.6</v>
      </c>
      <c r="K460" s="7">
        <f t="shared" si="3"/>
        <v>1887.6</v>
      </c>
      <c r="L460" s="7">
        <f t="shared" si="4"/>
        <v>1742.4</v>
      </c>
      <c r="M460" s="7">
        <f t="shared" si="5"/>
        <v>1669.8</v>
      </c>
      <c r="N460" s="7">
        <f t="shared" si="6"/>
        <v>1597.2</v>
      </c>
    </row>
    <row r="461">
      <c r="A461" s="5" t="s">
        <v>439</v>
      </c>
      <c r="B461" s="6"/>
      <c r="C461" s="6"/>
      <c r="D461" s="5" t="s">
        <v>925</v>
      </c>
      <c r="E461" s="5" t="s">
        <v>926</v>
      </c>
      <c r="F461" s="6"/>
      <c r="G461" s="8">
        <v>6086.0</v>
      </c>
      <c r="H461" s="5" t="s">
        <v>22</v>
      </c>
      <c r="I461" s="7">
        <f t="shared" si="1"/>
        <v>9129</v>
      </c>
      <c r="J461" s="7">
        <f t="shared" si="7"/>
        <v>7911.8</v>
      </c>
      <c r="K461" s="7">
        <f t="shared" si="3"/>
        <v>7911.8</v>
      </c>
      <c r="L461" s="7">
        <f t="shared" si="4"/>
        <v>7303.2</v>
      </c>
      <c r="M461" s="7">
        <f t="shared" si="5"/>
        <v>6998.9</v>
      </c>
      <c r="N461" s="7">
        <f t="shared" si="6"/>
        <v>6694.6</v>
      </c>
    </row>
    <row r="462">
      <c r="A462" s="5" t="s">
        <v>439</v>
      </c>
      <c r="B462" s="6"/>
      <c r="C462" s="6"/>
      <c r="D462" s="5" t="s">
        <v>927</v>
      </c>
      <c r="E462" s="5" t="s">
        <v>928</v>
      </c>
      <c r="F462" s="6"/>
      <c r="G462" s="8">
        <v>1300.0</v>
      </c>
      <c r="H462" s="5" t="s">
        <v>22</v>
      </c>
      <c r="I462" s="7">
        <f t="shared" si="1"/>
        <v>1950</v>
      </c>
      <c r="J462" s="7">
        <f t="shared" si="7"/>
        <v>1690</v>
      </c>
      <c r="K462" s="7">
        <f t="shared" si="3"/>
        <v>1690</v>
      </c>
      <c r="L462" s="7">
        <f t="shared" si="4"/>
        <v>1560</v>
      </c>
      <c r="M462" s="7">
        <f t="shared" si="5"/>
        <v>1495</v>
      </c>
      <c r="N462" s="7">
        <f t="shared" si="6"/>
        <v>1430</v>
      </c>
    </row>
    <row r="463">
      <c r="A463" s="5" t="s">
        <v>439</v>
      </c>
      <c r="B463" s="6"/>
      <c r="C463" s="6"/>
      <c r="D463" s="5" t="s">
        <v>929</v>
      </c>
      <c r="E463" s="5" t="s">
        <v>930</v>
      </c>
      <c r="F463" s="6"/>
      <c r="G463" s="5">
        <v>709.0</v>
      </c>
      <c r="H463" s="5" t="s">
        <v>22</v>
      </c>
      <c r="I463" s="7">
        <f t="shared" si="1"/>
        <v>1063.5</v>
      </c>
      <c r="J463" s="7">
        <f t="shared" si="7"/>
        <v>921.7</v>
      </c>
      <c r="K463" s="7">
        <f t="shared" si="3"/>
        <v>921.7</v>
      </c>
      <c r="L463" s="7">
        <f t="shared" si="4"/>
        <v>850.8</v>
      </c>
      <c r="M463" s="7">
        <f t="shared" si="5"/>
        <v>815.35</v>
      </c>
      <c r="N463" s="7">
        <f t="shared" si="6"/>
        <v>779.9</v>
      </c>
    </row>
    <row r="464">
      <c r="A464" s="5" t="s">
        <v>439</v>
      </c>
      <c r="B464" s="6"/>
      <c r="C464" s="6"/>
      <c r="D464" s="5" t="s">
        <v>931</v>
      </c>
      <c r="E464" s="5" t="s">
        <v>932</v>
      </c>
      <c r="F464" s="6"/>
      <c r="G464" s="8">
        <v>2304.0</v>
      </c>
      <c r="H464" s="5" t="s">
        <v>22</v>
      </c>
      <c r="I464" s="7">
        <f t="shared" si="1"/>
        <v>3456</v>
      </c>
      <c r="J464" s="7">
        <f t="shared" si="7"/>
        <v>2995.2</v>
      </c>
      <c r="K464" s="7">
        <f t="shared" si="3"/>
        <v>2995.2</v>
      </c>
      <c r="L464" s="7">
        <f t="shared" si="4"/>
        <v>2764.8</v>
      </c>
      <c r="M464" s="7">
        <f t="shared" si="5"/>
        <v>2649.6</v>
      </c>
      <c r="N464" s="7">
        <f t="shared" si="6"/>
        <v>2534.4</v>
      </c>
    </row>
    <row r="465">
      <c r="A465" s="5" t="s">
        <v>439</v>
      </c>
      <c r="B465" s="6"/>
      <c r="C465" s="6"/>
      <c r="D465" s="5" t="s">
        <v>933</v>
      </c>
      <c r="E465" s="5" t="s">
        <v>934</v>
      </c>
      <c r="F465" s="6"/>
      <c r="G465" s="8">
        <v>2948.0</v>
      </c>
      <c r="H465" s="5" t="s">
        <v>22</v>
      </c>
      <c r="I465" s="7">
        <f t="shared" si="1"/>
        <v>4422</v>
      </c>
      <c r="J465" s="7">
        <f t="shared" si="7"/>
        <v>3832.4</v>
      </c>
      <c r="K465" s="7">
        <f t="shared" si="3"/>
        <v>3832.4</v>
      </c>
      <c r="L465" s="7">
        <f t="shared" si="4"/>
        <v>3537.6</v>
      </c>
      <c r="M465" s="7">
        <f t="shared" si="5"/>
        <v>3390.2</v>
      </c>
      <c r="N465" s="7">
        <f t="shared" si="6"/>
        <v>3242.8</v>
      </c>
    </row>
    <row r="466">
      <c r="A466" s="5" t="s">
        <v>439</v>
      </c>
      <c r="B466" s="6"/>
      <c r="C466" s="6"/>
      <c r="D466" s="5" t="s">
        <v>935</v>
      </c>
      <c r="E466" s="5" t="s">
        <v>936</v>
      </c>
      <c r="F466" s="6"/>
      <c r="G466" s="8">
        <v>3626.0</v>
      </c>
      <c r="H466" s="5" t="s">
        <v>22</v>
      </c>
      <c r="I466" s="7">
        <f t="shared" si="1"/>
        <v>5439</v>
      </c>
      <c r="J466" s="7">
        <f t="shared" si="7"/>
        <v>4713.8</v>
      </c>
      <c r="K466" s="7">
        <f t="shared" si="3"/>
        <v>4713.8</v>
      </c>
      <c r="L466" s="7">
        <f t="shared" si="4"/>
        <v>4351.2</v>
      </c>
      <c r="M466" s="7">
        <f t="shared" si="5"/>
        <v>4169.9</v>
      </c>
      <c r="N466" s="7">
        <f t="shared" si="6"/>
        <v>3988.6</v>
      </c>
    </row>
    <row r="467">
      <c r="A467" s="5" t="s">
        <v>439</v>
      </c>
      <c r="B467" s="6"/>
      <c r="C467" s="6"/>
      <c r="D467" s="5" t="s">
        <v>937</v>
      </c>
      <c r="E467" s="5" t="s">
        <v>938</v>
      </c>
      <c r="F467" s="6"/>
      <c r="G467" s="8">
        <v>9329.0</v>
      </c>
      <c r="H467" s="5" t="s">
        <v>22</v>
      </c>
      <c r="I467" s="7">
        <f t="shared" si="1"/>
        <v>13993.5</v>
      </c>
      <c r="J467" s="7">
        <f t="shared" si="7"/>
        <v>12127.7</v>
      </c>
      <c r="K467" s="7">
        <f t="shared" si="3"/>
        <v>12127.7</v>
      </c>
      <c r="L467" s="7">
        <f t="shared" si="4"/>
        <v>11194.8</v>
      </c>
      <c r="M467" s="7">
        <f t="shared" si="5"/>
        <v>10728.35</v>
      </c>
      <c r="N467" s="7">
        <f t="shared" si="6"/>
        <v>10261.9</v>
      </c>
    </row>
    <row r="468">
      <c r="A468" s="5" t="s">
        <v>439</v>
      </c>
      <c r="B468" s="6"/>
      <c r="C468" s="6"/>
      <c r="D468" s="5" t="s">
        <v>939</v>
      </c>
      <c r="E468" s="5" t="s">
        <v>940</v>
      </c>
      <c r="F468" s="6"/>
      <c r="G468" s="8">
        <v>2403.0</v>
      </c>
      <c r="H468" s="5" t="s">
        <v>22</v>
      </c>
      <c r="I468" s="7">
        <f t="shared" si="1"/>
        <v>3604.5</v>
      </c>
      <c r="J468" s="7">
        <f t="shared" si="7"/>
        <v>3123.9</v>
      </c>
      <c r="K468" s="7">
        <f t="shared" si="3"/>
        <v>3123.9</v>
      </c>
      <c r="L468" s="7">
        <f t="shared" si="4"/>
        <v>2883.6</v>
      </c>
      <c r="M468" s="7">
        <f t="shared" si="5"/>
        <v>2763.45</v>
      </c>
      <c r="N468" s="7">
        <f t="shared" si="6"/>
        <v>2643.3</v>
      </c>
    </row>
    <row r="469">
      <c r="A469" s="5" t="s">
        <v>439</v>
      </c>
      <c r="B469" s="6"/>
      <c r="C469" s="6"/>
      <c r="D469" s="5" t="s">
        <v>941</v>
      </c>
      <c r="E469" s="5" t="s">
        <v>942</v>
      </c>
      <c r="F469" s="6"/>
      <c r="G469" s="8">
        <v>45190.0</v>
      </c>
      <c r="H469" s="5" t="s">
        <v>22</v>
      </c>
      <c r="I469" s="7">
        <f t="shared" si="1"/>
        <v>67785</v>
      </c>
      <c r="J469" s="7">
        <f t="shared" si="7"/>
        <v>58747</v>
      </c>
      <c r="K469" s="7">
        <f t="shared" si="3"/>
        <v>58747</v>
      </c>
      <c r="L469" s="7">
        <f t="shared" si="4"/>
        <v>54228</v>
      </c>
      <c r="M469" s="7">
        <f t="shared" si="5"/>
        <v>51968.5</v>
      </c>
      <c r="N469" s="7">
        <f t="shared" si="6"/>
        <v>49709</v>
      </c>
    </row>
    <row r="470">
      <c r="A470" s="5" t="s">
        <v>439</v>
      </c>
      <c r="B470" s="6"/>
      <c r="C470" s="6"/>
      <c r="D470" s="5" t="s">
        <v>943</v>
      </c>
      <c r="E470" s="5" t="s">
        <v>944</v>
      </c>
      <c r="F470" s="6"/>
      <c r="G470" s="8">
        <v>18362.0</v>
      </c>
      <c r="H470" s="5" t="s">
        <v>22</v>
      </c>
      <c r="I470" s="7">
        <f t="shared" si="1"/>
        <v>27543</v>
      </c>
      <c r="J470" s="7">
        <f t="shared" si="7"/>
        <v>23870.6</v>
      </c>
      <c r="K470" s="7">
        <f t="shared" si="3"/>
        <v>23870.6</v>
      </c>
      <c r="L470" s="7">
        <f t="shared" si="4"/>
        <v>22034.4</v>
      </c>
      <c r="M470" s="7">
        <f t="shared" si="5"/>
        <v>21116.3</v>
      </c>
      <c r="N470" s="7">
        <f t="shared" si="6"/>
        <v>20198.2</v>
      </c>
    </row>
    <row r="471">
      <c r="A471" s="5" t="s">
        <v>439</v>
      </c>
      <c r="B471" s="6"/>
      <c r="C471" s="6"/>
      <c r="D471" s="5" t="s">
        <v>945</v>
      </c>
      <c r="E471" s="5" t="s">
        <v>946</v>
      </c>
      <c r="F471" s="6"/>
      <c r="G471" s="8">
        <v>6501.0</v>
      </c>
      <c r="H471" s="5" t="s">
        <v>22</v>
      </c>
      <c r="I471" s="7">
        <f t="shared" si="1"/>
        <v>9751.5</v>
      </c>
      <c r="J471" s="7">
        <f t="shared" si="7"/>
        <v>8451.3</v>
      </c>
      <c r="K471" s="7">
        <f t="shared" si="3"/>
        <v>8451.3</v>
      </c>
      <c r="L471" s="7">
        <f t="shared" si="4"/>
        <v>7801.2</v>
      </c>
      <c r="M471" s="7">
        <f t="shared" si="5"/>
        <v>7476.15</v>
      </c>
      <c r="N471" s="7">
        <f t="shared" si="6"/>
        <v>7151.1</v>
      </c>
    </row>
    <row r="472">
      <c r="A472" s="5" t="s">
        <v>439</v>
      </c>
      <c r="B472" s="6"/>
      <c r="C472" s="6"/>
      <c r="D472" s="5" t="s">
        <v>947</v>
      </c>
      <c r="E472" s="5" t="s">
        <v>948</v>
      </c>
      <c r="F472" s="6"/>
      <c r="G472" s="8">
        <v>6551.0</v>
      </c>
      <c r="H472" s="5" t="s">
        <v>22</v>
      </c>
      <c r="I472" s="7">
        <f t="shared" si="1"/>
        <v>9826.5</v>
      </c>
      <c r="J472" s="7">
        <f t="shared" si="7"/>
        <v>8516.3</v>
      </c>
      <c r="K472" s="7">
        <f t="shared" si="3"/>
        <v>8516.3</v>
      </c>
      <c r="L472" s="7">
        <f t="shared" si="4"/>
        <v>7861.2</v>
      </c>
      <c r="M472" s="7">
        <f t="shared" si="5"/>
        <v>7533.65</v>
      </c>
      <c r="N472" s="7">
        <f t="shared" si="6"/>
        <v>7206.1</v>
      </c>
    </row>
    <row r="473">
      <c r="A473" s="5" t="s">
        <v>439</v>
      </c>
      <c r="B473" s="6"/>
      <c r="C473" s="6"/>
      <c r="D473" s="5" t="s">
        <v>949</v>
      </c>
      <c r="E473" s="5" t="s">
        <v>950</v>
      </c>
      <c r="F473" s="6"/>
      <c r="G473" s="8">
        <v>6551.0</v>
      </c>
      <c r="H473" s="5" t="s">
        <v>22</v>
      </c>
      <c r="I473" s="7">
        <f t="shared" si="1"/>
        <v>9826.5</v>
      </c>
      <c r="J473" s="7">
        <f t="shared" si="7"/>
        <v>8516.3</v>
      </c>
      <c r="K473" s="7">
        <f t="shared" si="3"/>
        <v>8516.3</v>
      </c>
      <c r="L473" s="7">
        <f t="shared" si="4"/>
        <v>7861.2</v>
      </c>
      <c r="M473" s="7">
        <f t="shared" si="5"/>
        <v>7533.65</v>
      </c>
      <c r="N473" s="7">
        <f t="shared" si="6"/>
        <v>7206.1</v>
      </c>
    </row>
    <row r="474">
      <c r="A474" s="5" t="s">
        <v>439</v>
      </c>
      <c r="B474" s="6"/>
      <c r="C474" s="6"/>
      <c r="D474" s="5" t="s">
        <v>951</v>
      </c>
      <c r="E474" s="5" t="s">
        <v>952</v>
      </c>
      <c r="F474" s="6"/>
      <c r="G474" s="5">
        <v>555.0</v>
      </c>
      <c r="H474" s="5" t="s">
        <v>22</v>
      </c>
      <c r="I474" s="7">
        <f t="shared" si="1"/>
        <v>832.5</v>
      </c>
      <c r="J474" s="7">
        <f t="shared" si="7"/>
        <v>721.5</v>
      </c>
      <c r="K474" s="7">
        <f t="shared" si="3"/>
        <v>721.5</v>
      </c>
      <c r="L474" s="7">
        <f t="shared" si="4"/>
        <v>666</v>
      </c>
      <c r="M474" s="7">
        <f t="shared" si="5"/>
        <v>638.25</v>
      </c>
      <c r="N474" s="7">
        <f t="shared" si="6"/>
        <v>610.5</v>
      </c>
    </row>
    <row r="475">
      <c r="A475" s="5" t="s">
        <v>439</v>
      </c>
      <c r="B475" s="6"/>
      <c r="C475" s="6"/>
      <c r="D475" s="5" t="s">
        <v>953</v>
      </c>
      <c r="E475" s="5" t="s">
        <v>954</v>
      </c>
      <c r="F475" s="6"/>
      <c r="G475" s="8">
        <v>1450.0</v>
      </c>
      <c r="H475" s="5" t="s">
        <v>22</v>
      </c>
      <c r="I475" s="7">
        <f t="shared" si="1"/>
        <v>2175</v>
      </c>
      <c r="J475" s="7">
        <f t="shared" si="7"/>
        <v>1885</v>
      </c>
      <c r="K475" s="7">
        <f t="shared" si="3"/>
        <v>1885</v>
      </c>
      <c r="L475" s="7">
        <f t="shared" si="4"/>
        <v>1740</v>
      </c>
      <c r="M475" s="7">
        <f t="shared" si="5"/>
        <v>1667.5</v>
      </c>
      <c r="N475" s="7">
        <f t="shared" si="6"/>
        <v>1595</v>
      </c>
    </row>
    <row r="476">
      <c r="A476" s="5" t="s">
        <v>439</v>
      </c>
      <c r="B476" s="6"/>
      <c r="C476" s="6"/>
      <c r="D476" s="5" t="s">
        <v>955</v>
      </c>
      <c r="E476" s="5" t="s">
        <v>956</v>
      </c>
      <c r="F476" s="6"/>
      <c r="G476" s="8">
        <v>2005.0</v>
      </c>
      <c r="H476" s="5" t="s">
        <v>22</v>
      </c>
      <c r="I476" s="7">
        <f t="shared" si="1"/>
        <v>3007.5</v>
      </c>
      <c r="J476" s="7">
        <f t="shared" si="7"/>
        <v>2606.5</v>
      </c>
      <c r="K476" s="7">
        <f t="shared" si="3"/>
        <v>2606.5</v>
      </c>
      <c r="L476" s="7">
        <f t="shared" si="4"/>
        <v>2406</v>
      </c>
      <c r="M476" s="7">
        <f t="shared" si="5"/>
        <v>2305.75</v>
      </c>
      <c r="N476" s="7">
        <f t="shared" si="6"/>
        <v>2205.5</v>
      </c>
    </row>
    <row r="477">
      <c r="A477" s="5" t="s">
        <v>439</v>
      </c>
      <c r="B477" s="6"/>
      <c r="C477" s="6"/>
      <c r="D477" s="5" t="s">
        <v>957</v>
      </c>
      <c r="E477" s="5" t="s">
        <v>958</v>
      </c>
      <c r="F477" s="6"/>
      <c r="G477" s="8">
        <v>2752.0</v>
      </c>
      <c r="H477" s="5" t="s">
        <v>22</v>
      </c>
      <c r="I477" s="7">
        <f t="shared" si="1"/>
        <v>4128</v>
      </c>
      <c r="J477" s="7">
        <f t="shared" si="7"/>
        <v>3577.6</v>
      </c>
      <c r="K477" s="7">
        <f t="shared" si="3"/>
        <v>3577.6</v>
      </c>
      <c r="L477" s="7">
        <f t="shared" si="4"/>
        <v>3302.4</v>
      </c>
      <c r="M477" s="7">
        <f t="shared" si="5"/>
        <v>3164.8</v>
      </c>
      <c r="N477" s="7">
        <f t="shared" si="6"/>
        <v>3027.2</v>
      </c>
    </row>
    <row r="478">
      <c r="A478" s="5" t="s">
        <v>439</v>
      </c>
      <c r="B478" s="6"/>
      <c r="C478" s="6"/>
      <c r="D478" s="5" t="s">
        <v>959</v>
      </c>
      <c r="E478" s="5" t="s">
        <v>960</v>
      </c>
      <c r="F478" s="6"/>
      <c r="G478" s="8">
        <v>6747.0</v>
      </c>
      <c r="H478" s="5" t="s">
        <v>22</v>
      </c>
      <c r="I478" s="7">
        <f t="shared" si="1"/>
        <v>10120.5</v>
      </c>
      <c r="J478" s="7">
        <f t="shared" si="7"/>
        <v>8771.1</v>
      </c>
      <c r="K478" s="7">
        <f t="shared" si="3"/>
        <v>8771.1</v>
      </c>
      <c r="L478" s="7">
        <f t="shared" si="4"/>
        <v>8096.4</v>
      </c>
      <c r="M478" s="7">
        <f t="shared" si="5"/>
        <v>7759.05</v>
      </c>
      <c r="N478" s="7">
        <f t="shared" si="6"/>
        <v>7421.7</v>
      </c>
    </row>
    <row r="479">
      <c r="A479" s="5" t="s">
        <v>439</v>
      </c>
      <c r="B479" s="6"/>
      <c r="C479" s="6"/>
      <c r="D479" s="5" t="s">
        <v>961</v>
      </c>
      <c r="E479" s="5" t="s">
        <v>962</v>
      </c>
      <c r="F479" s="6"/>
      <c r="G479" s="8">
        <v>515941.0</v>
      </c>
      <c r="H479" s="5" t="s">
        <v>22</v>
      </c>
      <c r="I479" s="7">
        <f t="shared" si="1"/>
        <v>773911.5</v>
      </c>
      <c r="J479" s="7">
        <f t="shared" si="7"/>
        <v>670723.3</v>
      </c>
      <c r="K479" s="7">
        <f t="shared" si="3"/>
        <v>670723.3</v>
      </c>
      <c r="L479" s="7">
        <f t="shared" si="4"/>
        <v>619129.2</v>
      </c>
      <c r="M479" s="7">
        <f t="shared" si="5"/>
        <v>593332.15</v>
      </c>
      <c r="N479" s="7">
        <f t="shared" si="6"/>
        <v>567535.1</v>
      </c>
    </row>
    <row r="480">
      <c r="A480" s="5" t="s">
        <v>439</v>
      </c>
      <c r="B480" s="6"/>
      <c r="C480" s="6"/>
      <c r="D480" s="5" t="s">
        <v>963</v>
      </c>
      <c r="E480" s="5" t="s">
        <v>964</v>
      </c>
      <c r="F480" s="6"/>
      <c r="G480" s="8">
        <v>669986.0</v>
      </c>
      <c r="H480" s="5" t="s">
        <v>22</v>
      </c>
      <c r="I480" s="7">
        <f t="shared" si="1"/>
        <v>1004979</v>
      </c>
      <c r="J480" s="7">
        <f t="shared" si="7"/>
        <v>870981.8</v>
      </c>
      <c r="K480" s="7">
        <f t="shared" si="3"/>
        <v>870981.8</v>
      </c>
      <c r="L480" s="7">
        <f t="shared" si="4"/>
        <v>803983.2</v>
      </c>
      <c r="M480" s="7">
        <f t="shared" si="5"/>
        <v>770483.9</v>
      </c>
      <c r="N480" s="7">
        <f t="shared" si="6"/>
        <v>736984.6</v>
      </c>
    </row>
    <row r="481">
      <c r="A481" s="5" t="s">
        <v>439</v>
      </c>
      <c r="B481" s="6"/>
      <c r="C481" s="6"/>
      <c r="D481" s="5" t="s">
        <v>965</v>
      </c>
      <c r="E481" s="5" t="s">
        <v>966</v>
      </c>
      <c r="F481" s="6"/>
      <c r="G481" s="8">
        <v>798583.0</v>
      </c>
      <c r="H481" s="5" t="s">
        <v>22</v>
      </c>
      <c r="I481" s="7">
        <f t="shared" si="1"/>
        <v>1197874.5</v>
      </c>
      <c r="J481" s="7">
        <f t="shared" si="7"/>
        <v>1038157.9</v>
      </c>
      <c r="K481" s="7">
        <f t="shared" si="3"/>
        <v>1038157.9</v>
      </c>
      <c r="L481" s="7">
        <f t="shared" si="4"/>
        <v>958299.6</v>
      </c>
      <c r="M481" s="7">
        <f t="shared" si="5"/>
        <v>918370.45</v>
      </c>
      <c r="N481" s="7">
        <f t="shared" si="6"/>
        <v>878441.3</v>
      </c>
    </row>
    <row r="482">
      <c r="A482" s="5" t="s">
        <v>439</v>
      </c>
      <c r="B482" s="6"/>
      <c r="C482" s="6"/>
      <c r="D482" s="5" t="s">
        <v>967</v>
      </c>
      <c r="E482" s="5" t="s">
        <v>968</v>
      </c>
      <c r="F482" s="6"/>
      <c r="G482" s="8">
        <v>1195290.0</v>
      </c>
      <c r="H482" s="5" t="s">
        <v>22</v>
      </c>
      <c r="I482" s="7">
        <f t="shared" si="1"/>
        <v>1792935</v>
      </c>
      <c r="J482" s="7">
        <f t="shared" si="7"/>
        <v>1553877</v>
      </c>
      <c r="K482" s="7">
        <f t="shared" si="3"/>
        <v>1553877</v>
      </c>
      <c r="L482" s="7">
        <f t="shared" si="4"/>
        <v>1434348</v>
      </c>
      <c r="M482" s="7">
        <f t="shared" si="5"/>
        <v>1374583.5</v>
      </c>
      <c r="N482" s="7">
        <f t="shared" si="6"/>
        <v>1314819</v>
      </c>
    </row>
    <row r="483">
      <c r="A483" s="5" t="s">
        <v>439</v>
      </c>
      <c r="B483" s="6"/>
      <c r="C483" s="6"/>
      <c r="D483" s="5" t="s">
        <v>969</v>
      </c>
      <c r="E483" s="5" t="s">
        <v>970</v>
      </c>
      <c r="F483" s="6"/>
      <c r="G483" s="8">
        <v>1285436.0</v>
      </c>
      <c r="H483" s="5" t="s">
        <v>22</v>
      </c>
      <c r="I483" s="7">
        <f t="shared" si="1"/>
        <v>1928154</v>
      </c>
      <c r="J483" s="7">
        <f t="shared" si="7"/>
        <v>1671066.8</v>
      </c>
      <c r="K483" s="7">
        <f t="shared" si="3"/>
        <v>1671066.8</v>
      </c>
      <c r="L483" s="7">
        <f t="shared" si="4"/>
        <v>1542523.2</v>
      </c>
      <c r="M483" s="7">
        <f t="shared" si="5"/>
        <v>1478251.4</v>
      </c>
      <c r="N483" s="7">
        <f t="shared" si="6"/>
        <v>1413979.6</v>
      </c>
    </row>
    <row r="484">
      <c r="A484" s="5" t="s">
        <v>439</v>
      </c>
      <c r="B484" s="6"/>
      <c r="C484" s="6"/>
      <c r="D484" s="5" t="s">
        <v>971</v>
      </c>
      <c r="E484" s="5" t="s">
        <v>972</v>
      </c>
      <c r="F484" s="6"/>
      <c r="G484" s="8">
        <v>904158.0</v>
      </c>
      <c r="H484" s="5" t="s">
        <v>22</v>
      </c>
      <c r="I484" s="7">
        <f t="shared" si="1"/>
        <v>1356237</v>
      </c>
      <c r="J484" s="7">
        <f t="shared" si="7"/>
        <v>1175405.4</v>
      </c>
      <c r="K484" s="7">
        <f t="shared" si="3"/>
        <v>1175405.4</v>
      </c>
      <c r="L484" s="7">
        <f t="shared" si="4"/>
        <v>1084989.6</v>
      </c>
      <c r="M484" s="7">
        <f t="shared" si="5"/>
        <v>1039781.7</v>
      </c>
      <c r="N484" s="7">
        <f t="shared" si="6"/>
        <v>994573.8</v>
      </c>
    </row>
    <row r="485">
      <c r="A485" s="5" t="s">
        <v>439</v>
      </c>
      <c r="B485" s="6"/>
      <c r="C485" s="6"/>
      <c r="D485" s="5" t="s">
        <v>973</v>
      </c>
      <c r="E485" s="5" t="s">
        <v>974</v>
      </c>
      <c r="F485" s="6"/>
      <c r="G485" s="8">
        <v>128323.0</v>
      </c>
      <c r="H485" s="5" t="s">
        <v>22</v>
      </c>
      <c r="I485" s="7">
        <f t="shared" si="1"/>
        <v>192484.5</v>
      </c>
      <c r="J485" s="7">
        <f t="shared" si="7"/>
        <v>166819.9</v>
      </c>
      <c r="K485" s="7">
        <f t="shared" si="3"/>
        <v>166819.9</v>
      </c>
      <c r="L485" s="7">
        <f t="shared" si="4"/>
        <v>153987.6</v>
      </c>
      <c r="M485" s="7">
        <f t="shared" si="5"/>
        <v>147571.45</v>
      </c>
      <c r="N485" s="7">
        <f t="shared" si="6"/>
        <v>141155.3</v>
      </c>
    </row>
    <row r="486">
      <c r="A486" s="5" t="s">
        <v>439</v>
      </c>
      <c r="B486" s="6"/>
      <c r="C486" s="6"/>
      <c r="D486" s="5" t="s">
        <v>975</v>
      </c>
      <c r="E486" s="5" t="s">
        <v>976</v>
      </c>
      <c r="F486" s="6"/>
      <c r="G486" s="8">
        <v>128914.0</v>
      </c>
      <c r="H486" s="5" t="s">
        <v>22</v>
      </c>
      <c r="I486" s="7">
        <f t="shared" si="1"/>
        <v>193371</v>
      </c>
      <c r="J486" s="7">
        <f t="shared" si="7"/>
        <v>167588.2</v>
      </c>
      <c r="K486" s="7">
        <f t="shared" si="3"/>
        <v>167588.2</v>
      </c>
      <c r="L486" s="7">
        <f t="shared" si="4"/>
        <v>154696.8</v>
      </c>
      <c r="M486" s="7">
        <f t="shared" si="5"/>
        <v>148251.1</v>
      </c>
      <c r="N486" s="7">
        <f t="shared" si="6"/>
        <v>141805.4</v>
      </c>
    </row>
    <row r="487">
      <c r="A487" s="5" t="s">
        <v>439</v>
      </c>
      <c r="B487" s="6"/>
      <c r="C487" s="6"/>
      <c r="D487" s="5" t="s">
        <v>977</v>
      </c>
      <c r="E487" s="5" t="s">
        <v>978</v>
      </c>
      <c r="F487" s="6"/>
      <c r="G487" s="8">
        <v>120874.0</v>
      </c>
      <c r="H487" s="5" t="s">
        <v>22</v>
      </c>
      <c r="I487" s="7">
        <f t="shared" si="1"/>
        <v>181311</v>
      </c>
      <c r="J487" s="7">
        <f t="shared" si="7"/>
        <v>157136.2</v>
      </c>
      <c r="K487" s="7">
        <f t="shared" si="3"/>
        <v>157136.2</v>
      </c>
      <c r="L487" s="7">
        <f t="shared" si="4"/>
        <v>145048.8</v>
      </c>
      <c r="M487" s="7">
        <f t="shared" si="5"/>
        <v>139005.1</v>
      </c>
      <c r="N487" s="7">
        <f t="shared" si="6"/>
        <v>132961.4</v>
      </c>
    </row>
    <row r="488">
      <c r="A488" s="5" t="s">
        <v>439</v>
      </c>
      <c r="B488" s="6"/>
      <c r="C488" s="6"/>
      <c r="D488" s="5" t="s">
        <v>979</v>
      </c>
      <c r="E488" s="5" t="s">
        <v>980</v>
      </c>
      <c r="F488" s="6"/>
      <c r="G488" s="8">
        <v>121468.0</v>
      </c>
      <c r="H488" s="5" t="s">
        <v>22</v>
      </c>
      <c r="I488" s="7">
        <f t="shared" si="1"/>
        <v>182202</v>
      </c>
      <c r="J488" s="7">
        <f t="shared" si="7"/>
        <v>157908.4</v>
      </c>
      <c r="K488" s="7">
        <f t="shared" si="3"/>
        <v>157908.4</v>
      </c>
      <c r="L488" s="7">
        <f t="shared" si="4"/>
        <v>145761.6</v>
      </c>
      <c r="M488" s="7">
        <f t="shared" si="5"/>
        <v>139688.2</v>
      </c>
      <c r="N488" s="7">
        <f t="shared" si="6"/>
        <v>133614.8</v>
      </c>
    </row>
    <row r="489">
      <c r="A489" s="5" t="s">
        <v>439</v>
      </c>
      <c r="B489" s="6"/>
      <c r="C489" s="6"/>
      <c r="D489" s="5" t="s">
        <v>981</v>
      </c>
      <c r="E489" s="5" t="s">
        <v>982</v>
      </c>
      <c r="F489" s="6"/>
      <c r="G489" s="8">
        <v>115165.0</v>
      </c>
      <c r="H489" s="5" t="s">
        <v>22</v>
      </c>
      <c r="I489" s="7">
        <f t="shared" si="1"/>
        <v>172747.5</v>
      </c>
      <c r="J489" s="7">
        <f t="shared" si="7"/>
        <v>149714.5</v>
      </c>
      <c r="K489" s="7">
        <f t="shared" si="3"/>
        <v>149714.5</v>
      </c>
      <c r="L489" s="7">
        <f t="shared" si="4"/>
        <v>138198</v>
      </c>
      <c r="M489" s="7">
        <f t="shared" si="5"/>
        <v>132439.75</v>
      </c>
      <c r="N489" s="7">
        <f t="shared" si="6"/>
        <v>126681.5</v>
      </c>
    </row>
    <row r="490">
      <c r="A490" s="5" t="s">
        <v>439</v>
      </c>
      <c r="B490" s="6"/>
      <c r="C490" s="6"/>
      <c r="D490" s="5" t="s">
        <v>983</v>
      </c>
      <c r="E490" s="5" t="s">
        <v>984</v>
      </c>
      <c r="F490" s="6"/>
      <c r="G490" s="8">
        <v>115165.0</v>
      </c>
      <c r="H490" s="5" t="s">
        <v>22</v>
      </c>
      <c r="I490" s="7">
        <f t="shared" si="1"/>
        <v>172747.5</v>
      </c>
      <c r="J490" s="7">
        <f t="shared" si="7"/>
        <v>149714.5</v>
      </c>
      <c r="K490" s="7">
        <f t="shared" si="3"/>
        <v>149714.5</v>
      </c>
      <c r="L490" s="7">
        <f t="shared" si="4"/>
        <v>138198</v>
      </c>
      <c r="M490" s="7">
        <f t="shared" si="5"/>
        <v>132439.75</v>
      </c>
      <c r="N490" s="7">
        <f t="shared" si="6"/>
        <v>126681.5</v>
      </c>
    </row>
    <row r="491">
      <c r="A491" s="5" t="s">
        <v>439</v>
      </c>
      <c r="B491" s="6"/>
      <c r="C491" s="6"/>
      <c r="D491" s="5" t="s">
        <v>985</v>
      </c>
      <c r="E491" s="5" t="s">
        <v>986</v>
      </c>
      <c r="F491" s="6"/>
      <c r="G491" s="8">
        <v>109800.0</v>
      </c>
      <c r="H491" s="5" t="s">
        <v>22</v>
      </c>
      <c r="I491" s="7">
        <f t="shared" si="1"/>
        <v>164700</v>
      </c>
      <c r="J491" s="7">
        <f t="shared" si="7"/>
        <v>142740</v>
      </c>
      <c r="K491" s="7">
        <f t="shared" si="3"/>
        <v>142740</v>
      </c>
      <c r="L491" s="7">
        <f t="shared" si="4"/>
        <v>131760</v>
      </c>
      <c r="M491" s="7">
        <f t="shared" si="5"/>
        <v>126270</v>
      </c>
      <c r="N491" s="7">
        <f t="shared" si="6"/>
        <v>120780</v>
      </c>
    </row>
    <row r="492">
      <c r="A492" s="5" t="s">
        <v>439</v>
      </c>
      <c r="B492" s="6"/>
      <c r="C492" s="6"/>
      <c r="D492" s="5" t="s">
        <v>987</v>
      </c>
      <c r="E492" s="5" t="s">
        <v>988</v>
      </c>
      <c r="F492" s="6"/>
      <c r="G492" s="8">
        <v>109800.0</v>
      </c>
      <c r="H492" s="5" t="s">
        <v>22</v>
      </c>
      <c r="I492" s="7">
        <f t="shared" si="1"/>
        <v>164700</v>
      </c>
      <c r="J492" s="7">
        <f t="shared" si="7"/>
        <v>142740</v>
      </c>
      <c r="K492" s="7">
        <f t="shared" si="3"/>
        <v>142740</v>
      </c>
      <c r="L492" s="7">
        <f t="shared" si="4"/>
        <v>131760</v>
      </c>
      <c r="M492" s="7">
        <f t="shared" si="5"/>
        <v>126270</v>
      </c>
      <c r="N492" s="7">
        <f t="shared" si="6"/>
        <v>120780</v>
      </c>
    </row>
    <row r="493">
      <c r="A493" s="5" t="s">
        <v>439</v>
      </c>
      <c r="B493" s="6"/>
      <c r="C493" s="6"/>
      <c r="D493" s="5" t="s">
        <v>472</v>
      </c>
      <c r="E493" s="5" t="s">
        <v>989</v>
      </c>
      <c r="F493" s="6"/>
      <c r="G493" s="8">
        <v>14601.0</v>
      </c>
      <c r="H493" s="5" t="s">
        <v>22</v>
      </c>
      <c r="I493" s="7">
        <f t="shared" si="1"/>
        <v>21901.5</v>
      </c>
      <c r="J493" s="7">
        <f t="shared" si="7"/>
        <v>18981.3</v>
      </c>
      <c r="K493" s="7">
        <f t="shared" si="3"/>
        <v>18981.3</v>
      </c>
      <c r="L493" s="7">
        <f t="shared" si="4"/>
        <v>17521.2</v>
      </c>
      <c r="M493" s="7">
        <f t="shared" si="5"/>
        <v>16791.15</v>
      </c>
      <c r="N493" s="7">
        <f t="shared" si="6"/>
        <v>16061.1</v>
      </c>
    </row>
    <row r="494">
      <c r="A494" s="5" t="s">
        <v>439</v>
      </c>
      <c r="B494" s="6"/>
      <c r="C494" s="6"/>
      <c r="D494" s="5" t="s">
        <v>474</v>
      </c>
      <c r="E494" s="5" t="s">
        <v>475</v>
      </c>
      <c r="F494" s="6"/>
      <c r="G494" s="8">
        <v>40795.0</v>
      </c>
      <c r="H494" s="5" t="s">
        <v>22</v>
      </c>
      <c r="I494" s="7">
        <f t="shared" si="1"/>
        <v>61192.5</v>
      </c>
      <c r="J494" s="7">
        <f t="shared" si="7"/>
        <v>53033.5</v>
      </c>
      <c r="K494" s="7">
        <f t="shared" si="3"/>
        <v>53033.5</v>
      </c>
      <c r="L494" s="7">
        <f t="shared" si="4"/>
        <v>48954</v>
      </c>
      <c r="M494" s="7">
        <f t="shared" si="5"/>
        <v>46914.25</v>
      </c>
      <c r="N494" s="7">
        <f t="shared" si="6"/>
        <v>44874.5</v>
      </c>
    </row>
    <row r="495">
      <c r="A495" s="5" t="s">
        <v>439</v>
      </c>
      <c r="B495" s="6"/>
      <c r="C495" s="6"/>
      <c r="D495" s="5" t="s">
        <v>476</v>
      </c>
      <c r="E495" s="5" t="s">
        <v>990</v>
      </c>
      <c r="F495" s="6"/>
      <c r="G495" s="8">
        <v>8884.0</v>
      </c>
      <c r="H495" s="5" t="s">
        <v>22</v>
      </c>
      <c r="I495" s="7">
        <f t="shared" si="1"/>
        <v>13326</v>
      </c>
      <c r="J495" s="7">
        <f t="shared" si="7"/>
        <v>11549.2</v>
      </c>
      <c r="K495" s="7">
        <f t="shared" si="3"/>
        <v>11549.2</v>
      </c>
      <c r="L495" s="7">
        <f t="shared" si="4"/>
        <v>10660.8</v>
      </c>
      <c r="M495" s="7">
        <f t="shared" si="5"/>
        <v>10216.6</v>
      </c>
      <c r="N495" s="7">
        <f t="shared" si="6"/>
        <v>9772.4</v>
      </c>
    </row>
    <row r="496">
      <c r="A496" s="5" t="s">
        <v>439</v>
      </c>
      <c r="B496" s="6"/>
      <c r="C496" s="6"/>
      <c r="D496" s="5" t="s">
        <v>991</v>
      </c>
      <c r="E496" s="5" t="s">
        <v>992</v>
      </c>
      <c r="F496" s="6"/>
      <c r="G496" s="8">
        <v>15735.0</v>
      </c>
      <c r="H496" s="5" t="s">
        <v>22</v>
      </c>
      <c r="I496" s="7">
        <f t="shared" si="1"/>
        <v>23602.5</v>
      </c>
      <c r="J496" s="7">
        <f t="shared" si="7"/>
        <v>20455.5</v>
      </c>
      <c r="K496" s="7">
        <f t="shared" si="3"/>
        <v>20455.5</v>
      </c>
      <c r="L496" s="7">
        <f t="shared" si="4"/>
        <v>18882</v>
      </c>
      <c r="M496" s="7">
        <f t="shared" si="5"/>
        <v>18095.25</v>
      </c>
      <c r="N496" s="7">
        <f t="shared" si="6"/>
        <v>17308.5</v>
      </c>
    </row>
    <row r="497">
      <c r="A497" s="5" t="s">
        <v>439</v>
      </c>
      <c r="B497" s="6"/>
      <c r="C497" s="6"/>
      <c r="D497" s="5" t="s">
        <v>993</v>
      </c>
      <c r="E497" s="5" t="s">
        <v>994</v>
      </c>
      <c r="F497" s="6"/>
      <c r="G497" s="8">
        <v>15678.0</v>
      </c>
      <c r="H497" s="5" t="s">
        <v>22</v>
      </c>
      <c r="I497" s="7">
        <f t="shared" si="1"/>
        <v>23517</v>
      </c>
      <c r="J497" s="7">
        <f t="shared" si="7"/>
        <v>20381.4</v>
      </c>
      <c r="K497" s="7">
        <f t="shared" si="3"/>
        <v>20381.4</v>
      </c>
      <c r="L497" s="7">
        <f t="shared" si="4"/>
        <v>18813.6</v>
      </c>
      <c r="M497" s="7">
        <f t="shared" si="5"/>
        <v>18029.7</v>
      </c>
      <c r="N497" s="7">
        <f t="shared" si="6"/>
        <v>17245.8</v>
      </c>
    </row>
    <row r="498">
      <c r="A498" s="5" t="s">
        <v>439</v>
      </c>
      <c r="B498" s="6"/>
      <c r="C498" s="6"/>
      <c r="D498" s="5" t="s">
        <v>995</v>
      </c>
      <c r="E498" s="5" t="s">
        <v>996</v>
      </c>
      <c r="F498" s="6"/>
      <c r="G498" s="8">
        <v>19075.0</v>
      </c>
      <c r="H498" s="5" t="s">
        <v>22</v>
      </c>
      <c r="I498" s="7">
        <f t="shared" si="1"/>
        <v>28612.5</v>
      </c>
      <c r="J498" s="7">
        <f t="shared" si="7"/>
        <v>24797.5</v>
      </c>
      <c r="K498" s="7">
        <f t="shared" si="3"/>
        <v>24797.5</v>
      </c>
      <c r="L498" s="7">
        <f t="shared" si="4"/>
        <v>22890</v>
      </c>
      <c r="M498" s="7">
        <f t="shared" si="5"/>
        <v>21936.25</v>
      </c>
      <c r="N498" s="7">
        <f t="shared" si="6"/>
        <v>20982.5</v>
      </c>
    </row>
    <row r="499">
      <c r="A499" s="5" t="s">
        <v>439</v>
      </c>
      <c r="B499" s="6"/>
      <c r="C499" s="6"/>
      <c r="D499" s="5" t="s">
        <v>997</v>
      </c>
      <c r="E499" s="5" t="s">
        <v>998</v>
      </c>
      <c r="F499" s="6"/>
      <c r="G499" s="8">
        <v>9959.0</v>
      </c>
      <c r="H499" s="5" t="s">
        <v>22</v>
      </c>
      <c r="I499" s="7">
        <f t="shared" si="1"/>
        <v>14938.5</v>
      </c>
      <c r="J499" s="7">
        <f t="shared" si="7"/>
        <v>12946.7</v>
      </c>
      <c r="K499" s="7">
        <f t="shared" si="3"/>
        <v>12946.7</v>
      </c>
      <c r="L499" s="7">
        <f t="shared" si="4"/>
        <v>11950.8</v>
      </c>
      <c r="M499" s="7">
        <f t="shared" si="5"/>
        <v>11452.85</v>
      </c>
      <c r="N499" s="7">
        <f t="shared" si="6"/>
        <v>10954.9</v>
      </c>
    </row>
    <row r="500">
      <c r="A500" s="5" t="s">
        <v>439</v>
      </c>
      <c r="B500" s="6"/>
      <c r="C500" s="6"/>
      <c r="D500" s="5" t="s">
        <v>999</v>
      </c>
      <c r="E500" s="5" t="s">
        <v>1000</v>
      </c>
      <c r="F500" s="6"/>
      <c r="G500" s="8">
        <v>69923.0</v>
      </c>
      <c r="H500" s="5" t="s">
        <v>22</v>
      </c>
      <c r="I500" s="7">
        <f t="shared" si="1"/>
        <v>104884.5</v>
      </c>
      <c r="J500" s="7">
        <f t="shared" si="7"/>
        <v>90899.9</v>
      </c>
      <c r="K500" s="7">
        <f t="shared" si="3"/>
        <v>90899.9</v>
      </c>
      <c r="L500" s="7">
        <f t="shared" si="4"/>
        <v>83907.6</v>
      </c>
      <c r="M500" s="7">
        <f t="shared" si="5"/>
        <v>80411.45</v>
      </c>
      <c r="N500" s="7">
        <f t="shared" si="6"/>
        <v>76915.3</v>
      </c>
    </row>
    <row r="501">
      <c r="A501" s="5" t="s">
        <v>439</v>
      </c>
      <c r="B501" s="6"/>
      <c r="C501" s="6"/>
      <c r="D501" s="5" t="s">
        <v>1001</v>
      </c>
      <c r="E501" s="5" t="s">
        <v>1002</v>
      </c>
      <c r="F501" s="6"/>
      <c r="G501" s="8">
        <v>12370.0</v>
      </c>
      <c r="H501" s="5" t="s">
        <v>22</v>
      </c>
      <c r="I501" s="7">
        <f t="shared" si="1"/>
        <v>18555</v>
      </c>
      <c r="J501" s="7">
        <f t="shared" si="7"/>
        <v>16081</v>
      </c>
      <c r="K501" s="7">
        <f t="shared" si="3"/>
        <v>16081</v>
      </c>
      <c r="L501" s="7">
        <f t="shared" si="4"/>
        <v>14844</v>
      </c>
      <c r="M501" s="7">
        <f t="shared" si="5"/>
        <v>14225.5</v>
      </c>
      <c r="N501" s="7">
        <f t="shared" si="6"/>
        <v>13607</v>
      </c>
    </row>
    <row r="502">
      <c r="A502" s="5" t="s">
        <v>439</v>
      </c>
      <c r="B502" s="6"/>
      <c r="C502" s="6"/>
      <c r="D502" s="5" t="s">
        <v>1003</v>
      </c>
      <c r="E502" s="5" t="s">
        <v>1004</v>
      </c>
      <c r="F502" s="6"/>
      <c r="G502" s="8">
        <v>14102.0</v>
      </c>
      <c r="H502" s="5" t="s">
        <v>22</v>
      </c>
      <c r="I502" s="7">
        <f t="shared" si="1"/>
        <v>21153</v>
      </c>
      <c r="J502" s="7">
        <f t="shared" si="7"/>
        <v>18332.6</v>
      </c>
      <c r="K502" s="7">
        <f t="shared" si="3"/>
        <v>18332.6</v>
      </c>
      <c r="L502" s="7">
        <f t="shared" si="4"/>
        <v>16922.4</v>
      </c>
      <c r="M502" s="7">
        <f t="shared" si="5"/>
        <v>16217.3</v>
      </c>
      <c r="N502" s="7">
        <f t="shared" si="6"/>
        <v>15512.2</v>
      </c>
    </row>
    <row r="503">
      <c r="A503" s="5" t="s">
        <v>439</v>
      </c>
      <c r="B503" s="6"/>
      <c r="C503" s="6"/>
      <c r="D503" s="5" t="s">
        <v>1005</v>
      </c>
      <c r="E503" s="5" t="s">
        <v>1006</v>
      </c>
      <c r="F503" s="6"/>
      <c r="G503" s="8">
        <v>1188.0</v>
      </c>
      <c r="H503" s="5" t="s">
        <v>22</v>
      </c>
      <c r="I503" s="7">
        <f t="shared" si="1"/>
        <v>1782</v>
      </c>
      <c r="J503" s="7">
        <f t="shared" si="7"/>
        <v>1544.4</v>
      </c>
      <c r="K503" s="7">
        <f t="shared" si="3"/>
        <v>1544.4</v>
      </c>
      <c r="L503" s="7">
        <f t="shared" si="4"/>
        <v>1425.6</v>
      </c>
      <c r="M503" s="7">
        <f t="shared" si="5"/>
        <v>1366.2</v>
      </c>
      <c r="N503" s="7">
        <f t="shared" si="6"/>
        <v>1306.8</v>
      </c>
    </row>
    <row r="504">
      <c r="A504" s="5" t="s">
        <v>439</v>
      </c>
      <c r="B504" s="6"/>
      <c r="C504" s="6"/>
      <c r="D504" s="5" t="s">
        <v>1007</v>
      </c>
      <c r="E504" s="5" t="s">
        <v>494</v>
      </c>
      <c r="F504" s="6"/>
      <c r="G504" s="8">
        <v>204183.0</v>
      </c>
      <c r="H504" s="5" t="s">
        <v>22</v>
      </c>
      <c r="I504" s="7">
        <f t="shared" si="1"/>
        <v>306274.5</v>
      </c>
      <c r="J504" s="7">
        <f t="shared" si="7"/>
        <v>265437.9</v>
      </c>
      <c r="K504" s="7">
        <f t="shared" si="3"/>
        <v>265437.9</v>
      </c>
      <c r="L504" s="7">
        <f t="shared" si="4"/>
        <v>245019.6</v>
      </c>
      <c r="M504" s="7">
        <f t="shared" si="5"/>
        <v>234810.45</v>
      </c>
      <c r="N504" s="7">
        <f t="shared" si="6"/>
        <v>224601.3</v>
      </c>
    </row>
    <row r="505">
      <c r="A505" s="5" t="s">
        <v>439</v>
      </c>
      <c r="B505" s="6"/>
      <c r="C505" s="6"/>
      <c r="D505" s="5" t="s">
        <v>1008</v>
      </c>
      <c r="E505" s="5" t="s">
        <v>1009</v>
      </c>
      <c r="F505" s="6"/>
      <c r="G505" s="8">
        <v>204183.0</v>
      </c>
      <c r="H505" s="5" t="s">
        <v>22</v>
      </c>
      <c r="I505" s="7">
        <f t="shared" si="1"/>
        <v>306274.5</v>
      </c>
      <c r="J505" s="7">
        <f t="shared" si="7"/>
        <v>265437.9</v>
      </c>
      <c r="K505" s="7">
        <f t="shared" si="3"/>
        <v>265437.9</v>
      </c>
      <c r="L505" s="7">
        <f t="shared" si="4"/>
        <v>245019.6</v>
      </c>
      <c r="M505" s="7">
        <f t="shared" si="5"/>
        <v>234810.45</v>
      </c>
      <c r="N505" s="7">
        <f t="shared" si="6"/>
        <v>224601.3</v>
      </c>
    </row>
    <row r="506">
      <c r="A506" s="5" t="s">
        <v>439</v>
      </c>
      <c r="B506" s="6"/>
      <c r="C506" s="6"/>
      <c r="D506" s="5" t="s">
        <v>1010</v>
      </c>
      <c r="E506" s="5" t="s">
        <v>1009</v>
      </c>
      <c r="F506" s="6"/>
      <c r="G506" s="8">
        <v>224603.0</v>
      </c>
      <c r="H506" s="5" t="s">
        <v>22</v>
      </c>
      <c r="I506" s="7">
        <f t="shared" si="1"/>
        <v>336904.5</v>
      </c>
      <c r="J506" s="7">
        <f t="shared" si="7"/>
        <v>291983.9</v>
      </c>
      <c r="K506" s="7">
        <f t="shared" si="3"/>
        <v>291983.9</v>
      </c>
      <c r="L506" s="7">
        <f t="shared" si="4"/>
        <v>269523.6</v>
      </c>
      <c r="M506" s="7">
        <f t="shared" si="5"/>
        <v>258293.45</v>
      </c>
      <c r="N506" s="7">
        <f t="shared" si="6"/>
        <v>247063.3</v>
      </c>
    </row>
    <row r="507">
      <c r="A507" s="5" t="s">
        <v>439</v>
      </c>
      <c r="B507" s="6"/>
      <c r="C507" s="6"/>
      <c r="D507" s="5" t="s">
        <v>1011</v>
      </c>
      <c r="E507" s="5" t="s">
        <v>1012</v>
      </c>
      <c r="F507" s="6"/>
      <c r="G507" s="8">
        <v>357571.0</v>
      </c>
      <c r="H507" s="5" t="s">
        <v>22</v>
      </c>
      <c r="I507" s="7">
        <f t="shared" si="1"/>
        <v>536356.5</v>
      </c>
      <c r="J507" s="7">
        <f t="shared" si="7"/>
        <v>464842.3</v>
      </c>
      <c r="K507" s="7">
        <f t="shared" si="3"/>
        <v>464842.3</v>
      </c>
      <c r="L507" s="7">
        <f t="shared" si="4"/>
        <v>429085.2</v>
      </c>
      <c r="M507" s="7">
        <f t="shared" si="5"/>
        <v>411206.65</v>
      </c>
      <c r="N507" s="7">
        <f t="shared" si="6"/>
        <v>393328.1</v>
      </c>
    </row>
    <row r="508">
      <c r="A508" s="5" t="s">
        <v>439</v>
      </c>
      <c r="B508" s="6"/>
      <c r="C508" s="6"/>
      <c r="D508" s="5" t="s">
        <v>1013</v>
      </c>
      <c r="E508" s="5" t="s">
        <v>1014</v>
      </c>
      <c r="F508" s="6"/>
      <c r="G508" s="8">
        <v>240718.0</v>
      </c>
      <c r="H508" s="5" t="s">
        <v>22</v>
      </c>
      <c r="I508" s="7">
        <f t="shared" si="1"/>
        <v>361077</v>
      </c>
      <c r="J508" s="7">
        <f t="shared" si="7"/>
        <v>312933.4</v>
      </c>
      <c r="K508" s="7">
        <f t="shared" si="3"/>
        <v>312933.4</v>
      </c>
      <c r="L508" s="7">
        <f t="shared" si="4"/>
        <v>288861.6</v>
      </c>
      <c r="M508" s="7">
        <f t="shared" si="5"/>
        <v>276825.7</v>
      </c>
      <c r="N508" s="7">
        <f t="shared" si="6"/>
        <v>264789.8</v>
      </c>
    </row>
    <row r="509">
      <c r="A509" s="5" t="s">
        <v>439</v>
      </c>
      <c r="B509" s="6"/>
      <c r="C509" s="6"/>
      <c r="D509" s="5" t="s">
        <v>1015</v>
      </c>
      <c r="E509" s="5" t="s">
        <v>1016</v>
      </c>
      <c r="F509" s="6"/>
      <c r="G509" s="8">
        <v>254890.0</v>
      </c>
      <c r="H509" s="5" t="s">
        <v>22</v>
      </c>
      <c r="I509" s="7">
        <f t="shared" si="1"/>
        <v>382335</v>
      </c>
      <c r="J509" s="7">
        <f t="shared" si="7"/>
        <v>331357</v>
      </c>
      <c r="K509" s="7">
        <f t="shared" si="3"/>
        <v>331357</v>
      </c>
      <c r="L509" s="7">
        <f t="shared" si="4"/>
        <v>305868</v>
      </c>
      <c r="M509" s="7">
        <f t="shared" si="5"/>
        <v>293123.5</v>
      </c>
      <c r="N509" s="7">
        <f t="shared" si="6"/>
        <v>280379</v>
      </c>
    </row>
    <row r="510">
      <c r="A510" s="5" t="s">
        <v>439</v>
      </c>
      <c r="B510" s="6"/>
      <c r="C510" s="6"/>
      <c r="D510" s="5" t="s">
        <v>1017</v>
      </c>
      <c r="E510" s="5" t="s">
        <v>1018</v>
      </c>
      <c r="F510" s="6"/>
      <c r="G510" s="8">
        <v>254890.0</v>
      </c>
      <c r="H510" s="5" t="s">
        <v>22</v>
      </c>
      <c r="I510" s="7">
        <f t="shared" si="1"/>
        <v>382335</v>
      </c>
      <c r="J510" s="7">
        <f t="shared" si="7"/>
        <v>331357</v>
      </c>
      <c r="K510" s="7">
        <f t="shared" si="3"/>
        <v>331357</v>
      </c>
      <c r="L510" s="7">
        <f t="shared" si="4"/>
        <v>305868</v>
      </c>
      <c r="M510" s="7">
        <f t="shared" si="5"/>
        <v>293123.5</v>
      </c>
      <c r="N510" s="7">
        <f t="shared" si="6"/>
        <v>280379</v>
      </c>
    </row>
    <row r="511">
      <c r="A511" s="5" t="s">
        <v>439</v>
      </c>
      <c r="B511" s="6"/>
      <c r="C511" s="6"/>
      <c r="D511" s="5" t="s">
        <v>1019</v>
      </c>
      <c r="E511" s="5" t="s">
        <v>1020</v>
      </c>
      <c r="F511" s="6"/>
      <c r="G511" s="8">
        <v>450573.0</v>
      </c>
      <c r="H511" s="5" t="s">
        <v>22</v>
      </c>
      <c r="I511" s="7">
        <f t="shared" si="1"/>
        <v>675859.5</v>
      </c>
      <c r="J511" s="7">
        <f t="shared" si="7"/>
        <v>585744.9</v>
      </c>
      <c r="K511" s="7">
        <f t="shared" si="3"/>
        <v>585744.9</v>
      </c>
      <c r="L511" s="7">
        <f t="shared" si="4"/>
        <v>540687.6</v>
      </c>
      <c r="M511" s="7">
        <f t="shared" si="5"/>
        <v>518158.95</v>
      </c>
      <c r="N511" s="7">
        <f t="shared" si="6"/>
        <v>495630.3</v>
      </c>
    </row>
    <row r="512">
      <c r="A512" s="5" t="s">
        <v>439</v>
      </c>
      <c r="B512" s="6"/>
      <c r="C512" s="6"/>
      <c r="D512" s="5" t="s">
        <v>1021</v>
      </c>
      <c r="E512" s="5" t="s">
        <v>1022</v>
      </c>
      <c r="F512" s="6"/>
      <c r="G512" s="8">
        <v>209093.0</v>
      </c>
      <c r="H512" s="5" t="s">
        <v>22</v>
      </c>
      <c r="I512" s="7">
        <f t="shared" si="1"/>
        <v>313639.5</v>
      </c>
      <c r="J512" s="7">
        <f t="shared" si="7"/>
        <v>271820.9</v>
      </c>
      <c r="K512" s="7">
        <f t="shared" si="3"/>
        <v>271820.9</v>
      </c>
      <c r="L512" s="7">
        <f t="shared" si="4"/>
        <v>250911.6</v>
      </c>
      <c r="M512" s="7">
        <f t="shared" si="5"/>
        <v>240456.95</v>
      </c>
      <c r="N512" s="7">
        <f t="shared" si="6"/>
        <v>230002.3</v>
      </c>
    </row>
    <row r="513">
      <c r="A513" s="5" t="s">
        <v>439</v>
      </c>
      <c r="B513" s="6"/>
      <c r="C513" s="6"/>
      <c r="D513" s="5" t="s">
        <v>1023</v>
      </c>
      <c r="E513" s="5" t="s">
        <v>1024</v>
      </c>
      <c r="F513" s="6"/>
      <c r="G513" s="8">
        <v>203166.0</v>
      </c>
      <c r="H513" s="5" t="s">
        <v>22</v>
      </c>
      <c r="I513" s="7">
        <f t="shared" si="1"/>
        <v>304749</v>
      </c>
      <c r="J513" s="7">
        <f t="shared" si="7"/>
        <v>264115.8</v>
      </c>
      <c r="K513" s="7">
        <f t="shared" si="3"/>
        <v>264115.8</v>
      </c>
      <c r="L513" s="7">
        <f t="shared" si="4"/>
        <v>243799.2</v>
      </c>
      <c r="M513" s="7">
        <f t="shared" si="5"/>
        <v>233640.9</v>
      </c>
      <c r="N513" s="7">
        <f t="shared" si="6"/>
        <v>223482.6</v>
      </c>
    </row>
    <row r="514">
      <c r="A514" s="5" t="s">
        <v>439</v>
      </c>
      <c r="B514" s="6"/>
      <c r="C514" s="6"/>
      <c r="D514" s="5" t="s">
        <v>1025</v>
      </c>
      <c r="E514" s="5" t="s">
        <v>1026</v>
      </c>
      <c r="F514" s="6"/>
      <c r="G514" s="8">
        <v>244244.0</v>
      </c>
      <c r="H514" s="5" t="s">
        <v>22</v>
      </c>
      <c r="I514" s="7">
        <f t="shared" si="1"/>
        <v>366366</v>
      </c>
      <c r="J514" s="7">
        <f t="shared" si="7"/>
        <v>317517.2</v>
      </c>
      <c r="K514" s="7">
        <f t="shared" si="3"/>
        <v>317517.2</v>
      </c>
      <c r="L514" s="7">
        <f t="shared" si="4"/>
        <v>293092.8</v>
      </c>
      <c r="M514" s="7">
        <f t="shared" si="5"/>
        <v>280880.6</v>
      </c>
      <c r="N514" s="7">
        <f t="shared" si="6"/>
        <v>268668.4</v>
      </c>
    </row>
    <row r="515">
      <c r="A515" s="5" t="s">
        <v>439</v>
      </c>
      <c r="B515" s="6"/>
      <c r="C515" s="6"/>
      <c r="D515" s="5" t="s">
        <v>1027</v>
      </c>
      <c r="E515" s="5" t="s">
        <v>1028</v>
      </c>
      <c r="F515" s="6"/>
      <c r="G515" s="8">
        <v>309925.0</v>
      </c>
      <c r="H515" s="5" t="s">
        <v>22</v>
      </c>
      <c r="I515" s="7">
        <f t="shared" si="1"/>
        <v>464887.5</v>
      </c>
      <c r="J515" s="7">
        <f t="shared" si="7"/>
        <v>402902.5</v>
      </c>
      <c r="K515" s="7">
        <f t="shared" si="3"/>
        <v>402902.5</v>
      </c>
      <c r="L515" s="7">
        <f t="shared" si="4"/>
        <v>371910</v>
      </c>
      <c r="M515" s="7">
        <f t="shared" si="5"/>
        <v>356413.75</v>
      </c>
      <c r="N515" s="7">
        <f t="shared" si="6"/>
        <v>340917.5</v>
      </c>
    </row>
    <row r="516">
      <c r="A516" s="5" t="s">
        <v>439</v>
      </c>
      <c r="B516" s="6"/>
      <c r="C516" s="6"/>
      <c r="D516" s="5" t="s">
        <v>1029</v>
      </c>
      <c r="E516" s="5" t="s">
        <v>1030</v>
      </c>
      <c r="F516" s="6"/>
      <c r="G516" s="8">
        <v>207948.0</v>
      </c>
      <c r="H516" s="5" t="s">
        <v>22</v>
      </c>
      <c r="I516" s="7">
        <f t="shared" si="1"/>
        <v>311922</v>
      </c>
      <c r="J516" s="7">
        <f t="shared" si="7"/>
        <v>270332.4</v>
      </c>
      <c r="K516" s="7">
        <f t="shared" si="3"/>
        <v>270332.4</v>
      </c>
      <c r="L516" s="7">
        <f t="shared" si="4"/>
        <v>249537.6</v>
      </c>
      <c r="M516" s="7">
        <f t="shared" si="5"/>
        <v>239140.2</v>
      </c>
      <c r="N516" s="7">
        <f t="shared" si="6"/>
        <v>228742.8</v>
      </c>
    </row>
    <row r="517">
      <c r="A517" s="5" t="s">
        <v>439</v>
      </c>
      <c r="B517" s="6"/>
      <c r="C517" s="6"/>
      <c r="D517" s="5" t="s">
        <v>1031</v>
      </c>
      <c r="E517" s="5" t="s">
        <v>1032</v>
      </c>
      <c r="F517" s="6"/>
      <c r="G517" s="8">
        <v>250572.0</v>
      </c>
      <c r="H517" s="5" t="s">
        <v>22</v>
      </c>
      <c r="I517" s="7">
        <f t="shared" si="1"/>
        <v>375858</v>
      </c>
      <c r="J517" s="7">
        <f t="shared" si="7"/>
        <v>325743.6</v>
      </c>
      <c r="K517" s="7">
        <f t="shared" si="3"/>
        <v>325743.6</v>
      </c>
      <c r="L517" s="7">
        <f t="shared" si="4"/>
        <v>300686.4</v>
      </c>
      <c r="M517" s="7">
        <f t="shared" si="5"/>
        <v>288157.8</v>
      </c>
      <c r="N517" s="7">
        <f t="shared" si="6"/>
        <v>275629.2</v>
      </c>
    </row>
    <row r="518">
      <c r="A518" s="5" t="s">
        <v>439</v>
      </c>
      <c r="B518" s="6"/>
      <c r="C518" s="6"/>
      <c r="D518" s="5" t="s">
        <v>1033</v>
      </c>
      <c r="E518" s="5" t="s">
        <v>1034</v>
      </c>
      <c r="F518" s="6"/>
      <c r="G518" s="8">
        <v>254892.0</v>
      </c>
      <c r="H518" s="5" t="s">
        <v>22</v>
      </c>
      <c r="I518" s="7">
        <f t="shared" si="1"/>
        <v>382338</v>
      </c>
      <c r="J518" s="7">
        <f t="shared" si="7"/>
        <v>331359.6</v>
      </c>
      <c r="K518" s="7">
        <f t="shared" si="3"/>
        <v>331359.6</v>
      </c>
      <c r="L518" s="7">
        <f t="shared" si="4"/>
        <v>305870.4</v>
      </c>
      <c r="M518" s="7">
        <f t="shared" si="5"/>
        <v>293125.8</v>
      </c>
      <c r="N518" s="7">
        <f t="shared" si="6"/>
        <v>280381.2</v>
      </c>
    </row>
    <row r="519">
      <c r="A519" s="5" t="s">
        <v>439</v>
      </c>
      <c r="B519" s="6"/>
      <c r="C519" s="6"/>
      <c r="D519" s="5" t="s">
        <v>1035</v>
      </c>
      <c r="E519" s="5" t="s">
        <v>1036</v>
      </c>
      <c r="F519" s="6"/>
      <c r="G519" s="8">
        <v>319591.0</v>
      </c>
      <c r="H519" s="5" t="s">
        <v>22</v>
      </c>
      <c r="I519" s="7">
        <f t="shared" si="1"/>
        <v>479386.5</v>
      </c>
      <c r="J519" s="7">
        <f t="shared" si="7"/>
        <v>415468.3</v>
      </c>
      <c r="K519" s="7">
        <f t="shared" si="3"/>
        <v>415468.3</v>
      </c>
      <c r="L519" s="7">
        <f t="shared" si="4"/>
        <v>383509.2</v>
      </c>
      <c r="M519" s="7">
        <f t="shared" si="5"/>
        <v>367529.65</v>
      </c>
      <c r="N519" s="7">
        <f t="shared" si="6"/>
        <v>351550.1</v>
      </c>
    </row>
    <row r="520">
      <c r="A520" s="5" t="s">
        <v>439</v>
      </c>
      <c r="B520" s="6"/>
      <c r="C520" s="6"/>
      <c r="D520" s="5" t="s">
        <v>1037</v>
      </c>
      <c r="E520" s="5" t="s">
        <v>1038</v>
      </c>
      <c r="F520" s="6"/>
      <c r="G520" s="8">
        <v>22212.0</v>
      </c>
      <c r="H520" s="5" t="s">
        <v>22</v>
      </c>
      <c r="I520" s="7">
        <f t="shared" si="1"/>
        <v>33318</v>
      </c>
      <c r="J520" s="7">
        <f t="shared" si="7"/>
        <v>28875.6</v>
      </c>
      <c r="K520" s="7">
        <f t="shared" si="3"/>
        <v>28875.6</v>
      </c>
      <c r="L520" s="7">
        <f t="shared" si="4"/>
        <v>26654.4</v>
      </c>
      <c r="M520" s="7">
        <f t="shared" si="5"/>
        <v>25543.8</v>
      </c>
      <c r="N520" s="7">
        <f t="shared" si="6"/>
        <v>24433.2</v>
      </c>
    </row>
    <row r="521">
      <c r="A521" s="5" t="s">
        <v>439</v>
      </c>
      <c r="B521" s="6"/>
      <c r="C521" s="6"/>
      <c r="D521" s="5" t="s">
        <v>1039</v>
      </c>
      <c r="E521" s="5" t="s">
        <v>1040</v>
      </c>
      <c r="F521" s="6"/>
      <c r="G521" s="8">
        <v>41169.0</v>
      </c>
      <c r="H521" s="5" t="s">
        <v>22</v>
      </c>
      <c r="I521" s="7">
        <f t="shared" si="1"/>
        <v>61753.5</v>
      </c>
      <c r="J521" s="7">
        <f t="shared" si="7"/>
        <v>53519.7</v>
      </c>
      <c r="K521" s="7">
        <f t="shared" si="3"/>
        <v>53519.7</v>
      </c>
      <c r="L521" s="7">
        <f t="shared" si="4"/>
        <v>49402.8</v>
      </c>
      <c r="M521" s="7">
        <f t="shared" si="5"/>
        <v>47344.35</v>
      </c>
      <c r="N521" s="7">
        <f t="shared" si="6"/>
        <v>45285.9</v>
      </c>
    </row>
    <row r="522">
      <c r="A522" s="5" t="s">
        <v>439</v>
      </c>
      <c r="B522" s="6"/>
      <c r="C522" s="6"/>
      <c r="D522" s="5" t="s">
        <v>1041</v>
      </c>
      <c r="E522" s="5" t="s">
        <v>1042</v>
      </c>
      <c r="F522" s="6"/>
      <c r="G522" s="8">
        <v>23062.0</v>
      </c>
      <c r="H522" s="5" t="s">
        <v>22</v>
      </c>
      <c r="I522" s="7">
        <f t="shared" si="1"/>
        <v>34593</v>
      </c>
      <c r="J522" s="7">
        <f t="shared" si="7"/>
        <v>29980.6</v>
      </c>
      <c r="K522" s="7">
        <f t="shared" si="3"/>
        <v>29980.6</v>
      </c>
      <c r="L522" s="7">
        <f t="shared" si="4"/>
        <v>27674.4</v>
      </c>
      <c r="M522" s="7">
        <f t="shared" si="5"/>
        <v>26521.3</v>
      </c>
      <c r="N522" s="7">
        <f t="shared" si="6"/>
        <v>25368.2</v>
      </c>
    </row>
    <row r="523">
      <c r="A523" s="5" t="s">
        <v>439</v>
      </c>
      <c r="B523" s="6"/>
      <c r="C523" s="6"/>
      <c r="D523" s="5" t="s">
        <v>1043</v>
      </c>
      <c r="E523" s="5" t="s">
        <v>1044</v>
      </c>
      <c r="F523" s="6"/>
      <c r="G523" s="8">
        <v>20479.0</v>
      </c>
      <c r="H523" s="5" t="s">
        <v>22</v>
      </c>
      <c r="I523" s="7">
        <f t="shared" si="1"/>
        <v>30718.5</v>
      </c>
      <c r="J523" s="7">
        <f t="shared" si="7"/>
        <v>26622.7</v>
      </c>
      <c r="K523" s="7">
        <f t="shared" si="3"/>
        <v>26622.7</v>
      </c>
      <c r="L523" s="7">
        <f t="shared" si="4"/>
        <v>24574.8</v>
      </c>
      <c r="M523" s="7">
        <f t="shared" si="5"/>
        <v>23550.85</v>
      </c>
      <c r="N523" s="7">
        <f t="shared" si="6"/>
        <v>22526.9</v>
      </c>
    </row>
    <row r="524">
      <c r="A524" s="5" t="s">
        <v>439</v>
      </c>
      <c r="B524" s="6"/>
      <c r="C524" s="6"/>
      <c r="D524" s="5" t="s">
        <v>1045</v>
      </c>
      <c r="E524" s="5" t="s">
        <v>1046</v>
      </c>
      <c r="F524" s="6"/>
      <c r="G524" s="8">
        <v>10054.0</v>
      </c>
      <c r="H524" s="5" t="s">
        <v>22</v>
      </c>
      <c r="I524" s="7">
        <f t="shared" si="1"/>
        <v>15081</v>
      </c>
      <c r="J524" s="7">
        <f t="shared" si="7"/>
        <v>13070.2</v>
      </c>
      <c r="K524" s="7">
        <f t="shared" si="3"/>
        <v>13070.2</v>
      </c>
      <c r="L524" s="7">
        <f t="shared" si="4"/>
        <v>12064.8</v>
      </c>
      <c r="M524" s="7">
        <f t="shared" si="5"/>
        <v>11562.1</v>
      </c>
      <c r="N524" s="7">
        <f t="shared" si="6"/>
        <v>11059.4</v>
      </c>
    </row>
    <row r="525">
      <c r="A525" s="5" t="s">
        <v>439</v>
      </c>
      <c r="B525" s="6"/>
      <c r="C525" s="6"/>
      <c r="D525" s="5" t="s">
        <v>1047</v>
      </c>
      <c r="E525" s="5" t="s">
        <v>1048</v>
      </c>
      <c r="F525" s="6"/>
      <c r="G525" s="8">
        <v>1175.0</v>
      </c>
      <c r="H525" s="5" t="s">
        <v>22</v>
      </c>
      <c r="I525" s="7">
        <f t="shared" si="1"/>
        <v>1762.5</v>
      </c>
      <c r="J525" s="7">
        <f t="shared" si="7"/>
        <v>1527.5</v>
      </c>
      <c r="K525" s="7">
        <f t="shared" si="3"/>
        <v>1527.5</v>
      </c>
      <c r="L525" s="7">
        <f t="shared" si="4"/>
        <v>1410</v>
      </c>
      <c r="M525" s="7">
        <f t="shared" si="5"/>
        <v>1351.25</v>
      </c>
      <c r="N525" s="7">
        <f t="shared" si="6"/>
        <v>1292.5</v>
      </c>
    </row>
    <row r="526">
      <c r="A526" s="5" t="s">
        <v>439</v>
      </c>
      <c r="B526" s="6"/>
      <c r="C526" s="6"/>
      <c r="D526" s="5" t="s">
        <v>1049</v>
      </c>
      <c r="E526" s="5" t="s">
        <v>1050</v>
      </c>
      <c r="F526" s="6"/>
      <c r="G526" s="8">
        <v>47242.0</v>
      </c>
      <c r="H526" s="5" t="s">
        <v>22</v>
      </c>
      <c r="I526" s="7">
        <f t="shared" si="1"/>
        <v>70863</v>
      </c>
      <c r="J526" s="7">
        <f t="shared" si="7"/>
        <v>61414.6</v>
      </c>
      <c r="K526" s="7">
        <f t="shared" si="3"/>
        <v>61414.6</v>
      </c>
      <c r="L526" s="7">
        <f t="shared" si="4"/>
        <v>56690.4</v>
      </c>
      <c r="M526" s="7">
        <f t="shared" si="5"/>
        <v>54328.3</v>
      </c>
      <c r="N526" s="7">
        <f t="shared" si="6"/>
        <v>51966.2</v>
      </c>
    </row>
    <row r="527">
      <c r="A527" s="5" t="s">
        <v>439</v>
      </c>
      <c r="B527" s="6"/>
      <c r="C527" s="6"/>
      <c r="D527" s="5" t="s">
        <v>1051</v>
      </c>
      <c r="E527" s="5" t="s">
        <v>1052</v>
      </c>
      <c r="F527" s="6"/>
      <c r="G527" s="8">
        <v>76448.0</v>
      </c>
      <c r="H527" s="5" t="s">
        <v>22</v>
      </c>
      <c r="I527" s="7">
        <f t="shared" si="1"/>
        <v>114672</v>
      </c>
      <c r="J527" s="7">
        <f t="shared" si="7"/>
        <v>99382.4</v>
      </c>
      <c r="K527" s="7">
        <f t="shared" si="3"/>
        <v>99382.4</v>
      </c>
      <c r="L527" s="7">
        <f t="shared" si="4"/>
        <v>91737.6</v>
      </c>
      <c r="M527" s="7">
        <f t="shared" si="5"/>
        <v>87915.2</v>
      </c>
      <c r="N527" s="7">
        <f t="shared" si="6"/>
        <v>84092.8</v>
      </c>
    </row>
    <row r="528">
      <c r="A528" s="5" t="s">
        <v>439</v>
      </c>
      <c r="B528" s="6"/>
      <c r="C528" s="6"/>
      <c r="D528" s="5" t="s">
        <v>1053</v>
      </c>
      <c r="E528" s="5" t="s">
        <v>1054</v>
      </c>
      <c r="F528" s="6"/>
      <c r="G528" s="8">
        <v>9069.0</v>
      </c>
      <c r="H528" s="5" t="s">
        <v>22</v>
      </c>
      <c r="I528" s="7">
        <f t="shared" si="1"/>
        <v>13603.5</v>
      </c>
      <c r="J528" s="7">
        <f t="shared" si="7"/>
        <v>11789.7</v>
      </c>
      <c r="K528" s="7">
        <f t="shared" si="3"/>
        <v>11789.7</v>
      </c>
      <c r="L528" s="7">
        <f t="shared" si="4"/>
        <v>10882.8</v>
      </c>
      <c r="M528" s="7">
        <f t="shared" si="5"/>
        <v>10429.35</v>
      </c>
      <c r="N528" s="7">
        <f t="shared" si="6"/>
        <v>9975.9</v>
      </c>
    </row>
    <row r="529">
      <c r="A529" s="5" t="s">
        <v>439</v>
      </c>
      <c r="B529" s="6"/>
      <c r="C529" s="6"/>
      <c r="D529" s="5" t="s">
        <v>1055</v>
      </c>
      <c r="E529" s="5" t="s">
        <v>1056</v>
      </c>
      <c r="F529" s="6"/>
      <c r="G529" s="8">
        <v>55109.0</v>
      </c>
      <c r="H529" s="5" t="s">
        <v>22</v>
      </c>
      <c r="I529" s="7">
        <f t="shared" si="1"/>
        <v>82663.5</v>
      </c>
      <c r="J529" s="7">
        <f t="shared" si="7"/>
        <v>71641.7</v>
      </c>
      <c r="K529" s="7">
        <f t="shared" si="3"/>
        <v>71641.7</v>
      </c>
      <c r="L529" s="7">
        <f t="shared" si="4"/>
        <v>66130.8</v>
      </c>
      <c r="M529" s="7">
        <f t="shared" si="5"/>
        <v>63375.35</v>
      </c>
      <c r="N529" s="7">
        <f t="shared" si="6"/>
        <v>60619.9</v>
      </c>
    </row>
    <row r="530">
      <c r="A530" s="5" t="s">
        <v>439</v>
      </c>
      <c r="B530" s="6"/>
      <c r="C530" s="6"/>
      <c r="D530" s="5" t="s">
        <v>1057</v>
      </c>
      <c r="E530" s="5" t="s">
        <v>1058</v>
      </c>
      <c r="F530" s="6"/>
      <c r="G530" s="8">
        <v>150068.0</v>
      </c>
      <c r="H530" s="5" t="s">
        <v>22</v>
      </c>
      <c r="I530" s="7">
        <f t="shared" si="1"/>
        <v>225102</v>
      </c>
      <c r="J530" s="7">
        <f t="shared" si="7"/>
        <v>195088.4</v>
      </c>
      <c r="K530" s="7">
        <f t="shared" si="3"/>
        <v>195088.4</v>
      </c>
      <c r="L530" s="7">
        <f t="shared" si="4"/>
        <v>180081.6</v>
      </c>
      <c r="M530" s="7">
        <f t="shared" si="5"/>
        <v>172578.2</v>
      </c>
      <c r="N530" s="7">
        <f t="shared" si="6"/>
        <v>165074.8</v>
      </c>
    </row>
    <row r="531">
      <c r="A531" s="5" t="s">
        <v>439</v>
      </c>
      <c r="B531" s="6"/>
      <c r="C531" s="6"/>
      <c r="D531" s="5" t="s">
        <v>1059</v>
      </c>
      <c r="E531" s="5" t="s">
        <v>1060</v>
      </c>
      <c r="F531" s="6"/>
      <c r="G531" s="8">
        <v>41152.0</v>
      </c>
      <c r="H531" s="5" t="s">
        <v>22</v>
      </c>
      <c r="I531" s="7">
        <f t="shared" si="1"/>
        <v>61728</v>
      </c>
      <c r="J531" s="7">
        <f t="shared" si="7"/>
        <v>53497.6</v>
      </c>
      <c r="K531" s="7">
        <f t="shared" si="3"/>
        <v>53497.6</v>
      </c>
      <c r="L531" s="7">
        <f t="shared" si="4"/>
        <v>49382.4</v>
      </c>
      <c r="M531" s="7">
        <f t="shared" si="5"/>
        <v>47324.8</v>
      </c>
      <c r="N531" s="7">
        <f t="shared" si="6"/>
        <v>45267.2</v>
      </c>
    </row>
    <row r="532">
      <c r="A532" s="5" t="s">
        <v>439</v>
      </c>
      <c r="B532" s="6"/>
      <c r="C532" s="6"/>
      <c r="D532" s="5" t="s">
        <v>1061</v>
      </c>
      <c r="E532" s="5" t="s">
        <v>1062</v>
      </c>
      <c r="F532" s="6"/>
      <c r="G532" s="8">
        <v>26343.0</v>
      </c>
      <c r="H532" s="5" t="s">
        <v>22</v>
      </c>
      <c r="I532" s="7">
        <f t="shared" si="1"/>
        <v>39514.5</v>
      </c>
      <c r="J532" s="7">
        <f t="shared" si="7"/>
        <v>34245.9</v>
      </c>
      <c r="K532" s="7">
        <f t="shared" si="3"/>
        <v>34245.9</v>
      </c>
      <c r="L532" s="7">
        <f t="shared" si="4"/>
        <v>31611.6</v>
      </c>
      <c r="M532" s="7">
        <f t="shared" si="5"/>
        <v>30294.45</v>
      </c>
      <c r="N532" s="7">
        <f t="shared" si="6"/>
        <v>28977.3</v>
      </c>
    </row>
    <row r="533">
      <c r="A533" s="5" t="s">
        <v>439</v>
      </c>
      <c r="B533" s="6"/>
      <c r="C533" s="6"/>
      <c r="D533" s="5" t="s">
        <v>1063</v>
      </c>
      <c r="E533" s="5" t="s">
        <v>676</v>
      </c>
      <c r="F533" s="6"/>
      <c r="G533" s="8">
        <v>36130.0</v>
      </c>
      <c r="H533" s="5" t="s">
        <v>22</v>
      </c>
      <c r="I533" s="7">
        <f t="shared" si="1"/>
        <v>54195</v>
      </c>
      <c r="J533" s="7">
        <f t="shared" si="7"/>
        <v>46969</v>
      </c>
      <c r="K533" s="7">
        <f t="shared" si="3"/>
        <v>46969</v>
      </c>
      <c r="L533" s="7">
        <f t="shared" si="4"/>
        <v>43356</v>
      </c>
      <c r="M533" s="7">
        <f t="shared" si="5"/>
        <v>41549.5</v>
      </c>
      <c r="N533" s="7">
        <f t="shared" si="6"/>
        <v>39743</v>
      </c>
    </row>
    <row r="534">
      <c r="A534" s="5" t="s">
        <v>439</v>
      </c>
      <c r="B534" s="6"/>
      <c r="C534" s="6"/>
      <c r="D534" s="5" t="s">
        <v>1064</v>
      </c>
      <c r="E534" s="5" t="s">
        <v>1065</v>
      </c>
      <c r="F534" s="6"/>
      <c r="G534" s="8">
        <v>42160.0</v>
      </c>
      <c r="H534" s="5" t="s">
        <v>22</v>
      </c>
      <c r="I534" s="7">
        <f t="shared" si="1"/>
        <v>63240</v>
      </c>
      <c r="J534" s="7">
        <f t="shared" si="7"/>
        <v>54808</v>
      </c>
      <c r="K534" s="7">
        <f t="shared" si="3"/>
        <v>54808</v>
      </c>
      <c r="L534" s="7">
        <f t="shared" si="4"/>
        <v>50592</v>
      </c>
      <c r="M534" s="7">
        <f t="shared" si="5"/>
        <v>48484</v>
      </c>
      <c r="N534" s="7">
        <f t="shared" si="6"/>
        <v>46376</v>
      </c>
    </row>
    <row r="535">
      <c r="A535" s="5" t="s">
        <v>439</v>
      </c>
      <c r="B535" s="6"/>
      <c r="C535" s="6"/>
      <c r="D535" s="5" t="s">
        <v>1066</v>
      </c>
      <c r="E535" s="5" t="s">
        <v>1067</v>
      </c>
      <c r="F535" s="6"/>
      <c r="G535" s="8">
        <v>47647.0</v>
      </c>
      <c r="H535" s="5" t="s">
        <v>22</v>
      </c>
      <c r="I535" s="7">
        <f t="shared" si="1"/>
        <v>71470.5</v>
      </c>
      <c r="J535" s="7">
        <f t="shared" si="7"/>
        <v>61941.1</v>
      </c>
      <c r="K535" s="7">
        <f t="shared" si="3"/>
        <v>61941.1</v>
      </c>
      <c r="L535" s="7">
        <f t="shared" si="4"/>
        <v>57176.4</v>
      </c>
      <c r="M535" s="7">
        <f t="shared" si="5"/>
        <v>54794.05</v>
      </c>
      <c r="N535" s="7">
        <f t="shared" si="6"/>
        <v>52411.7</v>
      </c>
    </row>
    <row r="536">
      <c r="A536" s="5" t="s">
        <v>439</v>
      </c>
      <c r="B536" s="6"/>
      <c r="C536" s="6"/>
      <c r="D536" s="5" t="s">
        <v>1068</v>
      </c>
      <c r="E536" s="5" t="s">
        <v>1069</v>
      </c>
      <c r="F536" s="6"/>
      <c r="G536" s="8">
        <v>85242.0</v>
      </c>
      <c r="H536" s="5" t="s">
        <v>22</v>
      </c>
      <c r="I536" s="7">
        <f t="shared" si="1"/>
        <v>127863</v>
      </c>
      <c r="J536" s="7">
        <f t="shared" si="7"/>
        <v>110814.6</v>
      </c>
      <c r="K536" s="7">
        <f t="shared" si="3"/>
        <v>110814.6</v>
      </c>
      <c r="L536" s="7">
        <f t="shared" si="4"/>
        <v>102290.4</v>
      </c>
      <c r="M536" s="7">
        <f t="shared" si="5"/>
        <v>98028.3</v>
      </c>
      <c r="N536" s="7">
        <f t="shared" si="6"/>
        <v>93766.2</v>
      </c>
    </row>
    <row r="537">
      <c r="A537" s="5" t="s">
        <v>439</v>
      </c>
      <c r="B537" s="6"/>
      <c r="C537" s="6"/>
      <c r="D537" s="5" t="s">
        <v>1070</v>
      </c>
      <c r="E537" s="5" t="s">
        <v>1071</v>
      </c>
      <c r="F537" s="6"/>
      <c r="G537" s="8">
        <v>131274.0</v>
      </c>
      <c r="H537" s="5" t="s">
        <v>22</v>
      </c>
      <c r="I537" s="7">
        <f t="shared" si="1"/>
        <v>196911</v>
      </c>
      <c r="J537" s="7">
        <f t="shared" si="7"/>
        <v>170656.2</v>
      </c>
      <c r="K537" s="7">
        <f t="shared" si="3"/>
        <v>170656.2</v>
      </c>
      <c r="L537" s="7">
        <f t="shared" si="4"/>
        <v>157528.8</v>
      </c>
      <c r="M537" s="7">
        <f t="shared" si="5"/>
        <v>150965.1</v>
      </c>
      <c r="N537" s="7">
        <f t="shared" si="6"/>
        <v>144401.4</v>
      </c>
    </row>
    <row r="538">
      <c r="A538" s="5" t="s">
        <v>439</v>
      </c>
      <c r="B538" s="6"/>
      <c r="C538" s="6"/>
      <c r="D538" s="5" t="s">
        <v>1072</v>
      </c>
      <c r="E538" s="5" t="s">
        <v>1073</v>
      </c>
      <c r="F538" s="6"/>
      <c r="G538" s="8">
        <v>7563.0</v>
      </c>
      <c r="H538" s="5" t="s">
        <v>22</v>
      </c>
      <c r="I538" s="7">
        <f t="shared" si="1"/>
        <v>11344.5</v>
      </c>
      <c r="J538" s="7">
        <f t="shared" si="7"/>
        <v>9831.9</v>
      </c>
      <c r="K538" s="7">
        <f t="shared" si="3"/>
        <v>9831.9</v>
      </c>
      <c r="L538" s="7">
        <f t="shared" si="4"/>
        <v>9075.6</v>
      </c>
      <c r="M538" s="7">
        <f t="shared" si="5"/>
        <v>8697.45</v>
      </c>
      <c r="N538" s="7">
        <f t="shared" si="6"/>
        <v>8319.3</v>
      </c>
    </row>
    <row r="539">
      <c r="A539" s="5" t="s">
        <v>439</v>
      </c>
      <c r="B539" s="6"/>
      <c r="C539" s="6"/>
      <c r="D539" s="5" t="s">
        <v>1074</v>
      </c>
      <c r="E539" s="5" t="s">
        <v>1075</v>
      </c>
      <c r="F539" s="6"/>
      <c r="G539" s="8">
        <v>92714.0</v>
      </c>
      <c r="H539" s="5" t="s">
        <v>22</v>
      </c>
      <c r="I539" s="7">
        <f t="shared" si="1"/>
        <v>139071</v>
      </c>
      <c r="J539" s="7">
        <f t="shared" si="7"/>
        <v>120528.2</v>
      </c>
      <c r="K539" s="7">
        <f t="shared" si="3"/>
        <v>120528.2</v>
      </c>
      <c r="L539" s="7">
        <f t="shared" si="4"/>
        <v>111256.8</v>
      </c>
      <c r="M539" s="7">
        <f t="shared" si="5"/>
        <v>106621.1</v>
      </c>
      <c r="N539" s="7">
        <f t="shared" si="6"/>
        <v>101985.4</v>
      </c>
    </row>
    <row r="540">
      <c r="A540" s="5" t="s">
        <v>439</v>
      </c>
      <c r="B540" s="6"/>
      <c r="C540" s="6"/>
      <c r="D540" s="5" t="s">
        <v>1076</v>
      </c>
      <c r="E540" s="5" t="s">
        <v>1077</v>
      </c>
      <c r="F540" s="6"/>
      <c r="G540" s="8">
        <v>4595.0</v>
      </c>
      <c r="H540" s="5" t="s">
        <v>22</v>
      </c>
      <c r="I540" s="7">
        <f t="shared" si="1"/>
        <v>6892.5</v>
      </c>
      <c r="J540" s="7">
        <f t="shared" si="7"/>
        <v>5973.5</v>
      </c>
      <c r="K540" s="7">
        <f t="shared" si="3"/>
        <v>5973.5</v>
      </c>
      <c r="L540" s="7">
        <f t="shared" si="4"/>
        <v>5514</v>
      </c>
      <c r="M540" s="7">
        <f t="shared" si="5"/>
        <v>5284.25</v>
      </c>
      <c r="N540" s="7">
        <f t="shared" si="6"/>
        <v>5054.5</v>
      </c>
    </row>
    <row r="541">
      <c r="A541" s="5" t="s">
        <v>439</v>
      </c>
      <c r="B541" s="6"/>
      <c r="C541" s="6"/>
      <c r="D541" s="5" t="s">
        <v>1078</v>
      </c>
      <c r="E541" s="5" t="s">
        <v>778</v>
      </c>
      <c r="F541" s="6"/>
      <c r="G541" s="8">
        <v>42160.0</v>
      </c>
      <c r="H541" s="5" t="s">
        <v>22</v>
      </c>
      <c r="I541" s="7">
        <f t="shared" si="1"/>
        <v>63240</v>
      </c>
      <c r="J541" s="7">
        <f t="shared" si="7"/>
        <v>54808</v>
      </c>
      <c r="K541" s="7">
        <f t="shared" si="3"/>
        <v>54808</v>
      </c>
      <c r="L541" s="7">
        <f t="shared" si="4"/>
        <v>50592</v>
      </c>
      <c r="M541" s="7">
        <f t="shared" si="5"/>
        <v>48484</v>
      </c>
      <c r="N541" s="7">
        <f t="shared" si="6"/>
        <v>46376</v>
      </c>
    </row>
    <row r="542">
      <c r="A542" s="5" t="s">
        <v>439</v>
      </c>
      <c r="B542" s="6"/>
      <c r="C542" s="6"/>
      <c r="D542" s="5" t="s">
        <v>1079</v>
      </c>
      <c r="E542" s="5" t="s">
        <v>1080</v>
      </c>
      <c r="F542" s="6"/>
      <c r="G542" s="8">
        <v>4760.0</v>
      </c>
      <c r="H542" s="5" t="s">
        <v>22</v>
      </c>
      <c r="I542" s="7">
        <f t="shared" si="1"/>
        <v>7140</v>
      </c>
      <c r="J542" s="7">
        <f t="shared" si="7"/>
        <v>6188</v>
      </c>
      <c r="K542" s="7">
        <f t="shared" si="3"/>
        <v>6188</v>
      </c>
      <c r="L542" s="7">
        <f t="shared" si="4"/>
        <v>5712</v>
      </c>
      <c r="M542" s="7">
        <f t="shared" si="5"/>
        <v>5474</v>
      </c>
      <c r="N542" s="7">
        <f t="shared" si="6"/>
        <v>5236</v>
      </c>
    </row>
    <row r="543">
      <c r="A543" s="5" t="s">
        <v>439</v>
      </c>
      <c r="B543" s="6"/>
      <c r="C543" s="6"/>
      <c r="D543" s="5" t="s">
        <v>1081</v>
      </c>
      <c r="E543" s="5" t="s">
        <v>1082</v>
      </c>
      <c r="F543" s="6"/>
      <c r="G543" s="8">
        <v>4854.0</v>
      </c>
      <c r="H543" s="5" t="s">
        <v>22</v>
      </c>
      <c r="I543" s="7">
        <f t="shared" si="1"/>
        <v>7281</v>
      </c>
      <c r="J543" s="7">
        <f t="shared" si="7"/>
        <v>6310.2</v>
      </c>
      <c r="K543" s="7">
        <f t="shared" si="3"/>
        <v>6310.2</v>
      </c>
      <c r="L543" s="7">
        <f t="shared" si="4"/>
        <v>5824.8</v>
      </c>
      <c r="M543" s="7">
        <f t="shared" si="5"/>
        <v>5582.1</v>
      </c>
      <c r="N543" s="7">
        <f t="shared" si="6"/>
        <v>5339.4</v>
      </c>
    </row>
    <row r="544">
      <c r="A544" s="5" t="s">
        <v>439</v>
      </c>
      <c r="B544" s="6"/>
      <c r="C544" s="6"/>
      <c r="D544" s="5" t="s">
        <v>1083</v>
      </c>
      <c r="E544" s="5" t="s">
        <v>1084</v>
      </c>
      <c r="F544" s="6"/>
      <c r="G544" s="8">
        <v>4854.0</v>
      </c>
      <c r="H544" s="5" t="s">
        <v>22</v>
      </c>
      <c r="I544" s="7">
        <f t="shared" si="1"/>
        <v>7281</v>
      </c>
      <c r="J544" s="7">
        <f t="shared" si="7"/>
        <v>6310.2</v>
      </c>
      <c r="K544" s="7">
        <f t="shared" si="3"/>
        <v>6310.2</v>
      </c>
      <c r="L544" s="7">
        <f t="shared" si="4"/>
        <v>5824.8</v>
      </c>
      <c r="M544" s="7">
        <f t="shared" si="5"/>
        <v>5582.1</v>
      </c>
      <c r="N544" s="7">
        <f t="shared" si="6"/>
        <v>5339.4</v>
      </c>
    </row>
    <row r="545">
      <c r="A545" s="5" t="s">
        <v>439</v>
      </c>
      <c r="B545" s="6"/>
      <c r="C545" s="6"/>
      <c r="D545" s="5" t="s">
        <v>1085</v>
      </c>
      <c r="E545" s="5" t="s">
        <v>1086</v>
      </c>
      <c r="F545" s="6"/>
      <c r="G545" s="8">
        <v>9431.0</v>
      </c>
      <c r="H545" s="5" t="s">
        <v>22</v>
      </c>
      <c r="I545" s="7">
        <f t="shared" si="1"/>
        <v>14146.5</v>
      </c>
      <c r="J545" s="7">
        <f t="shared" si="7"/>
        <v>12260.3</v>
      </c>
      <c r="K545" s="7">
        <f t="shared" si="3"/>
        <v>12260.3</v>
      </c>
      <c r="L545" s="7">
        <f t="shared" si="4"/>
        <v>11317.2</v>
      </c>
      <c r="M545" s="7">
        <f t="shared" si="5"/>
        <v>10845.65</v>
      </c>
      <c r="N545" s="7">
        <f t="shared" si="6"/>
        <v>10374.1</v>
      </c>
    </row>
    <row r="546">
      <c r="A546" s="5" t="s">
        <v>439</v>
      </c>
      <c r="B546" s="6"/>
      <c r="C546" s="6"/>
      <c r="D546" s="5" t="s">
        <v>1087</v>
      </c>
      <c r="E546" s="5" t="s">
        <v>1088</v>
      </c>
      <c r="F546" s="6"/>
      <c r="G546" s="8">
        <v>9431.0</v>
      </c>
      <c r="H546" s="5" t="s">
        <v>22</v>
      </c>
      <c r="I546" s="7">
        <f t="shared" si="1"/>
        <v>14146.5</v>
      </c>
      <c r="J546" s="7">
        <f t="shared" si="7"/>
        <v>12260.3</v>
      </c>
      <c r="K546" s="7">
        <f t="shared" si="3"/>
        <v>12260.3</v>
      </c>
      <c r="L546" s="7">
        <f t="shared" si="4"/>
        <v>11317.2</v>
      </c>
      <c r="M546" s="7">
        <f t="shared" si="5"/>
        <v>10845.65</v>
      </c>
      <c r="N546" s="7">
        <f t="shared" si="6"/>
        <v>10374.1</v>
      </c>
    </row>
    <row r="547">
      <c r="A547" s="5" t="s">
        <v>439</v>
      </c>
      <c r="B547" s="6"/>
      <c r="C547" s="6"/>
      <c r="D547" s="5" t="s">
        <v>1089</v>
      </c>
      <c r="E547" s="5" t="s">
        <v>1090</v>
      </c>
      <c r="F547" s="6"/>
      <c r="G547" s="8">
        <v>4854.0</v>
      </c>
      <c r="H547" s="5" t="s">
        <v>22</v>
      </c>
      <c r="I547" s="7">
        <f t="shared" si="1"/>
        <v>7281</v>
      </c>
      <c r="J547" s="7">
        <f t="shared" si="7"/>
        <v>6310.2</v>
      </c>
      <c r="K547" s="7">
        <f t="shared" si="3"/>
        <v>6310.2</v>
      </c>
      <c r="L547" s="7">
        <f t="shared" si="4"/>
        <v>5824.8</v>
      </c>
      <c r="M547" s="7">
        <f t="shared" si="5"/>
        <v>5582.1</v>
      </c>
      <c r="N547" s="7">
        <f t="shared" si="6"/>
        <v>5339.4</v>
      </c>
    </row>
    <row r="548">
      <c r="A548" s="5" t="s">
        <v>439</v>
      </c>
      <c r="B548" s="6"/>
      <c r="C548" s="6"/>
      <c r="D548" s="5" t="s">
        <v>1091</v>
      </c>
      <c r="E548" s="5" t="s">
        <v>1092</v>
      </c>
      <c r="F548" s="6"/>
      <c r="G548" s="8">
        <v>4854.0</v>
      </c>
      <c r="H548" s="5" t="s">
        <v>22</v>
      </c>
      <c r="I548" s="7">
        <f t="shared" si="1"/>
        <v>7281</v>
      </c>
      <c r="J548" s="7">
        <f t="shared" si="7"/>
        <v>6310.2</v>
      </c>
      <c r="K548" s="7">
        <f t="shared" si="3"/>
        <v>6310.2</v>
      </c>
      <c r="L548" s="7">
        <f t="shared" si="4"/>
        <v>5824.8</v>
      </c>
      <c r="M548" s="7">
        <f t="shared" si="5"/>
        <v>5582.1</v>
      </c>
      <c r="N548" s="7">
        <f t="shared" si="6"/>
        <v>5339.4</v>
      </c>
    </row>
    <row r="549">
      <c r="A549" s="5" t="s">
        <v>439</v>
      </c>
      <c r="B549" s="6"/>
      <c r="C549" s="6"/>
      <c r="D549" s="5" t="s">
        <v>1093</v>
      </c>
      <c r="E549" s="5" t="s">
        <v>1094</v>
      </c>
      <c r="F549" s="6"/>
      <c r="G549" s="5">
        <v>808.0</v>
      </c>
      <c r="H549" s="5" t="s">
        <v>22</v>
      </c>
      <c r="I549" s="7">
        <f t="shared" si="1"/>
        <v>1212</v>
      </c>
      <c r="J549" s="7">
        <f t="shared" si="7"/>
        <v>1050.4</v>
      </c>
      <c r="K549" s="7">
        <f t="shared" si="3"/>
        <v>1050.4</v>
      </c>
      <c r="L549" s="7">
        <f t="shared" si="4"/>
        <v>969.6</v>
      </c>
      <c r="M549" s="7">
        <f t="shared" si="5"/>
        <v>929.2</v>
      </c>
      <c r="N549" s="7">
        <f t="shared" si="6"/>
        <v>888.8</v>
      </c>
    </row>
    <row r="550">
      <c r="A550" s="5" t="s">
        <v>439</v>
      </c>
      <c r="B550" s="6"/>
      <c r="C550" s="6"/>
      <c r="D550" s="5" t="s">
        <v>1095</v>
      </c>
      <c r="E550" s="5" t="s">
        <v>1096</v>
      </c>
      <c r="F550" s="6"/>
      <c r="G550" s="8">
        <v>10707.0</v>
      </c>
      <c r="H550" s="5" t="s">
        <v>22</v>
      </c>
      <c r="I550" s="7">
        <f t="shared" si="1"/>
        <v>16060.5</v>
      </c>
      <c r="J550" s="7">
        <f t="shared" si="7"/>
        <v>13919.1</v>
      </c>
      <c r="K550" s="7">
        <f t="shared" si="3"/>
        <v>13919.1</v>
      </c>
      <c r="L550" s="7">
        <f t="shared" si="4"/>
        <v>12848.4</v>
      </c>
      <c r="M550" s="7">
        <f t="shared" si="5"/>
        <v>12313.05</v>
      </c>
      <c r="N550" s="7">
        <f t="shared" si="6"/>
        <v>11777.7</v>
      </c>
    </row>
    <row r="551">
      <c r="A551" s="5" t="s">
        <v>439</v>
      </c>
      <c r="B551" s="6"/>
      <c r="C551" s="6"/>
      <c r="D551" s="5" t="s">
        <v>1097</v>
      </c>
      <c r="E551" s="5" t="s">
        <v>1098</v>
      </c>
      <c r="F551" s="6"/>
      <c r="G551" s="8">
        <v>28930.0</v>
      </c>
      <c r="H551" s="5" t="s">
        <v>22</v>
      </c>
      <c r="I551" s="7">
        <f t="shared" si="1"/>
        <v>43395</v>
      </c>
      <c r="J551" s="7">
        <f t="shared" si="7"/>
        <v>37609</v>
      </c>
      <c r="K551" s="7">
        <f t="shared" si="3"/>
        <v>37609</v>
      </c>
      <c r="L551" s="7">
        <f t="shared" si="4"/>
        <v>34716</v>
      </c>
      <c r="M551" s="7">
        <f t="shared" si="5"/>
        <v>33269.5</v>
      </c>
      <c r="N551" s="7">
        <f t="shared" si="6"/>
        <v>31823</v>
      </c>
    </row>
    <row r="552">
      <c r="A552" s="5" t="s">
        <v>439</v>
      </c>
      <c r="B552" s="6"/>
      <c r="C552" s="6"/>
      <c r="D552" s="5" t="s">
        <v>1099</v>
      </c>
      <c r="E552" s="5" t="s">
        <v>1100</v>
      </c>
      <c r="F552" s="6"/>
      <c r="G552" s="8">
        <v>12172.0</v>
      </c>
      <c r="H552" s="5" t="s">
        <v>22</v>
      </c>
      <c r="I552" s="7">
        <f t="shared" si="1"/>
        <v>18258</v>
      </c>
      <c r="J552" s="7">
        <f t="shared" si="7"/>
        <v>15823.6</v>
      </c>
      <c r="K552" s="7">
        <f t="shared" si="3"/>
        <v>15823.6</v>
      </c>
      <c r="L552" s="7">
        <f t="shared" si="4"/>
        <v>14606.4</v>
      </c>
      <c r="M552" s="7">
        <f t="shared" si="5"/>
        <v>13997.8</v>
      </c>
      <c r="N552" s="7">
        <f t="shared" si="6"/>
        <v>13389.2</v>
      </c>
    </row>
    <row r="553">
      <c r="A553" s="5" t="s">
        <v>439</v>
      </c>
      <c r="B553" s="6"/>
      <c r="C553" s="6"/>
      <c r="D553" s="5" t="s">
        <v>1101</v>
      </c>
      <c r="E553" s="5" t="s">
        <v>1102</v>
      </c>
      <c r="F553" s="6"/>
      <c r="G553" s="8">
        <v>2647.0</v>
      </c>
      <c r="H553" s="5" t="s">
        <v>22</v>
      </c>
      <c r="I553" s="7">
        <f t="shared" si="1"/>
        <v>3970.5</v>
      </c>
      <c r="J553" s="7">
        <f t="shared" si="7"/>
        <v>3441.1</v>
      </c>
      <c r="K553" s="7">
        <f t="shared" si="3"/>
        <v>3441.1</v>
      </c>
      <c r="L553" s="7">
        <f t="shared" si="4"/>
        <v>3176.4</v>
      </c>
      <c r="M553" s="7">
        <f t="shared" si="5"/>
        <v>3044.05</v>
      </c>
      <c r="N553" s="7">
        <f t="shared" si="6"/>
        <v>2911.7</v>
      </c>
    </row>
    <row r="554">
      <c r="A554" s="5" t="s">
        <v>439</v>
      </c>
      <c r="B554" s="6"/>
      <c r="C554" s="6"/>
      <c r="D554" s="5" t="s">
        <v>1103</v>
      </c>
      <c r="E554" s="5" t="s">
        <v>1104</v>
      </c>
      <c r="F554" s="6"/>
      <c r="G554" s="8">
        <v>4223.0</v>
      </c>
      <c r="H554" s="5" t="s">
        <v>22</v>
      </c>
      <c r="I554" s="7">
        <f t="shared" si="1"/>
        <v>6334.5</v>
      </c>
      <c r="J554" s="7">
        <f t="shared" si="7"/>
        <v>5489.9</v>
      </c>
      <c r="K554" s="7">
        <f t="shared" si="3"/>
        <v>5489.9</v>
      </c>
      <c r="L554" s="7">
        <f t="shared" si="4"/>
        <v>5067.6</v>
      </c>
      <c r="M554" s="7">
        <f t="shared" si="5"/>
        <v>4856.45</v>
      </c>
      <c r="N554" s="7">
        <f t="shared" si="6"/>
        <v>4645.3</v>
      </c>
    </row>
    <row r="555">
      <c r="A555" s="5" t="s">
        <v>439</v>
      </c>
      <c r="B555" s="6"/>
      <c r="C555" s="6"/>
      <c r="D555" s="5" t="s">
        <v>1105</v>
      </c>
      <c r="E555" s="5" t="s">
        <v>1106</v>
      </c>
      <c r="F555" s="6"/>
      <c r="G555" s="8">
        <v>6741.0</v>
      </c>
      <c r="H555" s="5" t="s">
        <v>22</v>
      </c>
      <c r="I555" s="7">
        <f t="shared" si="1"/>
        <v>10111.5</v>
      </c>
      <c r="J555" s="7">
        <f t="shared" si="7"/>
        <v>8763.3</v>
      </c>
      <c r="K555" s="7">
        <f t="shared" si="3"/>
        <v>8763.3</v>
      </c>
      <c r="L555" s="7">
        <f t="shared" si="4"/>
        <v>8089.2</v>
      </c>
      <c r="M555" s="7">
        <f t="shared" si="5"/>
        <v>7752.15</v>
      </c>
      <c r="N555" s="7">
        <f t="shared" si="6"/>
        <v>7415.1</v>
      </c>
    </row>
    <row r="556">
      <c r="A556" s="5" t="s">
        <v>439</v>
      </c>
      <c r="B556" s="6"/>
      <c r="C556" s="6"/>
      <c r="D556" s="5" t="s">
        <v>1107</v>
      </c>
      <c r="E556" s="5" t="s">
        <v>1108</v>
      </c>
      <c r="F556" s="6"/>
      <c r="G556" s="8">
        <v>2733.0</v>
      </c>
      <c r="H556" s="5" t="s">
        <v>22</v>
      </c>
      <c r="I556" s="7">
        <f t="shared" si="1"/>
        <v>4099.5</v>
      </c>
      <c r="J556" s="7">
        <f t="shared" si="7"/>
        <v>3552.9</v>
      </c>
      <c r="K556" s="7">
        <f t="shared" si="3"/>
        <v>3552.9</v>
      </c>
      <c r="L556" s="7">
        <f t="shared" si="4"/>
        <v>3279.6</v>
      </c>
      <c r="M556" s="7">
        <f t="shared" si="5"/>
        <v>3142.95</v>
      </c>
      <c r="N556" s="7">
        <f t="shared" si="6"/>
        <v>3006.3</v>
      </c>
    </row>
    <row r="557">
      <c r="A557" s="5" t="s">
        <v>439</v>
      </c>
      <c r="B557" s="6"/>
      <c r="C557" s="6"/>
      <c r="D557" s="5" t="s">
        <v>1109</v>
      </c>
      <c r="E557" s="5" t="s">
        <v>1110</v>
      </c>
      <c r="F557" s="6"/>
      <c r="G557" s="8">
        <v>2028.0</v>
      </c>
      <c r="H557" s="5" t="s">
        <v>22</v>
      </c>
      <c r="I557" s="7">
        <f t="shared" si="1"/>
        <v>3042</v>
      </c>
      <c r="J557" s="7">
        <f t="shared" si="7"/>
        <v>2636.4</v>
      </c>
      <c r="K557" s="7">
        <f t="shared" si="3"/>
        <v>2636.4</v>
      </c>
      <c r="L557" s="7">
        <f t="shared" si="4"/>
        <v>2433.6</v>
      </c>
      <c r="M557" s="7">
        <f t="shared" si="5"/>
        <v>2332.2</v>
      </c>
      <c r="N557" s="7">
        <f t="shared" si="6"/>
        <v>2230.8</v>
      </c>
    </row>
    <row r="558">
      <c r="A558" s="5" t="s">
        <v>439</v>
      </c>
      <c r="B558" s="6"/>
      <c r="C558" s="6"/>
      <c r="D558" s="5" t="s">
        <v>1111</v>
      </c>
      <c r="E558" s="5" t="s">
        <v>1112</v>
      </c>
      <c r="F558" s="6"/>
      <c r="G558" s="5">
        <v>877.0</v>
      </c>
      <c r="H558" s="5" t="s">
        <v>22</v>
      </c>
      <c r="I558" s="7">
        <f t="shared" si="1"/>
        <v>1315.5</v>
      </c>
      <c r="J558" s="7">
        <f t="shared" si="7"/>
        <v>1140.1</v>
      </c>
      <c r="K558" s="7">
        <f t="shared" si="3"/>
        <v>1140.1</v>
      </c>
      <c r="L558" s="7">
        <f t="shared" si="4"/>
        <v>1052.4</v>
      </c>
      <c r="M558" s="7">
        <f t="shared" si="5"/>
        <v>1008.55</v>
      </c>
      <c r="N558" s="7">
        <f t="shared" si="6"/>
        <v>964.7</v>
      </c>
    </row>
    <row r="559">
      <c r="A559" s="5" t="s">
        <v>439</v>
      </c>
      <c r="B559" s="6"/>
      <c r="C559" s="6"/>
      <c r="D559" s="5" t="s">
        <v>1113</v>
      </c>
      <c r="E559" s="5" t="s">
        <v>1114</v>
      </c>
      <c r="F559" s="6"/>
      <c r="G559" s="8">
        <v>6445.0</v>
      </c>
      <c r="H559" s="5" t="s">
        <v>22</v>
      </c>
      <c r="I559" s="7">
        <f t="shared" si="1"/>
        <v>9667.5</v>
      </c>
      <c r="J559" s="7">
        <f t="shared" si="7"/>
        <v>8378.5</v>
      </c>
      <c r="K559" s="7">
        <f t="shared" si="3"/>
        <v>8378.5</v>
      </c>
      <c r="L559" s="7">
        <f t="shared" si="4"/>
        <v>7734</v>
      </c>
      <c r="M559" s="7">
        <f t="shared" si="5"/>
        <v>7411.75</v>
      </c>
      <c r="N559" s="7">
        <f t="shared" si="6"/>
        <v>7089.5</v>
      </c>
    </row>
    <row r="560">
      <c r="A560" s="5" t="s">
        <v>439</v>
      </c>
      <c r="B560" s="6"/>
      <c r="C560" s="6"/>
      <c r="D560" s="5" t="s">
        <v>1115</v>
      </c>
      <c r="E560" s="5" t="s">
        <v>1116</v>
      </c>
      <c r="F560" s="6"/>
      <c r="G560" s="8">
        <v>4105.0</v>
      </c>
      <c r="H560" s="5" t="s">
        <v>22</v>
      </c>
      <c r="I560" s="7">
        <f t="shared" si="1"/>
        <v>6157.5</v>
      </c>
      <c r="J560" s="7">
        <f t="shared" si="7"/>
        <v>5336.5</v>
      </c>
      <c r="K560" s="7">
        <f t="shared" si="3"/>
        <v>5336.5</v>
      </c>
      <c r="L560" s="7">
        <f t="shared" si="4"/>
        <v>4926</v>
      </c>
      <c r="M560" s="7">
        <f t="shared" si="5"/>
        <v>4720.75</v>
      </c>
      <c r="N560" s="7">
        <f t="shared" si="6"/>
        <v>4515.5</v>
      </c>
    </row>
    <row r="561">
      <c r="A561" s="5" t="s">
        <v>439</v>
      </c>
      <c r="B561" s="6"/>
      <c r="C561" s="6"/>
      <c r="D561" s="5" t="s">
        <v>1117</v>
      </c>
      <c r="E561" s="5" t="s">
        <v>1118</v>
      </c>
      <c r="F561" s="6"/>
      <c r="G561" s="8">
        <v>3299.0</v>
      </c>
      <c r="H561" s="5" t="s">
        <v>22</v>
      </c>
      <c r="I561" s="7">
        <f t="shared" si="1"/>
        <v>4948.5</v>
      </c>
      <c r="J561" s="7">
        <f t="shared" si="7"/>
        <v>4288.7</v>
      </c>
      <c r="K561" s="7">
        <f t="shared" si="3"/>
        <v>4288.7</v>
      </c>
      <c r="L561" s="7">
        <f t="shared" si="4"/>
        <v>3958.8</v>
      </c>
      <c r="M561" s="7">
        <f t="shared" si="5"/>
        <v>3793.85</v>
      </c>
      <c r="N561" s="7">
        <f t="shared" si="6"/>
        <v>3628.9</v>
      </c>
    </row>
    <row r="562">
      <c r="A562" s="5" t="s">
        <v>439</v>
      </c>
      <c r="B562" s="6"/>
      <c r="C562" s="6"/>
      <c r="D562" s="5" t="s">
        <v>1119</v>
      </c>
      <c r="E562" s="5" t="s">
        <v>1120</v>
      </c>
      <c r="F562" s="6"/>
      <c r="G562" s="8">
        <v>3807.0</v>
      </c>
      <c r="H562" s="5" t="s">
        <v>22</v>
      </c>
      <c r="I562" s="7">
        <f t="shared" si="1"/>
        <v>5710.5</v>
      </c>
      <c r="J562" s="7">
        <f t="shared" si="7"/>
        <v>4949.1</v>
      </c>
      <c r="K562" s="7">
        <f t="shared" si="3"/>
        <v>4949.1</v>
      </c>
      <c r="L562" s="7">
        <f t="shared" si="4"/>
        <v>4568.4</v>
      </c>
      <c r="M562" s="7">
        <f t="shared" si="5"/>
        <v>4378.05</v>
      </c>
      <c r="N562" s="7">
        <f t="shared" si="6"/>
        <v>4187.7</v>
      </c>
    </row>
    <row r="563">
      <c r="A563" s="5" t="s">
        <v>439</v>
      </c>
      <c r="B563" s="6"/>
      <c r="C563" s="6"/>
      <c r="D563" s="5" t="s">
        <v>1121</v>
      </c>
      <c r="E563" s="5" t="s">
        <v>1122</v>
      </c>
      <c r="F563" s="6"/>
      <c r="G563" s="8">
        <v>37926.0</v>
      </c>
      <c r="H563" s="5" t="s">
        <v>22</v>
      </c>
      <c r="I563" s="7">
        <f t="shared" si="1"/>
        <v>56889</v>
      </c>
      <c r="J563" s="7">
        <f t="shared" si="7"/>
        <v>49303.8</v>
      </c>
      <c r="K563" s="7">
        <f t="shared" si="3"/>
        <v>49303.8</v>
      </c>
      <c r="L563" s="7">
        <f t="shared" si="4"/>
        <v>45511.2</v>
      </c>
      <c r="M563" s="7">
        <f t="shared" si="5"/>
        <v>43614.9</v>
      </c>
      <c r="N563" s="7">
        <f t="shared" si="6"/>
        <v>41718.6</v>
      </c>
    </row>
    <row r="564">
      <c r="A564" s="5" t="s">
        <v>439</v>
      </c>
      <c r="B564" s="6"/>
      <c r="C564" s="6"/>
      <c r="D564" s="5" t="s">
        <v>1123</v>
      </c>
      <c r="E564" s="5" t="s">
        <v>1124</v>
      </c>
      <c r="F564" s="6"/>
      <c r="G564" s="8">
        <v>53598.0</v>
      </c>
      <c r="H564" s="5" t="s">
        <v>22</v>
      </c>
      <c r="I564" s="7">
        <f t="shared" si="1"/>
        <v>80397</v>
      </c>
      <c r="J564" s="7">
        <f t="shared" si="7"/>
        <v>69677.4</v>
      </c>
      <c r="K564" s="7">
        <f t="shared" si="3"/>
        <v>69677.4</v>
      </c>
      <c r="L564" s="7">
        <f t="shared" si="4"/>
        <v>64317.6</v>
      </c>
      <c r="M564" s="7">
        <f t="shared" si="5"/>
        <v>61637.7</v>
      </c>
      <c r="N564" s="7">
        <f t="shared" si="6"/>
        <v>58957.8</v>
      </c>
    </row>
    <row r="565">
      <c r="A565" s="5" t="s">
        <v>439</v>
      </c>
      <c r="B565" s="6"/>
      <c r="C565" s="6"/>
      <c r="D565" s="5" t="s">
        <v>1125</v>
      </c>
      <c r="E565" s="5" t="s">
        <v>1126</v>
      </c>
      <c r="F565" s="6"/>
      <c r="G565" s="8">
        <v>38808.0</v>
      </c>
      <c r="H565" s="5" t="s">
        <v>22</v>
      </c>
      <c r="I565" s="7">
        <f t="shared" si="1"/>
        <v>58212</v>
      </c>
      <c r="J565" s="7">
        <f t="shared" si="7"/>
        <v>50450.4</v>
      </c>
      <c r="K565" s="7">
        <f t="shared" si="3"/>
        <v>50450.4</v>
      </c>
      <c r="L565" s="7">
        <f t="shared" si="4"/>
        <v>46569.6</v>
      </c>
      <c r="M565" s="7">
        <f t="shared" si="5"/>
        <v>44629.2</v>
      </c>
      <c r="N565" s="7">
        <f t="shared" si="6"/>
        <v>42688.8</v>
      </c>
    </row>
    <row r="566">
      <c r="A566" s="5" t="s">
        <v>439</v>
      </c>
      <c r="B566" s="6"/>
      <c r="C566" s="6"/>
      <c r="D566" s="5" t="s">
        <v>516</v>
      </c>
      <c r="E566" s="5" t="s">
        <v>1127</v>
      </c>
      <c r="F566" s="6"/>
      <c r="G566" s="8">
        <v>3036.0</v>
      </c>
      <c r="H566" s="5" t="s">
        <v>22</v>
      </c>
      <c r="I566" s="7">
        <f t="shared" si="1"/>
        <v>4554</v>
      </c>
      <c r="J566" s="7">
        <f t="shared" si="7"/>
        <v>3946.8</v>
      </c>
      <c r="K566" s="7">
        <f t="shared" si="3"/>
        <v>3946.8</v>
      </c>
      <c r="L566" s="7">
        <f t="shared" si="4"/>
        <v>3643.2</v>
      </c>
      <c r="M566" s="7">
        <f t="shared" si="5"/>
        <v>3491.4</v>
      </c>
      <c r="N566" s="7">
        <f t="shared" si="6"/>
        <v>3339.6</v>
      </c>
    </row>
    <row r="567">
      <c r="A567" s="5" t="s">
        <v>439</v>
      </c>
      <c r="B567" s="6"/>
      <c r="C567" s="6"/>
      <c r="D567" s="5" t="s">
        <v>1128</v>
      </c>
      <c r="E567" s="5" t="s">
        <v>1129</v>
      </c>
      <c r="F567" s="6"/>
      <c r="G567" s="8">
        <v>1799.0</v>
      </c>
      <c r="H567" s="5" t="s">
        <v>22</v>
      </c>
      <c r="I567" s="7">
        <f t="shared" si="1"/>
        <v>2698.5</v>
      </c>
      <c r="J567" s="7">
        <f t="shared" si="7"/>
        <v>2338.7</v>
      </c>
      <c r="K567" s="7">
        <f t="shared" si="3"/>
        <v>2338.7</v>
      </c>
      <c r="L567" s="7">
        <f t="shared" si="4"/>
        <v>2158.8</v>
      </c>
      <c r="M567" s="7">
        <f t="shared" si="5"/>
        <v>2068.85</v>
      </c>
      <c r="N567" s="7">
        <f t="shared" si="6"/>
        <v>1978.9</v>
      </c>
    </row>
    <row r="568">
      <c r="A568" s="5" t="s">
        <v>439</v>
      </c>
      <c r="B568" s="6"/>
      <c r="C568" s="6"/>
      <c r="D568" s="5" t="s">
        <v>1130</v>
      </c>
      <c r="E568" s="5" t="s">
        <v>1131</v>
      </c>
      <c r="F568" s="6"/>
      <c r="G568" s="8">
        <v>1678.0</v>
      </c>
      <c r="H568" s="5" t="s">
        <v>22</v>
      </c>
      <c r="I568" s="7">
        <f t="shared" si="1"/>
        <v>2517</v>
      </c>
      <c r="J568" s="7">
        <f t="shared" si="7"/>
        <v>2181.4</v>
      </c>
      <c r="K568" s="7">
        <f t="shared" si="3"/>
        <v>2181.4</v>
      </c>
      <c r="L568" s="7">
        <f t="shared" si="4"/>
        <v>2013.6</v>
      </c>
      <c r="M568" s="7">
        <f t="shared" si="5"/>
        <v>1929.7</v>
      </c>
      <c r="N568" s="7">
        <f t="shared" si="6"/>
        <v>1845.8</v>
      </c>
    </row>
    <row r="569">
      <c r="A569" s="5" t="s">
        <v>439</v>
      </c>
      <c r="B569" s="6"/>
      <c r="C569" s="6"/>
      <c r="D569" s="5" t="s">
        <v>1132</v>
      </c>
      <c r="E569" s="5" t="s">
        <v>1133</v>
      </c>
      <c r="F569" s="6"/>
      <c r="G569" s="8">
        <v>10675.0</v>
      </c>
      <c r="H569" s="5" t="s">
        <v>22</v>
      </c>
      <c r="I569" s="7">
        <f t="shared" si="1"/>
        <v>16012.5</v>
      </c>
      <c r="J569" s="7">
        <f t="shared" si="7"/>
        <v>13877.5</v>
      </c>
      <c r="K569" s="7">
        <f t="shared" si="3"/>
        <v>13877.5</v>
      </c>
      <c r="L569" s="7">
        <f t="shared" si="4"/>
        <v>12810</v>
      </c>
      <c r="M569" s="7">
        <f t="shared" si="5"/>
        <v>12276.25</v>
      </c>
      <c r="N569" s="7">
        <f t="shared" si="6"/>
        <v>11742.5</v>
      </c>
    </row>
    <row r="570">
      <c r="A570" s="5" t="s">
        <v>439</v>
      </c>
      <c r="B570" s="6"/>
      <c r="C570" s="6"/>
      <c r="D570" s="5" t="s">
        <v>1134</v>
      </c>
      <c r="E570" s="5" t="s">
        <v>1135</v>
      </c>
      <c r="F570" s="6"/>
      <c r="G570" s="8">
        <v>14515.0</v>
      </c>
      <c r="H570" s="5" t="s">
        <v>22</v>
      </c>
      <c r="I570" s="7">
        <f t="shared" si="1"/>
        <v>21772.5</v>
      </c>
      <c r="J570" s="7">
        <f t="shared" si="7"/>
        <v>18869.5</v>
      </c>
      <c r="K570" s="7">
        <f t="shared" si="3"/>
        <v>18869.5</v>
      </c>
      <c r="L570" s="7">
        <f t="shared" si="4"/>
        <v>17418</v>
      </c>
      <c r="M570" s="7">
        <f t="shared" si="5"/>
        <v>16692.25</v>
      </c>
      <c r="N570" s="7">
        <f t="shared" si="6"/>
        <v>15966.5</v>
      </c>
    </row>
    <row r="571">
      <c r="A571" s="5" t="s">
        <v>439</v>
      </c>
      <c r="B571" s="6"/>
      <c r="C571" s="6"/>
      <c r="D571" s="5" t="s">
        <v>1136</v>
      </c>
      <c r="E571" s="5" t="s">
        <v>1137</v>
      </c>
      <c r="F571" s="6"/>
      <c r="G571" s="8">
        <v>12148.0</v>
      </c>
      <c r="H571" s="5" t="s">
        <v>22</v>
      </c>
      <c r="I571" s="7">
        <f t="shared" si="1"/>
        <v>18222</v>
      </c>
      <c r="J571" s="7">
        <f t="shared" si="7"/>
        <v>15792.4</v>
      </c>
      <c r="K571" s="7">
        <f t="shared" si="3"/>
        <v>15792.4</v>
      </c>
      <c r="L571" s="7">
        <f t="shared" si="4"/>
        <v>14577.6</v>
      </c>
      <c r="M571" s="7">
        <f t="shared" si="5"/>
        <v>13970.2</v>
      </c>
      <c r="N571" s="7">
        <f t="shared" si="6"/>
        <v>13362.8</v>
      </c>
    </row>
    <row r="572">
      <c r="A572" s="5" t="s">
        <v>439</v>
      </c>
      <c r="B572" s="6"/>
      <c r="C572" s="6"/>
      <c r="D572" s="5" t="s">
        <v>1138</v>
      </c>
      <c r="E572" s="5" t="s">
        <v>1135</v>
      </c>
      <c r="F572" s="6"/>
      <c r="G572" s="8">
        <v>14767.0</v>
      </c>
      <c r="H572" s="5" t="s">
        <v>22</v>
      </c>
      <c r="I572" s="7">
        <f t="shared" si="1"/>
        <v>22150.5</v>
      </c>
      <c r="J572" s="7">
        <f t="shared" si="7"/>
        <v>19197.1</v>
      </c>
      <c r="K572" s="7">
        <f t="shared" si="3"/>
        <v>19197.1</v>
      </c>
      <c r="L572" s="7">
        <f t="shared" si="4"/>
        <v>17720.4</v>
      </c>
      <c r="M572" s="7">
        <f t="shared" si="5"/>
        <v>16982.05</v>
      </c>
      <c r="N572" s="7">
        <f t="shared" si="6"/>
        <v>16243.7</v>
      </c>
    </row>
    <row r="573">
      <c r="A573" s="5" t="s">
        <v>439</v>
      </c>
      <c r="B573" s="6"/>
      <c r="C573" s="6"/>
      <c r="D573" s="5" t="s">
        <v>1139</v>
      </c>
      <c r="E573" s="5" t="s">
        <v>1140</v>
      </c>
      <c r="F573" s="6"/>
      <c r="G573" s="8">
        <v>12262.0</v>
      </c>
      <c r="H573" s="5" t="s">
        <v>22</v>
      </c>
      <c r="I573" s="7">
        <f t="shared" si="1"/>
        <v>18393</v>
      </c>
      <c r="J573" s="7">
        <f t="shared" si="7"/>
        <v>15940.6</v>
      </c>
      <c r="K573" s="7">
        <f t="shared" si="3"/>
        <v>15940.6</v>
      </c>
      <c r="L573" s="7">
        <f t="shared" si="4"/>
        <v>14714.4</v>
      </c>
      <c r="M573" s="7">
        <f t="shared" si="5"/>
        <v>14101.3</v>
      </c>
      <c r="N573" s="7">
        <f t="shared" si="6"/>
        <v>13488.2</v>
      </c>
    </row>
    <row r="574">
      <c r="A574" s="5" t="s">
        <v>439</v>
      </c>
      <c r="B574" s="6"/>
      <c r="C574" s="6"/>
      <c r="D574" s="5" t="s">
        <v>1141</v>
      </c>
      <c r="E574" s="5" t="s">
        <v>1142</v>
      </c>
      <c r="F574" s="6"/>
      <c r="G574" s="8">
        <v>11765.0</v>
      </c>
      <c r="H574" s="5" t="s">
        <v>22</v>
      </c>
      <c r="I574" s="7">
        <f t="shared" si="1"/>
        <v>17647.5</v>
      </c>
      <c r="J574" s="7">
        <f t="shared" si="7"/>
        <v>15294.5</v>
      </c>
      <c r="K574" s="7">
        <f t="shared" si="3"/>
        <v>15294.5</v>
      </c>
      <c r="L574" s="7">
        <f t="shared" si="4"/>
        <v>14118</v>
      </c>
      <c r="M574" s="7">
        <f t="shared" si="5"/>
        <v>13529.75</v>
      </c>
      <c r="N574" s="7">
        <f t="shared" si="6"/>
        <v>12941.5</v>
      </c>
    </row>
    <row r="575">
      <c r="A575" s="5" t="s">
        <v>439</v>
      </c>
      <c r="B575" s="6"/>
      <c r="C575" s="6"/>
      <c r="D575" s="5" t="s">
        <v>1143</v>
      </c>
      <c r="E575" s="5" t="s">
        <v>1144</v>
      </c>
      <c r="F575" s="6"/>
      <c r="G575" s="8">
        <v>14360.0</v>
      </c>
      <c r="H575" s="5" t="s">
        <v>22</v>
      </c>
      <c r="I575" s="7">
        <f t="shared" si="1"/>
        <v>21540</v>
      </c>
      <c r="J575" s="7">
        <f t="shared" si="7"/>
        <v>18668</v>
      </c>
      <c r="K575" s="7">
        <f t="shared" si="3"/>
        <v>18668</v>
      </c>
      <c r="L575" s="7">
        <f t="shared" si="4"/>
        <v>17232</v>
      </c>
      <c r="M575" s="7">
        <f t="shared" si="5"/>
        <v>16514</v>
      </c>
      <c r="N575" s="7">
        <f t="shared" si="6"/>
        <v>15796</v>
      </c>
    </row>
    <row r="576">
      <c r="A576" s="5" t="s">
        <v>439</v>
      </c>
      <c r="B576" s="6"/>
      <c r="C576" s="6"/>
      <c r="D576" s="5" t="s">
        <v>1145</v>
      </c>
      <c r="E576" s="5" t="s">
        <v>1146</v>
      </c>
      <c r="F576" s="6"/>
      <c r="G576" s="8">
        <v>11721.0</v>
      </c>
      <c r="H576" s="5" t="s">
        <v>22</v>
      </c>
      <c r="I576" s="7">
        <f t="shared" si="1"/>
        <v>17581.5</v>
      </c>
      <c r="J576" s="7">
        <f t="shared" si="7"/>
        <v>15237.3</v>
      </c>
      <c r="K576" s="7">
        <f t="shared" si="3"/>
        <v>15237.3</v>
      </c>
      <c r="L576" s="7">
        <f t="shared" si="4"/>
        <v>14065.2</v>
      </c>
      <c r="M576" s="7">
        <f t="shared" si="5"/>
        <v>13479.15</v>
      </c>
      <c r="N576" s="7">
        <f t="shared" si="6"/>
        <v>12893.1</v>
      </c>
    </row>
    <row r="577">
      <c r="A577" s="5" t="s">
        <v>439</v>
      </c>
      <c r="B577" s="6"/>
      <c r="C577" s="6"/>
      <c r="D577" s="5" t="s">
        <v>1147</v>
      </c>
      <c r="E577" s="5" t="s">
        <v>1148</v>
      </c>
      <c r="F577" s="6"/>
      <c r="G577" s="8">
        <v>3004.0</v>
      </c>
      <c r="H577" s="5" t="s">
        <v>22</v>
      </c>
      <c r="I577" s="7">
        <f t="shared" si="1"/>
        <v>4506</v>
      </c>
      <c r="J577" s="7">
        <f t="shared" si="7"/>
        <v>3905.2</v>
      </c>
      <c r="K577" s="7">
        <f t="shared" si="3"/>
        <v>3905.2</v>
      </c>
      <c r="L577" s="7">
        <f t="shared" si="4"/>
        <v>3604.8</v>
      </c>
      <c r="M577" s="7">
        <f t="shared" si="5"/>
        <v>3454.6</v>
      </c>
      <c r="N577" s="7">
        <f t="shared" si="6"/>
        <v>3304.4</v>
      </c>
    </row>
    <row r="578">
      <c r="A578" s="5" t="s">
        <v>439</v>
      </c>
      <c r="B578" s="6"/>
      <c r="C578" s="6"/>
      <c r="D578" s="5" t="s">
        <v>1149</v>
      </c>
      <c r="E578" s="5" t="s">
        <v>1150</v>
      </c>
      <c r="F578" s="6"/>
      <c r="G578" s="8">
        <v>6309.0</v>
      </c>
      <c r="H578" s="5" t="s">
        <v>22</v>
      </c>
      <c r="I578" s="7">
        <f t="shared" si="1"/>
        <v>9463.5</v>
      </c>
      <c r="J578" s="7">
        <f t="shared" si="7"/>
        <v>8201.7</v>
      </c>
      <c r="K578" s="7">
        <f t="shared" si="3"/>
        <v>8201.7</v>
      </c>
      <c r="L578" s="7">
        <f t="shared" si="4"/>
        <v>7570.8</v>
      </c>
      <c r="M578" s="7">
        <f t="shared" si="5"/>
        <v>7255.35</v>
      </c>
      <c r="N578" s="7">
        <f t="shared" si="6"/>
        <v>6939.9</v>
      </c>
    </row>
    <row r="579">
      <c r="A579" s="5" t="s">
        <v>439</v>
      </c>
      <c r="B579" s="6"/>
      <c r="C579" s="6"/>
      <c r="D579" s="5" t="s">
        <v>1151</v>
      </c>
      <c r="E579" s="5" t="s">
        <v>1152</v>
      </c>
      <c r="F579" s="6"/>
      <c r="G579" s="8">
        <v>16120.0</v>
      </c>
      <c r="H579" s="5" t="s">
        <v>22</v>
      </c>
      <c r="I579" s="7">
        <f t="shared" si="1"/>
        <v>24180</v>
      </c>
      <c r="J579" s="7">
        <f t="shared" si="7"/>
        <v>20956</v>
      </c>
      <c r="K579" s="7">
        <f t="shared" si="3"/>
        <v>20956</v>
      </c>
      <c r="L579" s="7">
        <f t="shared" si="4"/>
        <v>19344</v>
      </c>
      <c r="M579" s="7">
        <f t="shared" si="5"/>
        <v>18538</v>
      </c>
      <c r="N579" s="7">
        <f t="shared" si="6"/>
        <v>17732</v>
      </c>
    </row>
    <row r="580">
      <c r="A580" s="5" t="s">
        <v>439</v>
      </c>
      <c r="B580" s="6"/>
      <c r="C580" s="6"/>
      <c r="D580" s="5" t="s">
        <v>1153</v>
      </c>
      <c r="E580" s="5" t="s">
        <v>1154</v>
      </c>
      <c r="F580" s="6"/>
      <c r="G580" s="8">
        <v>6122.0</v>
      </c>
      <c r="H580" s="5" t="s">
        <v>22</v>
      </c>
      <c r="I580" s="7">
        <f t="shared" si="1"/>
        <v>9183</v>
      </c>
      <c r="J580" s="7">
        <f t="shared" si="7"/>
        <v>7958.6</v>
      </c>
      <c r="K580" s="7">
        <f t="shared" si="3"/>
        <v>7958.6</v>
      </c>
      <c r="L580" s="7">
        <f t="shared" si="4"/>
        <v>7346.4</v>
      </c>
      <c r="M580" s="7">
        <f t="shared" si="5"/>
        <v>7040.3</v>
      </c>
      <c r="N580" s="7">
        <f t="shared" si="6"/>
        <v>6734.2</v>
      </c>
    </row>
    <row r="581">
      <c r="A581" s="5" t="s">
        <v>439</v>
      </c>
      <c r="B581" s="6"/>
      <c r="C581" s="6"/>
      <c r="D581" s="5" t="s">
        <v>1155</v>
      </c>
      <c r="E581" s="5" t="s">
        <v>1156</v>
      </c>
      <c r="F581" s="6"/>
      <c r="G581" s="8">
        <v>14360.0</v>
      </c>
      <c r="H581" s="5" t="s">
        <v>22</v>
      </c>
      <c r="I581" s="7">
        <f t="shared" si="1"/>
        <v>21540</v>
      </c>
      <c r="J581" s="7">
        <f t="shared" si="7"/>
        <v>18668</v>
      </c>
      <c r="K581" s="7">
        <f t="shared" si="3"/>
        <v>18668</v>
      </c>
      <c r="L581" s="7">
        <f t="shared" si="4"/>
        <v>17232</v>
      </c>
      <c r="M581" s="7">
        <f t="shared" si="5"/>
        <v>16514</v>
      </c>
      <c r="N581" s="7">
        <f t="shared" si="6"/>
        <v>15796</v>
      </c>
    </row>
    <row r="582">
      <c r="A582" s="5" t="s">
        <v>439</v>
      </c>
      <c r="B582" s="6"/>
      <c r="C582" s="6"/>
      <c r="D582" s="5" t="s">
        <v>1157</v>
      </c>
      <c r="E582" s="5" t="s">
        <v>1158</v>
      </c>
      <c r="F582" s="6"/>
      <c r="G582" s="8">
        <v>1792.0</v>
      </c>
      <c r="H582" s="5" t="s">
        <v>22</v>
      </c>
      <c r="I582" s="7">
        <f t="shared" si="1"/>
        <v>2688</v>
      </c>
      <c r="J582" s="7">
        <f t="shared" si="7"/>
        <v>2329.6</v>
      </c>
      <c r="K582" s="7">
        <f t="shared" si="3"/>
        <v>2329.6</v>
      </c>
      <c r="L582" s="7">
        <f t="shared" si="4"/>
        <v>2150.4</v>
      </c>
      <c r="M582" s="7">
        <f t="shared" si="5"/>
        <v>2060.8</v>
      </c>
      <c r="N582" s="7">
        <f t="shared" si="6"/>
        <v>1971.2</v>
      </c>
    </row>
    <row r="583">
      <c r="A583" s="5" t="s">
        <v>439</v>
      </c>
      <c r="B583" s="6"/>
      <c r="C583" s="6"/>
      <c r="D583" s="5" t="s">
        <v>1159</v>
      </c>
      <c r="E583" s="5" t="s">
        <v>1160</v>
      </c>
      <c r="F583" s="6"/>
      <c r="G583" s="8">
        <v>2226.0</v>
      </c>
      <c r="H583" s="5" t="s">
        <v>22</v>
      </c>
      <c r="I583" s="7">
        <f t="shared" si="1"/>
        <v>3339</v>
      </c>
      <c r="J583" s="7">
        <f t="shared" si="7"/>
        <v>2893.8</v>
      </c>
      <c r="K583" s="7">
        <f t="shared" si="3"/>
        <v>2893.8</v>
      </c>
      <c r="L583" s="7">
        <f t="shared" si="4"/>
        <v>2671.2</v>
      </c>
      <c r="M583" s="7">
        <f t="shared" si="5"/>
        <v>2559.9</v>
      </c>
      <c r="N583" s="7">
        <f t="shared" si="6"/>
        <v>2448.6</v>
      </c>
    </row>
    <row r="584">
      <c r="A584" s="5" t="s">
        <v>439</v>
      </c>
      <c r="B584" s="6"/>
      <c r="C584" s="6"/>
      <c r="D584" s="5" t="s">
        <v>1161</v>
      </c>
      <c r="E584" s="5" t="s">
        <v>1162</v>
      </c>
      <c r="F584" s="6"/>
      <c r="G584" s="8">
        <v>2095.0</v>
      </c>
      <c r="H584" s="5" t="s">
        <v>22</v>
      </c>
      <c r="I584" s="7">
        <f t="shared" si="1"/>
        <v>3142.5</v>
      </c>
      <c r="J584" s="7">
        <f t="shared" si="7"/>
        <v>2723.5</v>
      </c>
      <c r="K584" s="7">
        <f t="shared" si="3"/>
        <v>2723.5</v>
      </c>
      <c r="L584" s="7">
        <f t="shared" si="4"/>
        <v>2514</v>
      </c>
      <c r="M584" s="7">
        <f t="shared" si="5"/>
        <v>2409.25</v>
      </c>
      <c r="N584" s="7">
        <f t="shared" si="6"/>
        <v>2304.5</v>
      </c>
    </row>
    <row r="585">
      <c r="A585" s="5" t="s">
        <v>439</v>
      </c>
      <c r="B585" s="6"/>
      <c r="C585" s="6"/>
      <c r="D585" s="5" t="s">
        <v>1163</v>
      </c>
      <c r="E585" s="5" t="s">
        <v>1164</v>
      </c>
      <c r="F585" s="6"/>
      <c r="G585" s="8">
        <v>4848.0</v>
      </c>
      <c r="H585" s="5" t="s">
        <v>22</v>
      </c>
      <c r="I585" s="7">
        <f t="shared" si="1"/>
        <v>7272</v>
      </c>
      <c r="J585" s="7">
        <f t="shared" si="7"/>
        <v>6302.4</v>
      </c>
      <c r="K585" s="7">
        <f t="shared" si="3"/>
        <v>6302.4</v>
      </c>
      <c r="L585" s="7">
        <f t="shared" si="4"/>
        <v>5817.6</v>
      </c>
      <c r="M585" s="7">
        <f t="shared" si="5"/>
        <v>5575.2</v>
      </c>
      <c r="N585" s="7">
        <f t="shared" si="6"/>
        <v>5332.8</v>
      </c>
    </row>
    <row r="586">
      <c r="A586" s="5" t="s">
        <v>439</v>
      </c>
      <c r="B586" s="6"/>
      <c r="C586" s="6"/>
      <c r="D586" s="5" t="s">
        <v>1165</v>
      </c>
      <c r="E586" s="5" t="s">
        <v>1166</v>
      </c>
      <c r="F586" s="6"/>
      <c r="G586" s="8">
        <v>3412.0</v>
      </c>
      <c r="H586" s="5" t="s">
        <v>22</v>
      </c>
      <c r="I586" s="7">
        <f t="shared" si="1"/>
        <v>5118</v>
      </c>
      <c r="J586" s="7">
        <f t="shared" si="7"/>
        <v>4435.6</v>
      </c>
      <c r="K586" s="7">
        <f t="shared" si="3"/>
        <v>4435.6</v>
      </c>
      <c r="L586" s="7">
        <f t="shared" si="4"/>
        <v>4094.4</v>
      </c>
      <c r="M586" s="7">
        <f t="shared" si="5"/>
        <v>3923.8</v>
      </c>
      <c r="N586" s="7">
        <f t="shared" si="6"/>
        <v>3753.2</v>
      </c>
    </row>
    <row r="587">
      <c r="A587" s="5" t="s">
        <v>439</v>
      </c>
      <c r="B587" s="6"/>
      <c r="C587" s="6"/>
      <c r="D587" s="5" t="s">
        <v>1167</v>
      </c>
      <c r="E587" s="5" t="s">
        <v>1168</v>
      </c>
      <c r="F587" s="6"/>
      <c r="G587" s="8">
        <v>3184.0</v>
      </c>
      <c r="H587" s="5" t="s">
        <v>22</v>
      </c>
      <c r="I587" s="7">
        <f t="shared" si="1"/>
        <v>4776</v>
      </c>
      <c r="J587" s="7">
        <f t="shared" si="7"/>
        <v>4139.2</v>
      </c>
      <c r="K587" s="7">
        <f t="shared" si="3"/>
        <v>4139.2</v>
      </c>
      <c r="L587" s="7">
        <f t="shared" si="4"/>
        <v>3820.8</v>
      </c>
      <c r="M587" s="7">
        <f t="shared" si="5"/>
        <v>3661.6</v>
      </c>
      <c r="N587" s="7">
        <f t="shared" si="6"/>
        <v>3502.4</v>
      </c>
    </row>
    <row r="588">
      <c r="A588" s="5" t="s">
        <v>439</v>
      </c>
      <c r="B588" s="6"/>
      <c r="C588" s="6"/>
      <c r="D588" s="5" t="s">
        <v>1169</v>
      </c>
      <c r="E588" s="5" t="s">
        <v>1170</v>
      </c>
      <c r="F588" s="6"/>
      <c r="G588" s="8">
        <v>3321.0</v>
      </c>
      <c r="H588" s="5" t="s">
        <v>22</v>
      </c>
      <c r="I588" s="7">
        <f t="shared" si="1"/>
        <v>4981.5</v>
      </c>
      <c r="J588" s="7">
        <f t="shared" si="7"/>
        <v>4317.3</v>
      </c>
      <c r="K588" s="7">
        <f t="shared" si="3"/>
        <v>4317.3</v>
      </c>
      <c r="L588" s="7">
        <f t="shared" si="4"/>
        <v>3985.2</v>
      </c>
      <c r="M588" s="7">
        <f t="shared" si="5"/>
        <v>3819.15</v>
      </c>
      <c r="N588" s="7">
        <f t="shared" si="6"/>
        <v>3653.1</v>
      </c>
    </row>
    <row r="589">
      <c r="A589" s="5" t="s">
        <v>439</v>
      </c>
      <c r="B589" s="6"/>
      <c r="C589" s="5" t="s">
        <v>1171</v>
      </c>
      <c r="D589" s="5" t="s">
        <v>1172</v>
      </c>
      <c r="E589" s="5" t="s">
        <v>1173</v>
      </c>
      <c r="F589" s="5" t="s">
        <v>1174</v>
      </c>
      <c r="G589" s="8">
        <v>2109.0</v>
      </c>
      <c r="H589" s="5" t="s">
        <v>22</v>
      </c>
      <c r="I589" s="7">
        <f t="shared" si="1"/>
        <v>3163.5</v>
      </c>
      <c r="J589" s="7">
        <f t="shared" si="7"/>
        <v>2741.7</v>
      </c>
      <c r="K589" s="7">
        <f t="shared" si="3"/>
        <v>2741.7</v>
      </c>
      <c r="L589" s="7">
        <f t="shared" si="4"/>
        <v>2530.8</v>
      </c>
      <c r="M589" s="7">
        <f t="shared" si="5"/>
        <v>2425.35</v>
      </c>
      <c r="N589" s="7">
        <f t="shared" si="6"/>
        <v>2319.9</v>
      </c>
    </row>
    <row r="590">
      <c r="A590" s="5" t="s">
        <v>1175</v>
      </c>
      <c r="B590" s="5" t="s">
        <v>197</v>
      </c>
      <c r="C590" s="5" t="s">
        <v>1176</v>
      </c>
      <c r="D590" s="5">
        <v>882.0</v>
      </c>
      <c r="E590" s="5" t="s">
        <v>1177</v>
      </c>
      <c r="F590" s="6"/>
      <c r="G590" s="8">
        <v>1530.0</v>
      </c>
      <c r="H590" s="5" t="s">
        <v>22</v>
      </c>
      <c r="I590" s="7">
        <f t="shared" si="1"/>
        <v>2295</v>
      </c>
      <c r="J590" s="7">
        <f t="shared" si="7"/>
        <v>1989</v>
      </c>
      <c r="K590" s="7">
        <f t="shared" si="3"/>
        <v>1989</v>
      </c>
      <c r="L590" s="7">
        <f t="shared" si="4"/>
        <v>1836</v>
      </c>
      <c r="M590" s="7">
        <f t="shared" si="5"/>
        <v>1759.5</v>
      </c>
      <c r="N590" s="7">
        <f t="shared" si="6"/>
        <v>1683</v>
      </c>
    </row>
    <row r="591">
      <c r="A591" s="5" t="s">
        <v>1175</v>
      </c>
      <c r="B591" s="5" t="s">
        <v>197</v>
      </c>
      <c r="C591" s="5" t="s">
        <v>1176</v>
      </c>
      <c r="D591" s="5">
        <v>885.0</v>
      </c>
      <c r="E591" s="5" t="s">
        <v>1178</v>
      </c>
      <c r="F591" s="6"/>
      <c r="G591" s="8">
        <v>1300.0</v>
      </c>
      <c r="H591" s="5" t="s">
        <v>22</v>
      </c>
      <c r="I591" s="7">
        <f t="shared" si="1"/>
        <v>1950</v>
      </c>
      <c r="J591" s="7">
        <f t="shared" si="7"/>
        <v>1690</v>
      </c>
      <c r="K591" s="7">
        <f t="shared" si="3"/>
        <v>1690</v>
      </c>
      <c r="L591" s="7">
        <f t="shared" si="4"/>
        <v>1560</v>
      </c>
      <c r="M591" s="7">
        <f t="shared" si="5"/>
        <v>1495</v>
      </c>
      <c r="N591" s="7">
        <f t="shared" si="6"/>
        <v>1430</v>
      </c>
    </row>
    <row r="592">
      <c r="A592" s="5" t="s">
        <v>1175</v>
      </c>
      <c r="B592" s="5" t="s">
        <v>197</v>
      </c>
      <c r="C592" s="5" t="s">
        <v>1176</v>
      </c>
      <c r="D592" s="5" t="s">
        <v>1179</v>
      </c>
      <c r="E592" s="5" t="s">
        <v>1180</v>
      </c>
      <c r="F592" s="6"/>
      <c r="G592" s="5">
        <v>270.0</v>
      </c>
      <c r="H592" s="5" t="s">
        <v>22</v>
      </c>
      <c r="I592" s="7">
        <f t="shared" si="1"/>
        <v>405</v>
      </c>
      <c r="J592" s="7">
        <f t="shared" si="7"/>
        <v>351</v>
      </c>
      <c r="K592" s="7">
        <f t="shared" si="3"/>
        <v>351</v>
      </c>
      <c r="L592" s="7">
        <f t="shared" si="4"/>
        <v>324</v>
      </c>
      <c r="M592" s="7">
        <f t="shared" si="5"/>
        <v>310.5</v>
      </c>
      <c r="N592" s="7">
        <f t="shared" si="6"/>
        <v>297</v>
      </c>
    </row>
    <row r="593">
      <c r="A593" s="5" t="s">
        <v>1175</v>
      </c>
      <c r="B593" s="5" t="s">
        <v>197</v>
      </c>
      <c r="C593" s="5" t="s">
        <v>1176</v>
      </c>
      <c r="D593" s="5" t="s">
        <v>1181</v>
      </c>
      <c r="E593" s="5" t="s">
        <v>1182</v>
      </c>
      <c r="F593" s="5" t="s">
        <v>1183</v>
      </c>
      <c r="G593" s="8">
        <v>1470.0</v>
      </c>
      <c r="H593" s="5" t="s">
        <v>22</v>
      </c>
      <c r="I593" s="7">
        <f t="shared" si="1"/>
        <v>2205</v>
      </c>
      <c r="J593" s="7">
        <f t="shared" si="7"/>
        <v>1911</v>
      </c>
      <c r="K593" s="7">
        <f t="shared" si="3"/>
        <v>1911</v>
      </c>
      <c r="L593" s="7">
        <f t="shared" si="4"/>
        <v>1764</v>
      </c>
      <c r="M593" s="7">
        <f t="shared" si="5"/>
        <v>1690.5</v>
      </c>
      <c r="N593" s="7">
        <f t="shared" si="6"/>
        <v>1617</v>
      </c>
    </row>
    <row r="594">
      <c r="A594" s="5" t="s">
        <v>1175</v>
      </c>
      <c r="B594" s="5" t="s">
        <v>36</v>
      </c>
      <c r="C594" s="5" t="s">
        <v>1184</v>
      </c>
      <c r="D594" s="5" t="s">
        <v>1185</v>
      </c>
      <c r="E594" s="5" t="s">
        <v>1186</v>
      </c>
      <c r="F594" s="6"/>
      <c r="G594" s="8">
        <v>1930.0</v>
      </c>
      <c r="H594" s="5" t="s">
        <v>22</v>
      </c>
      <c r="I594" s="7">
        <f t="shared" si="1"/>
        <v>2895</v>
      </c>
      <c r="J594" s="7">
        <f t="shared" si="7"/>
        <v>2509</v>
      </c>
      <c r="K594" s="7">
        <f t="shared" si="3"/>
        <v>2509</v>
      </c>
      <c r="L594" s="7">
        <f t="shared" si="4"/>
        <v>2316</v>
      </c>
      <c r="M594" s="7">
        <f t="shared" si="5"/>
        <v>2219.5</v>
      </c>
      <c r="N594" s="7">
        <f t="shared" si="6"/>
        <v>2123</v>
      </c>
    </row>
    <row r="595">
      <c r="A595" s="5" t="s">
        <v>1175</v>
      </c>
      <c r="B595" s="5" t="s">
        <v>197</v>
      </c>
      <c r="C595" s="5" t="s">
        <v>1176</v>
      </c>
      <c r="D595" s="5" t="s">
        <v>411</v>
      </c>
      <c r="E595" s="5" t="s">
        <v>1187</v>
      </c>
      <c r="F595" s="6"/>
      <c r="G595" s="8">
        <v>2260.0</v>
      </c>
      <c r="H595" s="5" t="s">
        <v>22</v>
      </c>
      <c r="I595" s="7">
        <f t="shared" si="1"/>
        <v>3390</v>
      </c>
      <c r="J595" s="7">
        <f t="shared" si="7"/>
        <v>2938</v>
      </c>
      <c r="K595" s="7">
        <f t="shared" si="3"/>
        <v>2938</v>
      </c>
      <c r="L595" s="7">
        <f t="shared" si="4"/>
        <v>2712</v>
      </c>
      <c r="M595" s="7">
        <f t="shared" si="5"/>
        <v>2599</v>
      </c>
      <c r="N595" s="7">
        <f t="shared" si="6"/>
        <v>2486</v>
      </c>
    </row>
    <row r="596">
      <c r="A596" s="5" t="s">
        <v>1175</v>
      </c>
      <c r="B596" s="5" t="s">
        <v>197</v>
      </c>
      <c r="C596" s="5" t="s">
        <v>1176</v>
      </c>
      <c r="D596" s="5" t="s">
        <v>1188</v>
      </c>
      <c r="E596" s="5" t="s">
        <v>1189</v>
      </c>
      <c r="F596" s="6"/>
      <c r="G596" s="8">
        <v>2700.0</v>
      </c>
      <c r="H596" s="5" t="s">
        <v>22</v>
      </c>
      <c r="I596" s="7">
        <f t="shared" si="1"/>
        <v>4050</v>
      </c>
      <c r="J596" s="7">
        <f t="shared" si="7"/>
        <v>3510</v>
      </c>
      <c r="K596" s="7">
        <f t="shared" si="3"/>
        <v>3510</v>
      </c>
      <c r="L596" s="7">
        <f t="shared" si="4"/>
        <v>3240</v>
      </c>
      <c r="M596" s="7">
        <f t="shared" si="5"/>
        <v>3105</v>
      </c>
      <c r="N596" s="7">
        <f t="shared" si="6"/>
        <v>2970</v>
      </c>
    </row>
    <row r="597">
      <c r="A597" s="5" t="s">
        <v>1175</v>
      </c>
      <c r="B597" s="5" t="s">
        <v>197</v>
      </c>
      <c r="C597" s="5" t="s">
        <v>1176</v>
      </c>
      <c r="D597" s="5" t="s">
        <v>1190</v>
      </c>
      <c r="E597" s="5" t="s">
        <v>1191</v>
      </c>
      <c r="F597" s="6"/>
      <c r="G597" s="8">
        <v>3100.0</v>
      </c>
      <c r="H597" s="5" t="s">
        <v>22</v>
      </c>
      <c r="I597" s="7">
        <f t="shared" si="1"/>
        <v>4650</v>
      </c>
      <c r="J597" s="7">
        <f t="shared" si="7"/>
        <v>4030</v>
      </c>
      <c r="K597" s="7">
        <f t="shared" si="3"/>
        <v>4030</v>
      </c>
      <c r="L597" s="7">
        <f t="shared" si="4"/>
        <v>3720</v>
      </c>
      <c r="M597" s="7">
        <f t="shared" si="5"/>
        <v>3565</v>
      </c>
      <c r="N597" s="7">
        <f t="shared" si="6"/>
        <v>3410</v>
      </c>
    </row>
    <row r="598">
      <c r="A598" s="5" t="s">
        <v>1175</v>
      </c>
      <c r="B598" s="5" t="s">
        <v>197</v>
      </c>
      <c r="C598" s="5" t="s">
        <v>1192</v>
      </c>
      <c r="D598" s="5" t="s">
        <v>1193</v>
      </c>
      <c r="E598" s="5" t="s">
        <v>1194</v>
      </c>
      <c r="F598" s="6"/>
      <c r="G598" s="8">
        <v>2030.0</v>
      </c>
      <c r="H598" s="5" t="s">
        <v>22</v>
      </c>
      <c r="I598" s="7">
        <f t="shared" si="1"/>
        <v>3045</v>
      </c>
      <c r="J598" s="7">
        <f t="shared" si="7"/>
        <v>2639</v>
      </c>
      <c r="K598" s="7">
        <f t="shared" si="3"/>
        <v>2639</v>
      </c>
      <c r="L598" s="7">
        <f t="shared" si="4"/>
        <v>2436</v>
      </c>
      <c r="M598" s="7">
        <f t="shared" si="5"/>
        <v>2334.5</v>
      </c>
      <c r="N598" s="7">
        <f t="shared" si="6"/>
        <v>2233</v>
      </c>
    </row>
    <row r="599">
      <c r="A599" s="5" t="s">
        <v>1175</v>
      </c>
      <c r="B599" s="5" t="s">
        <v>197</v>
      </c>
      <c r="C599" s="5" t="s">
        <v>1192</v>
      </c>
      <c r="D599" s="5" t="s">
        <v>1195</v>
      </c>
      <c r="E599" s="5" t="s">
        <v>1196</v>
      </c>
      <c r="F599" s="6"/>
      <c r="G599" s="8">
        <v>2280.0</v>
      </c>
      <c r="H599" s="5" t="s">
        <v>22</v>
      </c>
      <c r="I599" s="7">
        <f t="shared" si="1"/>
        <v>3420</v>
      </c>
      <c r="J599" s="7">
        <f t="shared" si="7"/>
        <v>2964</v>
      </c>
      <c r="K599" s="7">
        <f t="shared" si="3"/>
        <v>2964</v>
      </c>
      <c r="L599" s="7">
        <f t="shared" si="4"/>
        <v>2736</v>
      </c>
      <c r="M599" s="7">
        <f t="shared" si="5"/>
        <v>2622</v>
      </c>
      <c r="N599" s="7">
        <f t="shared" si="6"/>
        <v>2508</v>
      </c>
    </row>
    <row r="600">
      <c r="A600" s="5" t="s">
        <v>1175</v>
      </c>
      <c r="B600" s="5" t="s">
        <v>197</v>
      </c>
      <c r="C600" s="5" t="s">
        <v>1192</v>
      </c>
      <c r="D600" s="5" t="s">
        <v>1197</v>
      </c>
      <c r="E600" s="5" t="s">
        <v>1198</v>
      </c>
      <c r="F600" s="6"/>
      <c r="G600" s="8">
        <v>5080.0</v>
      </c>
      <c r="H600" s="5" t="s">
        <v>22</v>
      </c>
      <c r="I600" s="7">
        <f t="shared" si="1"/>
        <v>7620</v>
      </c>
      <c r="J600" s="7">
        <f t="shared" si="7"/>
        <v>6604</v>
      </c>
      <c r="K600" s="7">
        <f t="shared" si="3"/>
        <v>6604</v>
      </c>
      <c r="L600" s="7">
        <f t="shared" si="4"/>
        <v>6096</v>
      </c>
      <c r="M600" s="7">
        <f t="shared" si="5"/>
        <v>5842</v>
      </c>
      <c r="N600" s="7">
        <f t="shared" si="6"/>
        <v>5588</v>
      </c>
    </row>
    <row r="601">
      <c r="A601" s="5" t="s">
        <v>1175</v>
      </c>
      <c r="B601" s="5" t="s">
        <v>197</v>
      </c>
      <c r="C601" s="5" t="s">
        <v>1192</v>
      </c>
      <c r="D601" s="5" t="s">
        <v>1199</v>
      </c>
      <c r="E601" s="5" t="s">
        <v>1200</v>
      </c>
      <c r="F601" s="6"/>
      <c r="G601" s="8">
        <v>8230.0</v>
      </c>
      <c r="H601" s="5" t="s">
        <v>22</v>
      </c>
      <c r="I601" s="7">
        <f t="shared" si="1"/>
        <v>12345</v>
      </c>
      <c r="J601" s="7">
        <f t="shared" si="7"/>
        <v>10699</v>
      </c>
      <c r="K601" s="7">
        <f t="shared" si="3"/>
        <v>10699</v>
      </c>
      <c r="L601" s="7">
        <f t="shared" si="4"/>
        <v>9876</v>
      </c>
      <c r="M601" s="7">
        <f t="shared" si="5"/>
        <v>9464.5</v>
      </c>
      <c r="N601" s="7">
        <f t="shared" si="6"/>
        <v>9053</v>
      </c>
    </row>
    <row r="602">
      <c r="A602" s="5" t="s">
        <v>1175</v>
      </c>
      <c r="B602" s="5" t="s">
        <v>36</v>
      </c>
      <c r="C602" s="5" t="s">
        <v>1201</v>
      </c>
      <c r="D602" s="5" t="s">
        <v>1202</v>
      </c>
      <c r="E602" s="5" t="s">
        <v>1203</v>
      </c>
      <c r="F602" s="6"/>
      <c r="G602" s="8">
        <v>1750.0</v>
      </c>
      <c r="H602" s="5" t="s">
        <v>22</v>
      </c>
      <c r="I602" s="7">
        <f t="shared" si="1"/>
        <v>2625</v>
      </c>
      <c r="J602" s="7">
        <f t="shared" si="7"/>
        <v>2275</v>
      </c>
      <c r="K602" s="7">
        <f t="shared" si="3"/>
        <v>2275</v>
      </c>
      <c r="L602" s="7">
        <f t="shared" si="4"/>
        <v>2100</v>
      </c>
      <c r="M602" s="7">
        <f t="shared" si="5"/>
        <v>2012.5</v>
      </c>
      <c r="N602" s="7">
        <f t="shared" si="6"/>
        <v>1925</v>
      </c>
    </row>
    <row r="603">
      <c r="A603" s="5" t="s">
        <v>1175</v>
      </c>
      <c r="B603" s="5" t="s">
        <v>36</v>
      </c>
      <c r="C603" s="5" t="s">
        <v>1201</v>
      </c>
      <c r="D603" s="5" t="s">
        <v>1204</v>
      </c>
      <c r="E603" s="5" t="s">
        <v>1205</v>
      </c>
      <c r="F603" s="6"/>
      <c r="G603" s="8">
        <v>2240.0</v>
      </c>
      <c r="H603" s="5" t="s">
        <v>22</v>
      </c>
      <c r="I603" s="7">
        <f t="shared" si="1"/>
        <v>3360</v>
      </c>
      <c r="J603" s="7">
        <f t="shared" si="7"/>
        <v>2912</v>
      </c>
      <c r="K603" s="7">
        <f t="shared" si="3"/>
        <v>2912</v>
      </c>
      <c r="L603" s="7">
        <f t="shared" si="4"/>
        <v>2688</v>
      </c>
      <c r="M603" s="7">
        <f t="shared" si="5"/>
        <v>2576</v>
      </c>
      <c r="N603" s="7">
        <f t="shared" si="6"/>
        <v>2464</v>
      </c>
    </row>
    <row r="604">
      <c r="A604" s="5" t="s">
        <v>1175</v>
      </c>
      <c r="B604" s="5" t="s">
        <v>36</v>
      </c>
      <c r="C604" s="5" t="s">
        <v>1201</v>
      </c>
      <c r="D604" s="5" t="s">
        <v>1206</v>
      </c>
      <c r="E604" s="5" t="s">
        <v>1207</v>
      </c>
      <c r="F604" s="6"/>
      <c r="G604" s="8">
        <v>9140.0</v>
      </c>
      <c r="H604" s="5" t="s">
        <v>22</v>
      </c>
      <c r="I604" s="7">
        <f t="shared" si="1"/>
        <v>13710</v>
      </c>
      <c r="J604" s="7">
        <f t="shared" si="7"/>
        <v>11882</v>
      </c>
      <c r="K604" s="7">
        <f t="shared" si="3"/>
        <v>11882</v>
      </c>
      <c r="L604" s="7">
        <f t="shared" si="4"/>
        <v>10968</v>
      </c>
      <c r="M604" s="7">
        <f t="shared" si="5"/>
        <v>10511</v>
      </c>
      <c r="N604" s="7">
        <f t="shared" si="6"/>
        <v>10054</v>
      </c>
    </row>
    <row r="605">
      <c r="A605" s="5" t="s">
        <v>1175</v>
      </c>
      <c r="B605" s="5" t="s">
        <v>36</v>
      </c>
      <c r="C605" s="5" t="s">
        <v>1201</v>
      </c>
      <c r="D605" s="5" t="s">
        <v>1208</v>
      </c>
      <c r="E605" s="5" t="s">
        <v>1209</v>
      </c>
      <c r="F605" s="6"/>
      <c r="G605" s="5">
        <v>290.0</v>
      </c>
      <c r="H605" s="5" t="s">
        <v>22</v>
      </c>
      <c r="I605" s="7">
        <f t="shared" si="1"/>
        <v>435</v>
      </c>
      <c r="J605" s="7">
        <f t="shared" si="7"/>
        <v>377</v>
      </c>
      <c r="K605" s="7">
        <f t="shared" si="3"/>
        <v>377</v>
      </c>
      <c r="L605" s="7">
        <f t="shared" si="4"/>
        <v>348</v>
      </c>
      <c r="M605" s="7">
        <f t="shared" si="5"/>
        <v>333.5</v>
      </c>
      <c r="N605" s="7">
        <f t="shared" si="6"/>
        <v>319</v>
      </c>
    </row>
    <row r="606">
      <c r="A606" s="5" t="s">
        <v>1175</v>
      </c>
      <c r="B606" s="5" t="s">
        <v>36</v>
      </c>
      <c r="C606" s="5" t="s">
        <v>1201</v>
      </c>
      <c r="D606" s="5" t="s">
        <v>1210</v>
      </c>
      <c r="E606" s="5" t="s">
        <v>1211</v>
      </c>
      <c r="F606" s="6"/>
      <c r="G606" s="8">
        <v>5230.0</v>
      </c>
      <c r="H606" s="5" t="s">
        <v>22</v>
      </c>
      <c r="I606" s="7">
        <f t="shared" si="1"/>
        <v>7845</v>
      </c>
      <c r="J606" s="7">
        <f t="shared" si="7"/>
        <v>6799</v>
      </c>
      <c r="K606" s="7">
        <f t="shared" si="3"/>
        <v>6799</v>
      </c>
      <c r="L606" s="7">
        <f t="shared" si="4"/>
        <v>6276</v>
      </c>
      <c r="M606" s="7">
        <f t="shared" si="5"/>
        <v>6014.5</v>
      </c>
      <c r="N606" s="7">
        <f t="shared" si="6"/>
        <v>5753</v>
      </c>
    </row>
    <row r="607">
      <c r="A607" s="5" t="s">
        <v>1175</v>
      </c>
      <c r="B607" s="5" t="s">
        <v>36</v>
      </c>
      <c r="C607" s="5" t="s">
        <v>1201</v>
      </c>
      <c r="D607" s="5" t="s">
        <v>1212</v>
      </c>
      <c r="E607" s="5" t="s">
        <v>1213</v>
      </c>
      <c r="F607" s="6"/>
      <c r="G607" s="8">
        <v>2030.0</v>
      </c>
      <c r="H607" s="5" t="s">
        <v>22</v>
      </c>
      <c r="I607" s="7">
        <f t="shared" si="1"/>
        <v>3045</v>
      </c>
      <c r="J607" s="7">
        <f t="shared" si="7"/>
        <v>2639</v>
      </c>
      <c r="K607" s="7">
        <f t="shared" si="3"/>
        <v>2639</v>
      </c>
      <c r="L607" s="7">
        <f t="shared" si="4"/>
        <v>2436</v>
      </c>
      <c r="M607" s="7">
        <f t="shared" si="5"/>
        <v>2334.5</v>
      </c>
      <c r="N607" s="7">
        <f t="shared" si="6"/>
        <v>2233</v>
      </c>
    </row>
    <row r="608">
      <c r="A608" s="5" t="s">
        <v>1175</v>
      </c>
      <c r="B608" s="5" t="s">
        <v>36</v>
      </c>
      <c r="C608" s="5" t="s">
        <v>1201</v>
      </c>
      <c r="D608" s="5" t="s">
        <v>1214</v>
      </c>
      <c r="E608" s="5" t="s">
        <v>1215</v>
      </c>
      <c r="F608" s="6"/>
      <c r="G608" s="5">
        <v>390.0</v>
      </c>
      <c r="H608" s="5" t="s">
        <v>22</v>
      </c>
      <c r="I608" s="7">
        <f t="shared" si="1"/>
        <v>585</v>
      </c>
      <c r="J608" s="7">
        <f t="shared" si="7"/>
        <v>507</v>
      </c>
      <c r="K608" s="7">
        <f t="shared" si="3"/>
        <v>507</v>
      </c>
      <c r="L608" s="7">
        <f t="shared" si="4"/>
        <v>468</v>
      </c>
      <c r="M608" s="7">
        <f t="shared" si="5"/>
        <v>448.5</v>
      </c>
      <c r="N608" s="7">
        <f t="shared" si="6"/>
        <v>429</v>
      </c>
    </row>
    <row r="609">
      <c r="A609" s="5" t="s">
        <v>1175</v>
      </c>
      <c r="B609" s="5" t="s">
        <v>36</v>
      </c>
      <c r="C609" s="5" t="s">
        <v>1201</v>
      </c>
      <c r="D609" s="5" t="s">
        <v>1216</v>
      </c>
      <c r="E609" s="5" t="s">
        <v>1217</v>
      </c>
      <c r="F609" s="6"/>
      <c r="G609" s="8">
        <v>4520.0</v>
      </c>
      <c r="H609" s="5" t="s">
        <v>22</v>
      </c>
      <c r="I609" s="7">
        <f t="shared" si="1"/>
        <v>6780</v>
      </c>
      <c r="J609" s="7">
        <f t="shared" si="7"/>
        <v>5876</v>
      </c>
      <c r="K609" s="7">
        <f t="shared" si="3"/>
        <v>5876</v>
      </c>
      <c r="L609" s="7">
        <f t="shared" si="4"/>
        <v>5424</v>
      </c>
      <c r="M609" s="7">
        <f t="shared" si="5"/>
        <v>5198</v>
      </c>
      <c r="N609" s="7">
        <f t="shared" si="6"/>
        <v>4972</v>
      </c>
    </row>
    <row r="610">
      <c r="A610" s="5" t="s">
        <v>1175</v>
      </c>
      <c r="B610" s="5" t="s">
        <v>36</v>
      </c>
      <c r="C610" s="5" t="s">
        <v>1201</v>
      </c>
      <c r="D610" s="5" t="s">
        <v>1218</v>
      </c>
      <c r="E610" s="5" t="s">
        <v>1219</v>
      </c>
      <c r="F610" s="6"/>
      <c r="G610" s="8">
        <v>3240.0</v>
      </c>
      <c r="H610" s="5" t="s">
        <v>22</v>
      </c>
      <c r="I610" s="7">
        <f t="shared" si="1"/>
        <v>4860</v>
      </c>
      <c r="J610" s="7">
        <f t="shared" si="7"/>
        <v>4212</v>
      </c>
      <c r="K610" s="7">
        <f t="shared" si="3"/>
        <v>4212</v>
      </c>
      <c r="L610" s="7">
        <f t="shared" si="4"/>
        <v>3888</v>
      </c>
      <c r="M610" s="7">
        <f t="shared" si="5"/>
        <v>3726</v>
      </c>
      <c r="N610" s="7">
        <f t="shared" si="6"/>
        <v>3564</v>
      </c>
    </row>
    <row r="611">
      <c r="A611" s="5" t="s">
        <v>1175</v>
      </c>
      <c r="B611" s="5" t="s">
        <v>36</v>
      </c>
      <c r="C611" s="5" t="s">
        <v>1201</v>
      </c>
      <c r="D611" s="5" t="s">
        <v>1220</v>
      </c>
      <c r="E611" s="5" t="s">
        <v>1221</v>
      </c>
      <c r="F611" s="6"/>
      <c r="G611" s="8">
        <v>4170.0</v>
      </c>
      <c r="H611" s="5" t="s">
        <v>22</v>
      </c>
      <c r="I611" s="7">
        <f t="shared" si="1"/>
        <v>6255</v>
      </c>
      <c r="J611" s="7">
        <f t="shared" si="7"/>
        <v>5421</v>
      </c>
      <c r="K611" s="7">
        <f t="shared" si="3"/>
        <v>5421</v>
      </c>
      <c r="L611" s="7">
        <f t="shared" si="4"/>
        <v>5004</v>
      </c>
      <c r="M611" s="7">
        <f t="shared" si="5"/>
        <v>4795.5</v>
      </c>
      <c r="N611" s="7">
        <f t="shared" si="6"/>
        <v>4587</v>
      </c>
    </row>
    <row r="612">
      <c r="A612" s="5" t="s">
        <v>1175</v>
      </c>
      <c r="B612" s="5" t="s">
        <v>36</v>
      </c>
      <c r="C612" s="5" t="s">
        <v>1201</v>
      </c>
      <c r="D612" s="5" t="s">
        <v>1222</v>
      </c>
      <c r="E612" s="5" t="s">
        <v>1223</v>
      </c>
      <c r="F612" s="6"/>
      <c r="G612" s="8">
        <v>6470.0</v>
      </c>
      <c r="H612" s="5" t="s">
        <v>22</v>
      </c>
      <c r="I612" s="7">
        <f t="shared" si="1"/>
        <v>9705</v>
      </c>
      <c r="J612" s="7">
        <f t="shared" si="7"/>
        <v>8411</v>
      </c>
      <c r="K612" s="7">
        <f t="shared" si="3"/>
        <v>8411</v>
      </c>
      <c r="L612" s="7">
        <f t="shared" si="4"/>
        <v>7764</v>
      </c>
      <c r="M612" s="7">
        <f t="shared" si="5"/>
        <v>7440.5</v>
      </c>
      <c r="N612" s="7">
        <f t="shared" si="6"/>
        <v>7117</v>
      </c>
    </row>
    <row r="613">
      <c r="A613" s="5" t="s">
        <v>1175</v>
      </c>
      <c r="B613" s="5" t="s">
        <v>36</v>
      </c>
      <c r="C613" s="5" t="s">
        <v>1201</v>
      </c>
      <c r="D613" s="5" t="s">
        <v>1224</v>
      </c>
      <c r="E613" s="5" t="s">
        <v>1225</v>
      </c>
      <c r="F613" s="6"/>
      <c r="G613" s="8">
        <v>3990.0</v>
      </c>
      <c r="H613" s="5" t="s">
        <v>22</v>
      </c>
      <c r="I613" s="7">
        <f t="shared" si="1"/>
        <v>5985</v>
      </c>
      <c r="J613" s="7">
        <f t="shared" si="7"/>
        <v>5187</v>
      </c>
      <c r="K613" s="7">
        <f t="shared" si="3"/>
        <v>5187</v>
      </c>
      <c r="L613" s="7">
        <f t="shared" si="4"/>
        <v>4788</v>
      </c>
      <c r="M613" s="7">
        <f t="shared" si="5"/>
        <v>4588.5</v>
      </c>
      <c r="N613" s="7">
        <f t="shared" si="6"/>
        <v>4389</v>
      </c>
    </row>
    <row r="614">
      <c r="A614" s="5" t="s">
        <v>1175</v>
      </c>
      <c r="B614" s="5" t="s">
        <v>36</v>
      </c>
      <c r="C614" s="5" t="s">
        <v>1201</v>
      </c>
      <c r="D614" s="5" t="s">
        <v>1226</v>
      </c>
      <c r="E614" s="5" t="s">
        <v>1227</v>
      </c>
      <c r="F614" s="6"/>
      <c r="G614" s="8">
        <v>10130.0</v>
      </c>
      <c r="H614" s="5" t="s">
        <v>22</v>
      </c>
      <c r="I614" s="7">
        <f t="shared" si="1"/>
        <v>15195</v>
      </c>
      <c r="J614" s="7">
        <f t="shared" si="7"/>
        <v>13169</v>
      </c>
      <c r="K614" s="7">
        <f t="shared" si="3"/>
        <v>13169</v>
      </c>
      <c r="L614" s="7">
        <f t="shared" si="4"/>
        <v>12156</v>
      </c>
      <c r="M614" s="7">
        <f t="shared" si="5"/>
        <v>11649.5</v>
      </c>
      <c r="N614" s="7">
        <f t="shared" si="6"/>
        <v>11143</v>
      </c>
    </row>
    <row r="615">
      <c r="A615" s="5" t="s">
        <v>1175</v>
      </c>
      <c r="B615" s="5" t="s">
        <v>36</v>
      </c>
      <c r="C615" s="5" t="s">
        <v>1201</v>
      </c>
      <c r="D615" s="5" t="s">
        <v>1228</v>
      </c>
      <c r="E615" s="5" t="s">
        <v>1229</v>
      </c>
      <c r="F615" s="5" t="s">
        <v>1230</v>
      </c>
      <c r="G615" s="8">
        <v>72090.0</v>
      </c>
      <c r="H615" s="5" t="s">
        <v>22</v>
      </c>
      <c r="I615" s="7">
        <f t="shared" si="1"/>
        <v>108135</v>
      </c>
      <c r="J615" s="7">
        <f t="shared" si="7"/>
        <v>93717</v>
      </c>
      <c r="K615" s="7">
        <f t="shared" si="3"/>
        <v>93717</v>
      </c>
      <c r="L615" s="7">
        <f t="shared" si="4"/>
        <v>86508</v>
      </c>
      <c r="M615" s="7">
        <f t="shared" si="5"/>
        <v>82903.5</v>
      </c>
      <c r="N615" s="7">
        <f t="shared" si="6"/>
        <v>79299</v>
      </c>
    </row>
    <row r="616">
      <c r="A616" s="5" t="s">
        <v>1175</v>
      </c>
      <c r="B616" s="5" t="s">
        <v>36</v>
      </c>
      <c r="C616" s="5" t="s">
        <v>1201</v>
      </c>
      <c r="D616" s="5" t="s">
        <v>1231</v>
      </c>
      <c r="E616" s="5" t="s">
        <v>1232</v>
      </c>
      <c r="F616" s="5" t="s">
        <v>1230</v>
      </c>
      <c r="G616" s="8">
        <v>62000.0</v>
      </c>
      <c r="H616" s="5" t="s">
        <v>22</v>
      </c>
      <c r="I616" s="7">
        <f t="shared" si="1"/>
        <v>93000</v>
      </c>
      <c r="J616" s="7">
        <f t="shared" si="7"/>
        <v>80600</v>
      </c>
      <c r="K616" s="7">
        <f t="shared" si="3"/>
        <v>80600</v>
      </c>
      <c r="L616" s="7">
        <f t="shared" si="4"/>
        <v>74400</v>
      </c>
      <c r="M616" s="7">
        <f t="shared" si="5"/>
        <v>71300</v>
      </c>
      <c r="N616" s="7">
        <f t="shared" si="6"/>
        <v>68200</v>
      </c>
    </row>
    <row r="617">
      <c r="A617" s="5" t="s">
        <v>1175</v>
      </c>
      <c r="B617" s="5" t="s">
        <v>36</v>
      </c>
      <c r="C617" s="5" t="s">
        <v>1201</v>
      </c>
      <c r="D617" s="5" t="s">
        <v>1233</v>
      </c>
      <c r="E617" s="5" t="s">
        <v>1234</v>
      </c>
      <c r="F617" s="5" t="s">
        <v>1230</v>
      </c>
      <c r="G617" s="8">
        <v>15000.0</v>
      </c>
      <c r="H617" s="5" t="s">
        <v>22</v>
      </c>
      <c r="I617" s="7">
        <f t="shared" si="1"/>
        <v>22500</v>
      </c>
      <c r="J617" s="7">
        <f t="shared" si="7"/>
        <v>19500</v>
      </c>
      <c r="K617" s="7">
        <f t="shared" si="3"/>
        <v>19500</v>
      </c>
      <c r="L617" s="7">
        <f t="shared" si="4"/>
        <v>18000</v>
      </c>
      <c r="M617" s="7">
        <f t="shared" si="5"/>
        <v>17250</v>
      </c>
      <c r="N617" s="7">
        <f t="shared" si="6"/>
        <v>16500</v>
      </c>
    </row>
    <row r="618">
      <c r="A618" s="5" t="s">
        <v>1175</v>
      </c>
      <c r="B618" s="5" t="s">
        <v>36</v>
      </c>
      <c r="C618" s="5" t="s">
        <v>1201</v>
      </c>
      <c r="D618" s="5" t="s">
        <v>1235</v>
      </c>
      <c r="E618" s="5" t="s">
        <v>1236</v>
      </c>
      <c r="F618" s="5" t="s">
        <v>1230</v>
      </c>
      <c r="G618" s="8">
        <v>77040.0</v>
      </c>
      <c r="H618" s="5" t="s">
        <v>22</v>
      </c>
      <c r="I618" s="7">
        <f t="shared" si="1"/>
        <v>115560</v>
      </c>
      <c r="J618" s="7">
        <f t="shared" si="7"/>
        <v>100152</v>
      </c>
      <c r="K618" s="7">
        <f t="shared" si="3"/>
        <v>100152</v>
      </c>
      <c r="L618" s="7">
        <f t="shared" si="4"/>
        <v>92448</v>
      </c>
      <c r="M618" s="7">
        <f t="shared" si="5"/>
        <v>88596</v>
      </c>
      <c r="N618" s="7">
        <f t="shared" si="6"/>
        <v>84744</v>
      </c>
    </row>
    <row r="619">
      <c r="A619" s="5" t="s">
        <v>1175</v>
      </c>
      <c r="B619" s="5" t="s">
        <v>36</v>
      </c>
      <c r="C619" s="5" t="s">
        <v>1201</v>
      </c>
      <c r="D619" s="5" t="s">
        <v>1237</v>
      </c>
      <c r="E619" s="5" t="s">
        <v>1238</v>
      </c>
      <c r="F619" s="5" t="s">
        <v>1230</v>
      </c>
      <c r="G619" s="8">
        <v>92620.0</v>
      </c>
      <c r="H619" s="5" t="s">
        <v>22</v>
      </c>
      <c r="I619" s="7">
        <f t="shared" si="1"/>
        <v>138930</v>
      </c>
      <c r="J619" s="7">
        <f t="shared" si="7"/>
        <v>120406</v>
      </c>
      <c r="K619" s="7">
        <f t="shared" si="3"/>
        <v>120406</v>
      </c>
      <c r="L619" s="7">
        <f t="shared" si="4"/>
        <v>111144</v>
      </c>
      <c r="M619" s="7">
        <f t="shared" si="5"/>
        <v>106513</v>
      </c>
      <c r="N619" s="7">
        <f t="shared" si="6"/>
        <v>101882</v>
      </c>
    </row>
    <row r="620">
      <c r="A620" s="5" t="s">
        <v>1175</v>
      </c>
      <c r="B620" s="5" t="s">
        <v>36</v>
      </c>
      <c r="C620" s="5" t="s">
        <v>1201</v>
      </c>
      <c r="D620" s="5" t="s">
        <v>1239</v>
      </c>
      <c r="E620" s="5" t="s">
        <v>1240</v>
      </c>
      <c r="F620" s="5" t="s">
        <v>1230</v>
      </c>
      <c r="G620" s="8">
        <v>176550.0</v>
      </c>
      <c r="H620" s="5" t="s">
        <v>22</v>
      </c>
      <c r="I620" s="7">
        <f t="shared" si="1"/>
        <v>264825</v>
      </c>
      <c r="J620" s="7">
        <f t="shared" si="7"/>
        <v>229515</v>
      </c>
      <c r="K620" s="7">
        <f t="shared" si="3"/>
        <v>229515</v>
      </c>
      <c r="L620" s="7">
        <f t="shared" si="4"/>
        <v>211860</v>
      </c>
      <c r="M620" s="7">
        <f t="shared" si="5"/>
        <v>203032.5</v>
      </c>
      <c r="N620" s="7">
        <f t="shared" si="6"/>
        <v>194205</v>
      </c>
    </row>
    <row r="621">
      <c r="A621" s="5" t="s">
        <v>1175</v>
      </c>
      <c r="B621" s="5" t="s">
        <v>36</v>
      </c>
      <c r="C621" s="5" t="s">
        <v>1201</v>
      </c>
      <c r="D621" s="5" t="s">
        <v>1241</v>
      </c>
      <c r="E621" s="5" t="s">
        <v>1242</v>
      </c>
      <c r="F621" s="6"/>
      <c r="G621" s="8">
        <v>25230.0</v>
      </c>
      <c r="H621" s="5" t="s">
        <v>22</v>
      </c>
      <c r="I621" s="7">
        <f t="shared" si="1"/>
        <v>37845</v>
      </c>
      <c r="J621" s="7">
        <f t="shared" si="7"/>
        <v>32799</v>
      </c>
      <c r="K621" s="7">
        <f t="shared" si="3"/>
        <v>32799</v>
      </c>
      <c r="L621" s="7">
        <f t="shared" si="4"/>
        <v>30276</v>
      </c>
      <c r="M621" s="7">
        <f t="shared" si="5"/>
        <v>29014.5</v>
      </c>
      <c r="N621" s="7">
        <f t="shared" si="6"/>
        <v>27753</v>
      </c>
    </row>
    <row r="622">
      <c r="A622" s="5" t="s">
        <v>1175</v>
      </c>
      <c r="B622" s="5" t="s">
        <v>36</v>
      </c>
      <c r="C622" s="5" t="s">
        <v>1201</v>
      </c>
      <c r="D622" s="5" t="s">
        <v>1243</v>
      </c>
      <c r="E622" s="5" t="s">
        <v>1244</v>
      </c>
      <c r="F622" s="6"/>
      <c r="G622" s="8">
        <v>39220.0</v>
      </c>
      <c r="H622" s="5" t="s">
        <v>22</v>
      </c>
      <c r="I622" s="7">
        <f t="shared" si="1"/>
        <v>58830</v>
      </c>
      <c r="J622" s="7">
        <f t="shared" si="7"/>
        <v>50986</v>
      </c>
      <c r="K622" s="7">
        <f t="shared" si="3"/>
        <v>50986</v>
      </c>
      <c r="L622" s="7">
        <f t="shared" si="4"/>
        <v>47064</v>
      </c>
      <c r="M622" s="7">
        <f t="shared" si="5"/>
        <v>45103</v>
      </c>
      <c r="N622" s="7">
        <f t="shared" si="6"/>
        <v>43142</v>
      </c>
    </row>
    <row r="623">
      <c r="A623" s="5" t="s">
        <v>1175</v>
      </c>
      <c r="B623" s="5" t="s">
        <v>36</v>
      </c>
      <c r="C623" s="5" t="s">
        <v>1201</v>
      </c>
      <c r="D623" s="5" t="s">
        <v>1245</v>
      </c>
      <c r="E623" s="5" t="s">
        <v>1246</v>
      </c>
      <c r="F623" s="6"/>
      <c r="G623" s="8">
        <v>3600.0</v>
      </c>
      <c r="H623" s="5" t="s">
        <v>22</v>
      </c>
      <c r="I623" s="7">
        <f t="shared" si="1"/>
        <v>5400</v>
      </c>
      <c r="J623" s="7">
        <f t="shared" si="7"/>
        <v>4680</v>
      </c>
      <c r="K623" s="7">
        <f t="shared" si="3"/>
        <v>4680</v>
      </c>
      <c r="L623" s="7">
        <f t="shared" si="4"/>
        <v>4320</v>
      </c>
      <c r="M623" s="7">
        <f t="shared" si="5"/>
        <v>4140</v>
      </c>
      <c r="N623" s="7">
        <f t="shared" si="6"/>
        <v>3960</v>
      </c>
    </row>
    <row r="624">
      <c r="A624" s="5" t="s">
        <v>1175</v>
      </c>
      <c r="B624" s="5" t="s">
        <v>36</v>
      </c>
      <c r="C624" s="5" t="s">
        <v>1201</v>
      </c>
      <c r="D624" s="5" t="s">
        <v>1247</v>
      </c>
      <c r="E624" s="5" t="s">
        <v>1248</v>
      </c>
      <c r="F624" s="6"/>
      <c r="G624" s="8">
        <v>22190.0</v>
      </c>
      <c r="H624" s="5" t="s">
        <v>22</v>
      </c>
      <c r="I624" s="7">
        <f t="shared" si="1"/>
        <v>33285</v>
      </c>
      <c r="J624" s="7">
        <f t="shared" si="7"/>
        <v>28847</v>
      </c>
      <c r="K624" s="7">
        <f t="shared" si="3"/>
        <v>28847</v>
      </c>
      <c r="L624" s="7">
        <f t="shared" si="4"/>
        <v>26628</v>
      </c>
      <c r="M624" s="7">
        <f t="shared" si="5"/>
        <v>25518.5</v>
      </c>
      <c r="N624" s="7">
        <f t="shared" si="6"/>
        <v>24409</v>
      </c>
    </row>
    <row r="625">
      <c r="A625" s="5" t="s">
        <v>1175</v>
      </c>
      <c r="B625" s="5" t="s">
        <v>36</v>
      </c>
      <c r="C625" s="5" t="s">
        <v>1192</v>
      </c>
      <c r="D625" s="5" t="s">
        <v>1249</v>
      </c>
      <c r="E625" s="5" t="s">
        <v>1250</v>
      </c>
      <c r="F625" s="6"/>
      <c r="G625" s="8">
        <v>1420.0</v>
      </c>
      <c r="H625" s="5" t="s">
        <v>22</v>
      </c>
      <c r="I625" s="7">
        <f t="shared" si="1"/>
        <v>2130</v>
      </c>
      <c r="J625" s="7">
        <f t="shared" si="7"/>
        <v>1846</v>
      </c>
      <c r="K625" s="7">
        <f t="shared" si="3"/>
        <v>1846</v>
      </c>
      <c r="L625" s="7">
        <f t="shared" si="4"/>
        <v>1704</v>
      </c>
      <c r="M625" s="7">
        <f t="shared" si="5"/>
        <v>1633</v>
      </c>
      <c r="N625" s="7">
        <f t="shared" si="6"/>
        <v>1562</v>
      </c>
    </row>
    <row r="626">
      <c r="A626" s="5" t="s">
        <v>1175</v>
      </c>
      <c r="B626" s="5" t="s">
        <v>36</v>
      </c>
      <c r="C626" s="5" t="s">
        <v>1184</v>
      </c>
      <c r="D626" s="5" t="s">
        <v>1251</v>
      </c>
      <c r="E626" s="5" t="s">
        <v>1252</v>
      </c>
      <c r="F626" s="5" t="s">
        <v>1230</v>
      </c>
      <c r="G626" s="8">
        <v>36250.0</v>
      </c>
      <c r="H626" s="5" t="s">
        <v>22</v>
      </c>
      <c r="I626" s="7">
        <f t="shared" si="1"/>
        <v>54375</v>
      </c>
      <c r="J626" s="7">
        <f t="shared" si="7"/>
        <v>47125</v>
      </c>
      <c r="K626" s="7">
        <f t="shared" si="3"/>
        <v>47125</v>
      </c>
      <c r="L626" s="7">
        <f t="shared" si="4"/>
        <v>43500</v>
      </c>
      <c r="M626" s="7">
        <f t="shared" si="5"/>
        <v>41687.5</v>
      </c>
      <c r="N626" s="7">
        <f t="shared" si="6"/>
        <v>39875</v>
      </c>
    </row>
    <row r="627">
      <c r="A627" s="5" t="s">
        <v>1175</v>
      </c>
      <c r="B627" s="5" t="s">
        <v>36</v>
      </c>
      <c r="C627" s="5" t="s">
        <v>1184</v>
      </c>
      <c r="D627" s="5" t="s">
        <v>1253</v>
      </c>
      <c r="E627" s="5" t="s">
        <v>1254</v>
      </c>
      <c r="F627" s="5" t="s">
        <v>1230</v>
      </c>
      <c r="G627" s="8">
        <v>43940.0</v>
      </c>
      <c r="H627" s="5" t="s">
        <v>22</v>
      </c>
      <c r="I627" s="7">
        <f t="shared" si="1"/>
        <v>65910</v>
      </c>
      <c r="J627" s="7">
        <f t="shared" si="7"/>
        <v>57122</v>
      </c>
      <c r="K627" s="7">
        <f t="shared" si="3"/>
        <v>57122</v>
      </c>
      <c r="L627" s="7">
        <f t="shared" si="4"/>
        <v>52728</v>
      </c>
      <c r="M627" s="7">
        <f t="shared" si="5"/>
        <v>50531</v>
      </c>
      <c r="N627" s="7">
        <f t="shared" si="6"/>
        <v>48334</v>
      </c>
    </row>
    <row r="628">
      <c r="A628" s="5" t="s">
        <v>1175</v>
      </c>
      <c r="B628" s="5" t="s">
        <v>36</v>
      </c>
      <c r="C628" s="5" t="s">
        <v>1184</v>
      </c>
      <c r="D628" s="5" t="s">
        <v>1255</v>
      </c>
      <c r="E628" s="5" t="s">
        <v>1256</v>
      </c>
      <c r="F628" s="5" t="s">
        <v>1230</v>
      </c>
      <c r="G628" s="8">
        <v>47830.0</v>
      </c>
      <c r="H628" s="5" t="s">
        <v>22</v>
      </c>
      <c r="I628" s="7">
        <f t="shared" si="1"/>
        <v>71745</v>
      </c>
      <c r="J628" s="7">
        <f t="shared" si="7"/>
        <v>62179</v>
      </c>
      <c r="K628" s="7">
        <f t="shared" si="3"/>
        <v>62179</v>
      </c>
      <c r="L628" s="7">
        <f t="shared" si="4"/>
        <v>57396</v>
      </c>
      <c r="M628" s="7">
        <f t="shared" si="5"/>
        <v>55004.5</v>
      </c>
      <c r="N628" s="7">
        <f t="shared" si="6"/>
        <v>52613</v>
      </c>
    </row>
    <row r="629">
      <c r="A629" s="5" t="s">
        <v>1175</v>
      </c>
      <c r="B629" s="5" t="s">
        <v>36</v>
      </c>
      <c r="C629" s="5" t="s">
        <v>1184</v>
      </c>
      <c r="D629" s="5" t="s">
        <v>1257</v>
      </c>
      <c r="E629" s="5" t="s">
        <v>1258</v>
      </c>
      <c r="F629" s="6"/>
      <c r="G629" s="8">
        <v>1300.0</v>
      </c>
      <c r="H629" s="5" t="s">
        <v>22</v>
      </c>
      <c r="I629" s="7">
        <f t="shared" si="1"/>
        <v>1950</v>
      </c>
      <c r="J629" s="7">
        <f t="shared" si="7"/>
        <v>1690</v>
      </c>
      <c r="K629" s="7">
        <f t="shared" si="3"/>
        <v>1690</v>
      </c>
      <c r="L629" s="7">
        <f t="shared" si="4"/>
        <v>1560</v>
      </c>
      <c r="M629" s="7">
        <f t="shared" si="5"/>
        <v>1495</v>
      </c>
      <c r="N629" s="7">
        <f t="shared" si="6"/>
        <v>1430</v>
      </c>
    </row>
    <row r="630">
      <c r="A630" s="5" t="s">
        <v>1175</v>
      </c>
      <c r="B630" s="5" t="s">
        <v>36</v>
      </c>
      <c r="C630" s="5" t="s">
        <v>1184</v>
      </c>
      <c r="D630" s="5" t="s">
        <v>1259</v>
      </c>
      <c r="E630" s="5" t="s">
        <v>1260</v>
      </c>
      <c r="F630" s="6"/>
      <c r="G630" s="5">
        <v>770.0</v>
      </c>
      <c r="H630" s="5" t="s">
        <v>22</v>
      </c>
      <c r="I630" s="7">
        <f t="shared" si="1"/>
        <v>1155</v>
      </c>
      <c r="J630" s="7">
        <f t="shared" si="7"/>
        <v>1001</v>
      </c>
      <c r="K630" s="7">
        <f t="shared" si="3"/>
        <v>1001</v>
      </c>
      <c r="L630" s="7">
        <f t="shared" si="4"/>
        <v>924</v>
      </c>
      <c r="M630" s="7">
        <f t="shared" si="5"/>
        <v>885.5</v>
      </c>
      <c r="N630" s="7">
        <f t="shared" si="6"/>
        <v>847</v>
      </c>
    </row>
    <row r="631">
      <c r="A631" s="5" t="s">
        <v>1175</v>
      </c>
      <c r="B631" s="5" t="s">
        <v>36</v>
      </c>
      <c r="C631" s="5" t="s">
        <v>1184</v>
      </c>
      <c r="D631" s="5" t="s">
        <v>1261</v>
      </c>
      <c r="E631" s="5" t="s">
        <v>1262</v>
      </c>
      <c r="F631" s="6"/>
      <c r="G631" s="8">
        <v>1350.0</v>
      </c>
      <c r="H631" s="5" t="s">
        <v>22</v>
      </c>
      <c r="I631" s="7">
        <f t="shared" si="1"/>
        <v>2025</v>
      </c>
      <c r="J631" s="7">
        <f t="shared" si="7"/>
        <v>1755</v>
      </c>
      <c r="K631" s="7">
        <f t="shared" si="3"/>
        <v>1755</v>
      </c>
      <c r="L631" s="7">
        <f t="shared" si="4"/>
        <v>1620</v>
      </c>
      <c r="M631" s="7">
        <f t="shared" si="5"/>
        <v>1552.5</v>
      </c>
      <c r="N631" s="7">
        <f t="shared" si="6"/>
        <v>1485</v>
      </c>
    </row>
    <row r="632">
      <c r="A632" s="5" t="s">
        <v>1175</v>
      </c>
      <c r="B632" s="5" t="s">
        <v>36</v>
      </c>
      <c r="C632" s="5" t="s">
        <v>1184</v>
      </c>
      <c r="D632" s="5" t="s">
        <v>1263</v>
      </c>
      <c r="E632" s="5" t="s">
        <v>1264</v>
      </c>
      <c r="F632" s="6"/>
      <c r="G632" s="5">
        <v>180.0</v>
      </c>
      <c r="H632" s="5" t="s">
        <v>22</v>
      </c>
      <c r="I632" s="7">
        <f t="shared" si="1"/>
        <v>270</v>
      </c>
      <c r="J632" s="7">
        <f t="shared" si="7"/>
        <v>234</v>
      </c>
      <c r="K632" s="7">
        <f t="shared" si="3"/>
        <v>234</v>
      </c>
      <c r="L632" s="7">
        <f t="shared" si="4"/>
        <v>216</v>
      </c>
      <c r="M632" s="7">
        <f t="shared" si="5"/>
        <v>207</v>
      </c>
      <c r="N632" s="7">
        <f t="shared" si="6"/>
        <v>198</v>
      </c>
    </row>
    <row r="633">
      <c r="A633" s="5" t="s">
        <v>1175</v>
      </c>
      <c r="B633" s="5" t="s">
        <v>36</v>
      </c>
      <c r="C633" s="5" t="s">
        <v>1184</v>
      </c>
      <c r="D633" s="5" t="s">
        <v>1265</v>
      </c>
      <c r="E633" s="5" t="s">
        <v>1266</v>
      </c>
      <c r="F633" s="6"/>
      <c r="G633" s="8">
        <v>2090.0</v>
      </c>
      <c r="H633" s="5" t="s">
        <v>22</v>
      </c>
      <c r="I633" s="7">
        <f t="shared" si="1"/>
        <v>3135</v>
      </c>
      <c r="J633" s="7">
        <f t="shared" si="7"/>
        <v>2717</v>
      </c>
      <c r="K633" s="7">
        <f t="shared" si="3"/>
        <v>2717</v>
      </c>
      <c r="L633" s="7">
        <f t="shared" si="4"/>
        <v>2508</v>
      </c>
      <c r="M633" s="7">
        <f t="shared" si="5"/>
        <v>2403.5</v>
      </c>
      <c r="N633" s="7">
        <f t="shared" si="6"/>
        <v>2299</v>
      </c>
    </row>
    <row r="634">
      <c r="A634" s="5" t="s">
        <v>1175</v>
      </c>
      <c r="B634" s="5" t="s">
        <v>36</v>
      </c>
      <c r="C634" s="5" t="s">
        <v>1184</v>
      </c>
      <c r="D634" s="5" t="s">
        <v>1267</v>
      </c>
      <c r="E634" s="5" t="s">
        <v>1268</v>
      </c>
      <c r="F634" s="6"/>
      <c r="G634" s="8">
        <v>27690.0</v>
      </c>
      <c r="H634" s="5" t="s">
        <v>22</v>
      </c>
      <c r="I634" s="7">
        <f t="shared" si="1"/>
        <v>41535</v>
      </c>
      <c r="J634" s="7">
        <f t="shared" si="7"/>
        <v>35997</v>
      </c>
      <c r="K634" s="7">
        <f t="shared" si="3"/>
        <v>35997</v>
      </c>
      <c r="L634" s="7">
        <f t="shared" si="4"/>
        <v>33228</v>
      </c>
      <c r="M634" s="7">
        <f t="shared" si="5"/>
        <v>31843.5</v>
      </c>
      <c r="N634" s="7">
        <f t="shared" si="6"/>
        <v>30459</v>
      </c>
    </row>
    <row r="635">
      <c r="A635" s="5" t="s">
        <v>1175</v>
      </c>
      <c r="B635" s="5" t="s">
        <v>36</v>
      </c>
      <c r="C635" s="6"/>
      <c r="D635" s="5" t="s">
        <v>1269</v>
      </c>
      <c r="E635" s="5" t="s">
        <v>1270</v>
      </c>
      <c r="F635" s="6"/>
      <c r="G635" s="6"/>
      <c r="H635" s="5" t="s">
        <v>22</v>
      </c>
      <c r="I635" s="7">
        <f t="shared" si="1"/>
        <v>0</v>
      </c>
      <c r="J635" s="7">
        <f t="shared" si="7"/>
        <v>0</v>
      </c>
      <c r="K635" s="7">
        <f t="shared" si="3"/>
        <v>0</v>
      </c>
      <c r="L635" s="7">
        <f t="shared" si="4"/>
        <v>0</v>
      </c>
      <c r="M635" s="7">
        <f t="shared" si="5"/>
        <v>0</v>
      </c>
      <c r="N635" s="7">
        <f t="shared" si="6"/>
        <v>0</v>
      </c>
    </row>
    <row r="636">
      <c r="A636" s="5" t="s">
        <v>1175</v>
      </c>
      <c r="B636" s="5" t="s">
        <v>36</v>
      </c>
      <c r="C636" s="5" t="s">
        <v>1271</v>
      </c>
      <c r="D636" s="5" t="s">
        <v>1272</v>
      </c>
      <c r="E636" s="5" t="s">
        <v>1273</v>
      </c>
      <c r="F636" s="5" t="s">
        <v>1230</v>
      </c>
      <c r="G636" s="6"/>
      <c r="H636" s="5" t="s">
        <v>22</v>
      </c>
      <c r="I636" s="7">
        <f t="shared" si="1"/>
        <v>0</v>
      </c>
      <c r="J636" s="7">
        <f t="shared" si="7"/>
        <v>0</v>
      </c>
      <c r="K636" s="7">
        <f t="shared" si="3"/>
        <v>0</v>
      </c>
      <c r="L636" s="7">
        <f t="shared" si="4"/>
        <v>0</v>
      </c>
      <c r="M636" s="7">
        <f t="shared" si="5"/>
        <v>0</v>
      </c>
      <c r="N636" s="7">
        <f t="shared" si="6"/>
        <v>0</v>
      </c>
    </row>
    <row r="637">
      <c r="A637" s="5" t="s">
        <v>1175</v>
      </c>
      <c r="B637" s="5" t="s">
        <v>36</v>
      </c>
      <c r="C637" s="5" t="s">
        <v>1271</v>
      </c>
      <c r="D637" s="5" t="s">
        <v>1274</v>
      </c>
      <c r="E637" s="5" t="s">
        <v>1275</v>
      </c>
      <c r="F637" s="5" t="s">
        <v>1230</v>
      </c>
      <c r="G637" s="8">
        <v>56680.0</v>
      </c>
      <c r="H637" s="5" t="s">
        <v>22</v>
      </c>
      <c r="I637" s="7">
        <f t="shared" si="1"/>
        <v>85020</v>
      </c>
      <c r="J637" s="7">
        <f t="shared" si="7"/>
        <v>73684</v>
      </c>
      <c r="K637" s="7">
        <f t="shared" si="3"/>
        <v>73684</v>
      </c>
      <c r="L637" s="7">
        <f t="shared" si="4"/>
        <v>68016</v>
      </c>
      <c r="M637" s="7">
        <f t="shared" si="5"/>
        <v>65182</v>
      </c>
      <c r="N637" s="7">
        <f t="shared" si="6"/>
        <v>62348</v>
      </c>
    </row>
    <row r="638">
      <c r="A638" s="5" t="s">
        <v>1175</v>
      </c>
      <c r="B638" s="5" t="s">
        <v>36</v>
      </c>
      <c r="C638" s="5" t="s">
        <v>1271</v>
      </c>
      <c r="D638" s="5" t="s">
        <v>1276</v>
      </c>
      <c r="E638" s="5" t="s">
        <v>1277</v>
      </c>
      <c r="F638" s="5" t="s">
        <v>1230</v>
      </c>
      <c r="G638" s="8">
        <v>73450.0</v>
      </c>
      <c r="H638" s="5" t="s">
        <v>22</v>
      </c>
      <c r="I638" s="7">
        <f t="shared" si="1"/>
        <v>110175</v>
      </c>
      <c r="J638" s="7">
        <f t="shared" si="7"/>
        <v>95485</v>
      </c>
      <c r="K638" s="7">
        <f t="shared" si="3"/>
        <v>95485</v>
      </c>
      <c r="L638" s="7">
        <f t="shared" si="4"/>
        <v>88140</v>
      </c>
      <c r="M638" s="7">
        <f t="shared" si="5"/>
        <v>84467.5</v>
      </c>
      <c r="N638" s="7">
        <f t="shared" si="6"/>
        <v>80795</v>
      </c>
    </row>
    <row r="639">
      <c r="A639" s="5" t="s">
        <v>1175</v>
      </c>
      <c r="B639" s="5" t="s">
        <v>36</v>
      </c>
      <c r="C639" s="5" t="s">
        <v>1271</v>
      </c>
      <c r="D639" s="5" t="s">
        <v>1278</v>
      </c>
      <c r="E639" s="5" t="s">
        <v>1279</v>
      </c>
      <c r="F639" s="5" t="s">
        <v>1230</v>
      </c>
      <c r="G639" s="8">
        <v>82210.0</v>
      </c>
      <c r="H639" s="5" t="s">
        <v>22</v>
      </c>
      <c r="I639" s="7">
        <f t="shared" si="1"/>
        <v>123315</v>
      </c>
      <c r="J639" s="7">
        <f t="shared" si="7"/>
        <v>106873</v>
      </c>
      <c r="K639" s="7">
        <f t="shared" si="3"/>
        <v>106873</v>
      </c>
      <c r="L639" s="7">
        <f t="shared" si="4"/>
        <v>98652</v>
      </c>
      <c r="M639" s="7">
        <f t="shared" si="5"/>
        <v>94541.5</v>
      </c>
      <c r="N639" s="7">
        <f t="shared" si="6"/>
        <v>90431</v>
      </c>
    </row>
    <row r="640">
      <c r="A640" s="5" t="s">
        <v>1175</v>
      </c>
      <c r="B640" s="5" t="s">
        <v>36</v>
      </c>
      <c r="C640" s="5" t="s">
        <v>1271</v>
      </c>
      <c r="D640" s="5" t="s">
        <v>1280</v>
      </c>
      <c r="E640" s="5" t="s">
        <v>1281</v>
      </c>
      <c r="F640" s="5" t="s">
        <v>1230</v>
      </c>
      <c r="G640" s="8">
        <v>86610.0</v>
      </c>
      <c r="H640" s="5" t="s">
        <v>22</v>
      </c>
      <c r="I640" s="7">
        <f t="shared" si="1"/>
        <v>129915</v>
      </c>
      <c r="J640" s="7">
        <f t="shared" si="7"/>
        <v>112593</v>
      </c>
      <c r="K640" s="7">
        <f t="shared" si="3"/>
        <v>112593</v>
      </c>
      <c r="L640" s="7">
        <f t="shared" si="4"/>
        <v>103932</v>
      </c>
      <c r="M640" s="7">
        <f t="shared" si="5"/>
        <v>99601.5</v>
      </c>
      <c r="N640" s="7">
        <f t="shared" si="6"/>
        <v>95271</v>
      </c>
    </row>
    <row r="641">
      <c r="A641" s="5" t="s">
        <v>1175</v>
      </c>
      <c r="B641" s="5" t="s">
        <v>36</v>
      </c>
      <c r="C641" s="5" t="s">
        <v>1271</v>
      </c>
      <c r="D641" s="5" t="s">
        <v>1282</v>
      </c>
      <c r="E641" s="5" t="s">
        <v>1283</v>
      </c>
      <c r="F641" s="5" t="s">
        <v>1230</v>
      </c>
      <c r="G641" s="8">
        <v>106630.0</v>
      </c>
      <c r="H641" s="5" t="s">
        <v>22</v>
      </c>
      <c r="I641" s="7">
        <f t="shared" si="1"/>
        <v>159945</v>
      </c>
      <c r="J641" s="7">
        <f t="shared" si="7"/>
        <v>138619</v>
      </c>
      <c r="K641" s="7">
        <f t="shared" si="3"/>
        <v>138619</v>
      </c>
      <c r="L641" s="7">
        <f t="shared" si="4"/>
        <v>127956</v>
      </c>
      <c r="M641" s="7">
        <f t="shared" si="5"/>
        <v>122624.5</v>
      </c>
      <c r="N641" s="7">
        <f t="shared" si="6"/>
        <v>117293</v>
      </c>
    </row>
    <row r="642">
      <c r="A642" s="5" t="s">
        <v>1175</v>
      </c>
      <c r="B642" s="5" t="s">
        <v>36</v>
      </c>
      <c r="C642" s="5" t="s">
        <v>1271</v>
      </c>
      <c r="D642" s="5" t="s">
        <v>1284</v>
      </c>
      <c r="E642" s="5" t="s">
        <v>1285</v>
      </c>
      <c r="F642" s="5" t="s">
        <v>1230</v>
      </c>
      <c r="G642" s="8">
        <v>143130.0</v>
      </c>
      <c r="H642" s="5" t="s">
        <v>22</v>
      </c>
      <c r="I642" s="7">
        <f t="shared" si="1"/>
        <v>214695</v>
      </c>
      <c r="J642" s="7">
        <f t="shared" si="7"/>
        <v>186069</v>
      </c>
      <c r="K642" s="7">
        <f t="shared" si="3"/>
        <v>186069</v>
      </c>
      <c r="L642" s="7">
        <f t="shared" si="4"/>
        <v>171756</v>
      </c>
      <c r="M642" s="7">
        <f t="shared" si="5"/>
        <v>164599.5</v>
      </c>
      <c r="N642" s="7">
        <f t="shared" si="6"/>
        <v>157443</v>
      </c>
    </row>
    <row r="643">
      <c r="A643" s="5" t="s">
        <v>1175</v>
      </c>
      <c r="B643" s="5" t="s">
        <v>36</v>
      </c>
      <c r="C643" s="5" t="s">
        <v>1271</v>
      </c>
      <c r="D643" s="5" t="s">
        <v>1286</v>
      </c>
      <c r="E643" s="5" t="s">
        <v>1287</v>
      </c>
      <c r="F643" s="6"/>
      <c r="G643" s="8">
        <v>36230.0</v>
      </c>
      <c r="H643" s="5" t="s">
        <v>22</v>
      </c>
      <c r="I643" s="7">
        <f t="shared" si="1"/>
        <v>54345</v>
      </c>
      <c r="J643" s="7">
        <f t="shared" si="7"/>
        <v>47099</v>
      </c>
      <c r="K643" s="7">
        <f t="shared" si="3"/>
        <v>47099</v>
      </c>
      <c r="L643" s="7">
        <f t="shared" si="4"/>
        <v>43476</v>
      </c>
      <c r="M643" s="7">
        <f t="shared" si="5"/>
        <v>41664.5</v>
      </c>
      <c r="N643" s="7">
        <f t="shared" si="6"/>
        <v>39853</v>
      </c>
    </row>
    <row r="644">
      <c r="A644" s="5" t="s">
        <v>1175</v>
      </c>
      <c r="B644" s="5" t="s">
        <v>36</v>
      </c>
      <c r="C644" s="5" t="s">
        <v>1271</v>
      </c>
      <c r="D644" s="5" t="s">
        <v>1288</v>
      </c>
      <c r="E644" s="5" t="s">
        <v>511</v>
      </c>
      <c r="F644" s="6"/>
      <c r="G644" s="8">
        <v>25700.0</v>
      </c>
      <c r="H644" s="5" t="s">
        <v>22</v>
      </c>
      <c r="I644" s="7">
        <f t="shared" si="1"/>
        <v>38550</v>
      </c>
      <c r="J644" s="7">
        <f t="shared" si="7"/>
        <v>33410</v>
      </c>
      <c r="K644" s="7">
        <f t="shared" si="3"/>
        <v>33410</v>
      </c>
      <c r="L644" s="7">
        <f t="shared" si="4"/>
        <v>30840</v>
      </c>
      <c r="M644" s="7">
        <f t="shared" si="5"/>
        <v>29555</v>
      </c>
      <c r="N644" s="7">
        <f t="shared" si="6"/>
        <v>28270</v>
      </c>
    </row>
    <row r="645">
      <c r="A645" s="5" t="s">
        <v>1175</v>
      </c>
      <c r="B645" s="5" t="s">
        <v>36</v>
      </c>
      <c r="C645" s="5" t="s">
        <v>1271</v>
      </c>
      <c r="D645" s="5" t="s">
        <v>1289</v>
      </c>
      <c r="E645" s="5" t="s">
        <v>1290</v>
      </c>
      <c r="F645" s="6"/>
      <c r="G645" s="8">
        <v>2220.0</v>
      </c>
      <c r="H645" s="5" t="s">
        <v>22</v>
      </c>
      <c r="I645" s="7">
        <f t="shared" si="1"/>
        <v>3330</v>
      </c>
      <c r="J645" s="7">
        <f t="shared" si="7"/>
        <v>2886</v>
      </c>
      <c r="K645" s="7">
        <f t="shared" si="3"/>
        <v>2886</v>
      </c>
      <c r="L645" s="7">
        <f t="shared" si="4"/>
        <v>2664</v>
      </c>
      <c r="M645" s="7">
        <f t="shared" si="5"/>
        <v>2553</v>
      </c>
      <c r="N645" s="7">
        <f t="shared" si="6"/>
        <v>2442</v>
      </c>
    </row>
    <row r="646">
      <c r="A646" s="5" t="s">
        <v>1175</v>
      </c>
      <c r="B646" s="5" t="s">
        <v>36</v>
      </c>
      <c r="C646" s="5" t="s">
        <v>1271</v>
      </c>
      <c r="D646" s="5" t="s">
        <v>1291</v>
      </c>
      <c r="E646" s="5" t="s">
        <v>1292</v>
      </c>
      <c r="F646" s="6"/>
      <c r="G646" s="8">
        <v>1960.0</v>
      </c>
      <c r="H646" s="5" t="s">
        <v>22</v>
      </c>
      <c r="I646" s="7">
        <f t="shared" si="1"/>
        <v>2940</v>
      </c>
      <c r="J646" s="7">
        <f t="shared" si="7"/>
        <v>2548</v>
      </c>
      <c r="K646" s="7">
        <f t="shared" si="3"/>
        <v>2548</v>
      </c>
      <c r="L646" s="7">
        <f t="shared" si="4"/>
        <v>2352</v>
      </c>
      <c r="M646" s="7">
        <f t="shared" si="5"/>
        <v>2254</v>
      </c>
      <c r="N646" s="7">
        <f t="shared" si="6"/>
        <v>2156</v>
      </c>
    </row>
    <row r="647">
      <c r="A647" s="5" t="s">
        <v>1175</v>
      </c>
      <c r="B647" s="5" t="s">
        <v>36</v>
      </c>
      <c r="C647" s="5" t="s">
        <v>1271</v>
      </c>
      <c r="D647" s="5" t="s">
        <v>1293</v>
      </c>
      <c r="E647" s="5" t="s">
        <v>1294</v>
      </c>
      <c r="F647" s="6"/>
      <c r="G647" s="8">
        <v>2150.0</v>
      </c>
      <c r="H647" s="5" t="s">
        <v>22</v>
      </c>
      <c r="I647" s="7">
        <f t="shared" si="1"/>
        <v>3225</v>
      </c>
      <c r="J647" s="7">
        <f t="shared" si="7"/>
        <v>2795</v>
      </c>
      <c r="K647" s="7">
        <f t="shared" si="3"/>
        <v>2795</v>
      </c>
      <c r="L647" s="7">
        <f t="shared" si="4"/>
        <v>2580</v>
      </c>
      <c r="M647" s="7">
        <f t="shared" si="5"/>
        <v>2472.5</v>
      </c>
      <c r="N647" s="7">
        <f t="shared" si="6"/>
        <v>2365</v>
      </c>
    </row>
    <row r="648">
      <c r="A648" s="5" t="s">
        <v>1175</v>
      </c>
      <c r="B648" s="5" t="s">
        <v>36</v>
      </c>
      <c r="C648" s="5" t="s">
        <v>1271</v>
      </c>
      <c r="D648" s="5" t="s">
        <v>1295</v>
      </c>
      <c r="E648" s="5" t="s">
        <v>1296</v>
      </c>
      <c r="F648" s="6"/>
      <c r="G648" s="5">
        <v>390.0</v>
      </c>
      <c r="H648" s="5" t="s">
        <v>22</v>
      </c>
      <c r="I648" s="7">
        <f t="shared" si="1"/>
        <v>585</v>
      </c>
      <c r="J648" s="7">
        <f t="shared" si="7"/>
        <v>507</v>
      </c>
      <c r="K648" s="7">
        <f t="shared" si="3"/>
        <v>507</v>
      </c>
      <c r="L648" s="7">
        <f t="shared" si="4"/>
        <v>468</v>
      </c>
      <c r="M648" s="7">
        <f t="shared" si="5"/>
        <v>448.5</v>
      </c>
      <c r="N648" s="7">
        <f t="shared" si="6"/>
        <v>429</v>
      </c>
    </row>
    <row r="649">
      <c r="A649" s="5" t="s">
        <v>1175</v>
      </c>
      <c r="B649" s="5" t="s">
        <v>36</v>
      </c>
      <c r="C649" s="5" t="s">
        <v>1271</v>
      </c>
      <c r="D649" s="5" t="s">
        <v>1297</v>
      </c>
      <c r="E649" s="5" t="s">
        <v>1298</v>
      </c>
      <c r="F649" s="6"/>
      <c r="G649" s="8">
        <v>2810.0</v>
      </c>
      <c r="H649" s="5" t="s">
        <v>22</v>
      </c>
      <c r="I649" s="7">
        <f t="shared" si="1"/>
        <v>4215</v>
      </c>
      <c r="J649" s="7">
        <f t="shared" si="7"/>
        <v>3653</v>
      </c>
      <c r="K649" s="7">
        <f t="shared" si="3"/>
        <v>3653</v>
      </c>
      <c r="L649" s="7">
        <f t="shared" si="4"/>
        <v>3372</v>
      </c>
      <c r="M649" s="7">
        <f t="shared" si="5"/>
        <v>3231.5</v>
      </c>
      <c r="N649" s="7">
        <f t="shared" si="6"/>
        <v>3091</v>
      </c>
    </row>
    <row r="650">
      <c r="A650" s="5" t="s">
        <v>1175</v>
      </c>
      <c r="B650" s="5" t="s">
        <v>36</v>
      </c>
      <c r="C650" s="5" t="s">
        <v>1271</v>
      </c>
      <c r="D650" s="5" t="s">
        <v>1299</v>
      </c>
      <c r="E650" s="5" t="s">
        <v>1300</v>
      </c>
      <c r="F650" s="6"/>
      <c r="G650" s="8">
        <v>2400.0</v>
      </c>
      <c r="H650" s="5" t="s">
        <v>22</v>
      </c>
      <c r="I650" s="7">
        <f t="shared" si="1"/>
        <v>3600</v>
      </c>
      <c r="J650" s="7">
        <f t="shared" si="7"/>
        <v>3120</v>
      </c>
      <c r="K650" s="7">
        <f t="shared" si="3"/>
        <v>3120</v>
      </c>
      <c r="L650" s="7">
        <f t="shared" si="4"/>
        <v>2880</v>
      </c>
      <c r="M650" s="7">
        <f t="shared" si="5"/>
        <v>2760</v>
      </c>
      <c r="N650" s="7">
        <f t="shared" si="6"/>
        <v>2640</v>
      </c>
    </row>
    <row r="651">
      <c r="A651" s="5" t="s">
        <v>1175</v>
      </c>
      <c r="B651" s="5" t="s">
        <v>36</v>
      </c>
      <c r="C651" s="5" t="s">
        <v>1271</v>
      </c>
      <c r="D651" s="5" t="s">
        <v>1301</v>
      </c>
      <c r="E651" s="5" t="s">
        <v>1302</v>
      </c>
      <c r="F651" s="6"/>
      <c r="G651" s="8">
        <v>1540.0</v>
      </c>
      <c r="H651" s="5" t="s">
        <v>22</v>
      </c>
      <c r="I651" s="7">
        <f t="shared" si="1"/>
        <v>2310</v>
      </c>
      <c r="J651" s="7">
        <f t="shared" si="7"/>
        <v>2002</v>
      </c>
      <c r="K651" s="7">
        <f t="shared" si="3"/>
        <v>2002</v>
      </c>
      <c r="L651" s="7">
        <f t="shared" si="4"/>
        <v>1848</v>
      </c>
      <c r="M651" s="7">
        <f t="shared" si="5"/>
        <v>1771</v>
      </c>
      <c r="N651" s="7">
        <f t="shared" si="6"/>
        <v>1694</v>
      </c>
    </row>
    <row r="652">
      <c r="A652" s="5" t="s">
        <v>1175</v>
      </c>
      <c r="B652" s="5" t="s">
        <v>36</v>
      </c>
      <c r="C652" s="5" t="s">
        <v>1271</v>
      </c>
      <c r="D652" s="5" t="s">
        <v>1303</v>
      </c>
      <c r="E652" s="5" t="s">
        <v>1304</v>
      </c>
      <c r="F652" s="6"/>
      <c r="G652" s="8">
        <v>1910.0</v>
      </c>
      <c r="H652" s="5" t="s">
        <v>22</v>
      </c>
      <c r="I652" s="7">
        <f t="shared" si="1"/>
        <v>2865</v>
      </c>
      <c r="J652" s="7">
        <f t="shared" si="7"/>
        <v>2483</v>
      </c>
      <c r="K652" s="7">
        <f t="shared" si="3"/>
        <v>2483</v>
      </c>
      <c r="L652" s="7">
        <f t="shared" si="4"/>
        <v>2292</v>
      </c>
      <c r="M652" s="7">
        <f t="shared" si="5"/>
        <v>2196.5</v>
      </c>
      <c r="N652" s="7">
        <f t="shared" si="6"/>
        <v>2101</v>
      </c>
    </row>
    <row r="653">
      <c r="A653" s="5" t="s">
        <v>1175</v>
      </c>
      <c r="B653" s="5" t="s">
        <v>36</v>
      </c>
      <c r="C653" s="5" t="s">
        <v>1271</v>
      </c>
      <c r="D653" s="5" t="s">
        <v>1305</v>
      </c>
      <c r="E653" s="5" t="s">
        <v>1306</v>
      </c>
      <c r="F653" s="6"/>
      <c r="G653" s="8">
        <v>2040.0</v>
      </c>
      <c r="H653" s="5" t="s">
        <v>22</v>
      </c>
      <c r="I653" s="7">
        <f t="shared" si="1"/>
        <v>3060</v>
      </c>
      <c r="J653" s="7">
        <f t="shared" si="7"/>
        <v>2652</v>
      </c>
      <c r="K653" s="7">
        <f t="shared" si="3"/>
        <v>2652</v>
      </c>
      <c r="L653" s="7">
        <f t="shared" si="4"/>
        <v>2448</v>
      </c>
      <c r="M653" s="7">
        <f t="shared" si="5"/>
        <v>2346</v>
      </c>
      <c r="N653" s="7">
        <f t="shared" si="6"/>
        <v>2244</v>
      </c>
    </row>
    <row r="654">
      <c r="A654" s="5" t="s">
        <v>1175</v>
      </c>
      <c r="B654" s="5" t="s">
        <v>36</v>
      </c>
      <c r="C654" s="5" t="s">
        <v>1271</v>
      </c>
      <c r="D654" s="5" t="s">
        <v>1307</v>
      </c>
      <c r="E654" s="5" t="s">
        <v>1308</v>
      </c>
      <c r="F654" s="6"/>
      <c r="G654" s="8">
        <v>1730.0</v>
      </c>
      <c r="H654" s="5" t="s">
        <v>22</v>
      </c>
      <c r="I654" s="7">
        <f t="shared" si="1"/>
        <v>2595</v>
      </c>
      <c r="J654" s="7">
        <f t="shared" si="7"/>
        <v>2249</v>
      </c>
      <c r="K654" s="7">
        <f t="shared" si="3"/>
        <v>2249</v>
      </c>
      <c r="L654" s="7">
        <f t="shared" si="4"/>
        <v>2076</v>
      </c>
      <c r="M654" s="7">
        <f t="shared" si="5"/>
        <v>1989.5</v>
      </c>
      <c r="N654" s="7">
        <f t="shared" si="6"/>
        <v>1903</v>
      </c>
    </row>
    <row r="655">
      <c r="A655" s="5" t="s">
        <v>1175</v>
      </c>
      <c r="B655" s="5" t="s">
        <v>36</v>
      </c>
      <c r="C655" s="5" t="s">
        <v>1271</v>
      </c>
      <c r="D655" s="5" t="s">
        <v>1309</v>
      </c>
      <c r="E655" s="5" t="s">
        <v>1310</v>
      </c>
      <c r="F655" s="6"/>
      <c r="G655" s="8">
        <v>3290.0</v>
      </c>
      <c r="H655" s="5" t="s">
        <v>22</v>
      </c>
      <c r="I655" s="7">
        <f t="shared" si="1"/>
        <v>4935</v>
      </c>
      <c r="J655" s="7">
        <f t="shared" si="7"/>
        <v>4277</v>
      </c>
      <c r="K655" s="7">
        <f t="shared" si="3"/>
        <v>4277</v>
      </c>
      <c r="L655" s="7">
        <f t="shared" si="4"/>
        <v>3948</v>
      </c>
      <c r="M655" s="7">
        <f t="shared" si="5"/>
        <v>3783.5</v>
      </c>
      <c r="N655" s="7">
        <f t="shared" si="6"/>
        <v>3619</v>
      </c>
    </row>
    <row r="656">
      <c r="A656" s="5" t="s">
        <v>1175</v>
      </c>
      <c r="B656" s="6"/>
      <c r="C656" s="5" t="s">
        <v>1311</v>
      </c>
      <c r="D656" s="5" t="s">
        <v>1312</v>
      </c>
      <c r="E656" s="5" t="s">
        <v>1313</v>
      </c>
      <c r="F656" s="6"/>
      <c r="G656" s="5">
        <v>630.0</v>
      </c>
      <c r="H656" s="5" t="s">
        <v>22</v>
      </c>
      <c r="I656" s="7">
        <f t="shared" si="1"/>
        <v>945</v>
      </c>
      <c r="J656" s="7">
        <f t="shared" si="7"/>
        <v>819</v>
      </c>
      <c r="K656" s="7">
        <f t="shared" si="3"/>
        <v>819</v>
      </c>
      <c r="L656" s="7">
        <f t="shared" si="4"/>
        <v>756</v>
      </c>
      <c r="M656" s="7">
        <f t="shared" si="5"/>
        <v>724.5</v>
      </c>
      <c r="N656" s="7">
        <f t="shared" si="6"/>
        <v>693</v>
      </c>
    </row>
    <row r="657">
      <c r="A657" s="5" t="s">
        <v>1175</v>
      </c>
      <c r="B657" s="6"/>
      <c r="C657" s="5" t="s">
        <v>1314</v>
      </c>
      <c r="D657" s="5" t="s">
        <v>1315</v>
      </c>
      <c r="E657" s="5" t="s">
        <v>1316</v>
      </c>
      <c r="F657" s="5" t="s">
        <v>1230</v>
      </c>
      <c r="G657" s="8">
        <v>12400.0</v>
      </c>
      <c r="H657" s="5" t="s">
        <v>22</v>
      </c>
      <c r="I657" s="7">
        <f t="shared" si="1"/>
        <v>18600</v>
      </c>
      <c r="J657" s="7">
        <f t="shared" si="7"/>
        <v>16120</v>
      </c>
      <c r="K657" s="7">
        <f t="shared" si="3"/>
        <v>16120</v>
      </c>
      <c r="L657" s="7">
        <f t="shared" si="4"/>
        <v>14880</v>
      </c>
      <c r="M657" s="7">
        <f t="shared" si="5"/>
        <v>14260</v>
      </c>
      <c r="N657" s="7">
        <f t="shared" si="6"/>
        <v>13640</v>
      </c>
    </row>
    <row r="658">
      <c r="A658" s="5" t="s">
        <v>1175</v>
      </c>
      <c r="B658" s="6"/>
      <c r="C658" s="5" t="s">
        <v>1314</v>
      </c>
      <c r="D658" s="5" t="s">
        <v>1317</v>
      </c>
      <c r="E658" s="5" t="s">
        <v>1318</v>
      </c>
      <c r="F658" s="5" t="s">
        <v>1230</v>
      </c>
      <c r="G658" s="8">
        <v>13260.0</v>
      </c>
      <c r="H658" s="5" t="s">
        <v>22</v>
      </c>
      <c r="I658" s="7">
        <f t="shared" si="1"/>
        <v>19890</v>
      </c>
      <c r="J658" s="7">
        <f t="shared" si="7"/>
        <v>17238</v>
      </c>
      <c r="K658" s="7">
        <f t="shared" si="3"/>
        <v>17238</v>
      </c>
      <c r="L658" s="7">
        <f t="shared" si="4"/>
        <v>15912</v>
      </c>
      <c r="M658" s="7">
        <f t="shared" si="5"/>
        <v>15249</v>
      </c>
      <c r="N658" s="7">
        <f t="shared" si="6"/>
        <v>14586</v>
      </c>
    </row>
    <row r="659">
      <c r="A659" s="5" t="s">
        <v>1175</v>
      </c>
      <c r="B659" s="6"/>
      <c r="C659" s="5" t="s">
        <v>1314</v>
      </c>
      <c r="D659" s="5" t="s">
        <v>1319</v>
      </c>
      <c r="E659" s="5" t="s">
        <v>1320</v>
      </c>
      <c r="F659" s="5" t="s">
        <v>1230</v>
      </c>
      <c r="G659" s="8">
        <v>24570.0</v>
      </c>
      <c r="H659" s="5" t="s">
        <v>22</v>
      </c>
      <c r="I659" s="7">
        <f t="shared" si="1"/>
        <v>36855</v>
      </c>
      <c r="J659" s="7">
        <f t="shared" si="7"/>
        <v>31941</v>
      </c>
      <c r="K659" s="7">
        <f t="shared" si="3"/>
        <v>31941</v>
      </c>
      <c r="L659" s="7">
        <f t="shared" si="4"/>
        <v>29484</v>
      </c>
      <c r="M659" s="7">
        <f t="shared" si="5"/>
        <v>28255.5</v>
      </c>
      <c r="N659" s="7">
        <f t="shared" si="6"/>
        <v>27027</v>
      </c>
    </row>
    <row r="660">
      <c r="A660" s="5" t="s">
        <v>1175</v>
      </c>
      <c r="B660" s="6"/>
      <c r="C660" s="5" t="s">
        <v>1314</v>
      </c>
      <c r="D660" s="5" t="s">
        <v>1321</v>
      </c>
      <c r="E660" s="5" t="s">
        <v>1322</v>
      </c>
      <c r="F660" s="5" t="s">
        <v>1230</v>
      </c>
      <c r="G660" s="8">
        <v>29560.0</v>
      </c>
      <c r="H660" s="5" t="s">
        <v>22</v>
      </c>
      <c r="I660" s="7">
        <f t="shared" si="1"/>
        <v>44340</v>
      </c>
      <c r="J660" s="7">
        <f t="shared" si="7"/>
        <v>38428</v>
      </c>
      <c r="K660" s="7">
        <f t="shared" si="3"/>
        <v>38428</v>
      </c>
      <c r="L660" s="7">
        <f t="shared" si="4"/>
        <v>35472</v>
      </c>
      <c r="M660" s="7">
        <f t="shared" si="5"/>
        <v>33994</v>
      </c>
      <c r="N660" s="7">
        <f t="shared" si="6"/>
        <v>32516</v>
      </c>
    </row>
    <row r="661">
      <c r="A661" s="5" t="s">
        <v>1175</v>
      </c>
      <c r="B661" s="6"/>
      <c r="C661" s="5" t="s">
        <v>1323</v>
      </c>
      <c r="D661" s="5" t="s">
        <v>1324</v>
      </c>
      <c r="E661" s="5" t="s">
        <v>1325</v>
      </c>
      <c r="F661" s="5" t="s">
        <v>1230</v>
      </c>
      <c r="G661" s="8">
        <v>113720.0</v>
      </c>
      <c r="H661" s="5" t="s">
        <v>22</v>
      </c>
      <c r="I661" s="7">
        <f t="shared" si="1"/>
        <v>170580</v>
      </c>
      <c r="J661" s="7">
        <f t="shared" si="7"/>
        <v>147836</v>
      </c>
      <c r="K661" s="7">
        <f t="shared" si="3"/>
        <v>147836</v>
      </c>
      <c r="L661" s="7">
        <f t="shared" si="4"/>
        <v>136464</v>
      </c>
      <c r="M661" s="7">
        <f t="shared" si="5"/>
        <v>130778</v>
      </c>
      <c r="N661" s="7">
        <f t="shared" si="6"/>
        <v>125092</v>
      </c>
    </row>
    <row r="662">
      <c r="A662" s="5" t="s">
        <v>1175</v>
      </c>
      <c r="B662" s="6"/>
      <c r="C662" s="5" t="s">
        <v>1323</v>
      </c>
      <c r="D662" s="5" t="s">
        <v>1326</v>
      </c>
      <c r="E662" s="5" t="s">
        <v>1327</v>
      </c>
      <c r="F662" s="6"/>
      <c r="G662" s="8">
        <v>132970.0</v>
      </c>
      <c r="H662" s="5" t="s">
        <v>22</v>
      </c>
      <c r="I662" s="7">
        <f t="shared" si="1"/>
        <v>199455</v>
      </c>
      <c r="J662" s="7">
        <f t="shared" si="7"/>
        <v>172861</v>
      </c>
      <c r="K662" s="7">
        <f t="shared" si="3"/>
        <v>172861</v>
      </c>
      <c r="L662" s="7">
        <f t="shared" si="4"/>
        <v>159564</v>
      </c>
      <c r="M662" s="7">
        <f t="shared" si="5"/>
        <v>152915.5</v>
      </c>
      <c r="N662" s="7">
        <f t="shared" si="6"/>
        <v>146267</v>
      </c>
    </row>
    <row r="663">
      <c r="A663" s="5" t="s">
        <v>1175</v>
      </c>
      <c r="B663" s="6"/>
      <c r="C663" s="5" t="s">
        <v>1323</v>
      </c>
      <c r="D663" s="5" t="s">
        <v>1328</v>
      </c>
      <c r="E663" s="5" t="s">
        <v>1329</v>
      </c>
      <c r="F663" s="6"/>
      <c r="G663" s="8">
        <v>183130.0</v>
      </c>
      <c r="H663" s="5" t="s">
        <v>22</v>
      </c>
      <c r="I663" s="7">
        <f t="shared" si="1"/>
        <v>274695</v>
      </c>
      <c r="J663" s="7">
        <f t="shared" si="7"/>
        <v>238069</v>
      </c>
      <c r="K663" s="7">
        <f t="shared" si="3"/>
        <v>238069</v>
      </c>
      <c r="L663" s="7">
        <f t="shared" si="4"/>
        <v>219756</v>
      </c>
      <c r="M663" s="7">
        <f t="shared" si="5"/>
        <v>210599.5</v>
      </c>
      <c r="N663" s="7">
        <f t="shared" si="6"/>
        <v>201443</v>
      </c>
    </row>
    <row r="664">
      <c r="A664" s="5" t="s">
        <v>1175</v>
      </c>
      <c r="B664" s="6"/>
      <c r="C664" s="5" t="s">
        <v>1323</v>
      </c>
      <c r="D664" s="5" t="s">
        <v>1330</v>
      </c>
      <c r="E664" s="5" t="s">
        <v>1331</v>
      </c>
      <c r="F664" s="6"/>
      <c r="G664" s="8">
        <v>39070.0</v>
      </c>
      <c r="H664" s="5" t="s">
        <v>22</v>
      </c>
      <c r="I664" s="7">
        <f t="shared" si="1"/>
        <v>58605</v>
      </c>
      <c r="J664" s="7">
        <f t="shared" si="7"/>
        <v>50791</v>
      </c>
      <c r="K664" s="7">
        <f t="shared" si="3"/>
        <v>50791</v>
      </c>
      <c r="L664" s="7">
        <f t="shared" si="4"/>
        <v>46884</v>
      </c>
      <c r="M664" s="7">
        <f t="shared" si="5"/>
        <v>44930.5</v>
      </c>
      <c r="N664" s="7">
        <f t="shared" si="6"/>
        <v>42977</v>
      </c>
    </row>
    <row r="665">
      <c r="A665" s="5" t="s">
        <v>1175</v>
      </c>
      <c r="B665" s="6"/>
      <c r="C665" s="5" t="s">
        <v>1332</v>
      </c>
      <c r="D665" s="5" t="s">
        <v>1333</v>
      </c>
      <c r="E665" s="5" t="s">
        <v>1334</v>
      </c>
      <c r="F665" s="6"/>
      <c r="G665" s="8">
        <v>173540.0</v>
      </c>
      <c r="H665" s="5" t="s">
        <v>22</v>
      </c>
      <c r="I665" s="7">
        <f t="shared" si="1"/>
        <v>260310</v>
      </c>
      <c r="J665" s="7">
        <f t="shared" si="7"/>
        <v>225602</v>
      </c>
      <c r="K665" s="7">
        <f t="shared" si="3"/>
        <v>225602</v>
      </c>
      <c r="L665" s="7">
        <f t="shared" si="4"/>
        <v>208248</v>
      </c>
      <c r="M665" s="7">
        <f t="shared" si="5"/>
        <v>199571</v>
      </c>
      <c r="N665" s="7">
        <f t="shared" si="6"/>
        <v>190894</v>
      </c>
    </row>
    <row r="666">
      <c r="A666" s="5" t="s">
        <v>1175</v>
      </c>
      <c r="B666" s="6"/>
      <c r="C666" s="5" t="s">
        <v>1332</v>
      </c>
      <c r="D666" s="5" t="s">
        <v>1335</v>
      </c>
      <c r="E666" s="5" t="s">
        <v>1336</v>
      </c>
      <c r="F666" s="6"/>
      <c r="G666" s="8">
        <v>225930.0</v>
      </c>
      <c r="H666" s="5" t="s">
        <v>22</v>
      </c>
      <c r="I666" s="7">
        <f t="shared" si="1"/>
        <v>338895</v>
      </c>
      <c r="J666" s="7">
        <f t="shared" si="7"/>
        <v>293709</v>
      </c>
      <c r="K666" s="7">
        <f t="shared" si="3"/>
        <v>293709</v>
      </c>
      <c r="L666" s="7">
        <f t="shared" si="4"/>
        <v>271116</v>
      </c>
      <c r="M666" s="7">
        <f t="shared" si="5"/>
        <v>259819.5</v>
      </c>
      <c r="N666" s="7">
        <f t="shared" si="6"/>
        <v>248523</v>
      </c>
    </row>
    <row r="667">
      <c r="A667" s="5" t="s">
        <v>1337</v>
      </c>
      <c r="B667" s="5" t="s">
        <v>36</v>
      </c>
      <c r="C667" s="5" t="s">
        <v>1338</v>
      </c>
      <c r="D667" s="5" t="s">
        <v>1339</v>
      </c>
      <c r="E667" s="5" t="s">
        <v>1340</v>
      </c>
      <c r="F667" s="6"/>
      <c r="G667" s="8">
        <v>3596.0</v>
      </c>
      <c r="H667" s="5" t="s">
        <v>22</v>
      </c>
      <c r="I667" s="7">
        <f t="shared" si="1"/>
        <v>5394</v>
      </c>
      <c r="J667" s="7">
        <f t="shared" si="7"/>
        <v>4674.8</v>
      </c>
      <c r="K667" s="7">
        <f t="shared" si="3"/>
        <v>4674.8</v>
      </c>
      <c r="L667" s="7">
        <f t="shared" si="4"/>
        <v>4315.2</v>
      </c>
      <c r="M667" s="7">
        <f t="shared" si="5"/>
        <v>4135.4</v>
      </c>
      <c r="N667" s="7">
        <f t="shared" si="6"/>
        <v>3955.6</v>
      </c>
    </row>
    <row r="668">
      <c r="A668" s="5" t="s">
        <v>1337</v>
      </c>
      <c r="B668" s="5" t="s">
        <v>36</v>
      </c>
      <c r="C668" s="5" t="s">
        <v>1338</v>
      </c>
      <c r="D668" s="5" t="s">
        <v>1341</v>
      </c>
      <c r="E668" s="5" t="s">
        <v>1342</v>
      </c>
      <c r="F668" s="6"/>
      <c r="G668" s="8">
        <v>26141.0</v>
      </c>
      <c r="H668" s="5" t="s">
        <v>22</v>
      </c>
      <c r="I668" s="7">
        <f t="shared" si="1"/>
        <v>39211.5</v>
      </c>
      <c r="J668" s="7">
        <f t="shared" si="7"/>
        <v>33983.3</v>
      </c>
      <c r="K668" s="7">
        <f t="shared" si="3"/>
        <v>33983.3</v>
      </c>
      <c r="L668" s="7">
        <f t="shared" si="4"/>
        <v>31369.2</v>
      </c>
      <c r="M668" s="7">
        <f t="shared" si="5"/>
        <v>30062.15</v>
      </c>
      <c r="N668" s="7">
        <f t="shared" si="6"/>
        <v>28755.1</v>
      </c>
    </row>
    <row r="669">
      <c r="A669" s="5" t="s">
        <v>1337</v>
      </c>
      <c r="B669" s="5" t="s">
        <v>36</v>
      </c>
      <c r="C669" s="5" t="s">
        <v>1338</v>
      </c>
      <c r="D669" s="5" t="s">
        <v>1343</v>
      </c>
      <c r="E669" s="5" t="s">
        <v>1344</v>
      </c>
      <c r="F669" s="6"/>
      <c r="G669" s="8">
        <v>24461.0</v>
      </c>
      <c r="H669" s="5" t="s">
        <v>22</v>
      </c>
      <c r="I669" s="7">
        <f t="shared" si="1"/>
        <v>36691.5</v>
      </c>
      <c r="J669" s="7">
        <f t="shared" si="7"/>
        <v>31799.3</v>
      </c>
      <c r="K669" s="7">
        <f t="shared" si="3"/>
        <v>31799.3</v>
      </c>
      <c r="L669" s="7">
        <f t="shared" si="4"/>
        <v>29353.2</v>
      </c>
      <c r="M669" s="7">
        <f t="shared" si="5"/>
        <v>28130.15</v>
      </c>
      <c r="N669" s="7">
        <f t="shared" si="6"/>
        <v>26907.1</v>
      </c>
    </row>
    <row r="670">
      <c r="A670" s="5" t="s">
        <v>1337</v>
      </c>
      <c r="B670" s="5" t="s">
        <v>36</v>
      </c>
      <c r="C670" s="5" t="s">
        <v>1345</v>
      </c>
      <c r="D670" s="5" t="s">
        <v>1346</v>
      </c>
      <c r="E670" s="5" t="s">
        <v>1347</v>
      </c>
      <c r="F670" s="5" t="s">
        <v>1183</v>
      </c>
      <c r="G670" s="8">
        <v>3024.0</v>
      </c>
      <c r="H670" s="5" t="s">
        <v>22</v>
      </c>
      <c r="I670" s="7">
        <f t="shared" si="1"/>
        <v>4536</v>
      </c>
      <c r="J670" s="7">
        <f t="shared" si="7"/>
        <v>3931.2</v>
      </c>
      <c r="K670" s="7">
        <f t="shared" si="3"/>
        <v>3931.2</v>
      </c>
      <c r="L670" s="7">
        <f t="shared" si="4"/>
        <v>3628.8</v>
      </c>
      <c r="M670" s="7">
        <f t="shared" si="5"/>
        <v>3477.6</v>
      </c>
      <c r="N670" s="7">
        <f t="shared" si="6"/>
        <v>3326.4</v>
      </c>
    </row>
    <row r="671">
      <c r="A671" s="5" t="s">
        <v>1337</v>
      </c>
      <c r="B671" s="5" t="s">
        <v>36</v>
      </c>
      <c r="C671" s="5" t="s">
        <v>1345</v>
      </c>
      <c r="D671" s="5" t="s">
        <v>1348</v>
      </c>
      <c r="E671" s="5" t="s">
        <v>1349</v>
      </c>
      <c r="F671" s="6"/>
      <c r="G671" s="8">
        <v>3764.0</v>
      </c>
      <c r="H671" s="5" t="s">
        <v>22</v>
      </c>
      <c r="I671" s="7">
        <f t="shared" si="1"/>
        <v>5646</v>
      </c>
      <c r="J671" s="7">
        <f t="shared" si="7"/>
        <v>4893.2</v>
      </c>
      <c r="K671" s="7">
        <f t="shared" si="3"/>
        <v>4893.2</v>
      </c>
      <c r="L671" s="7">
        <f t="shared" si="4"/>
        <v>4516.8</v>
      </c>
      <c r="M671" s="7">
        <f t="shared" si="5"/>
        <v>4328.6</v>
      </c>
      <c r="N671" s="7">
        <f t="shared" si="6"/>
        <v>4140.4</v>
      </c>
    </row>
    <row r="672">
      <c r="A672" s="5" t="s">
        <v>1337</v>
      </c>
      <c r="B672" s="5" t="s">
        <v>36</v>
      </c>
      <c r="C672" s="5" t="s">
        <v>1345</v>
      </c>
      <c r="D672" s="5" t="s">
        <v>1350</v>
      </c>
      <c r="E672" s="5" t="s">
        <v>1351</v>
      </c>
      <c r="F672" s="6"/>
      <c r="G672" s="8">
        <v>12735.0</v>
      </c>
      <c r="H672" s="5" t="s">
        <v>22</v>
      </c>
      <c r="I672" s="7">
        <f t="shared" si="1"/>
        <v>19102.5</v>
      </c>
      <c r="J672" s="7">
        <f t="shared" si="7"/>
        <v>16555.5</v>
      </c>
      <c r="K672" s="7">
        <f t="shared" si="3"/>
        <v>16555.5</v>
      </c>
      <c r="L672" s="7">
        <f t="shared" si="4"/>
        <v>15282</v>
      </c>
      <c r="M672" s="7">
        <f t="shared" si="5"/>
        <v>14645.25</v>
      </c>
      <c r="N672" s="7">
        <f t="shared" si="6"/>
        <v>14008.5</v>
      </c>
    </row>
    <row r="673">
      <c r="A673" s="5" t="s">
        <v>1337</v>
      </c>
      <c r="B673" s="5" t="s">
        <v>36</v>
      </c>
      <c r="C673" s="5" t="s">
        <v>1345</v>
      </c>
      <c r="D673" s="5" t="s">
        <v>1352</v>
      </c>
      <c r="E673" s="5" t="s">
        <v>1353</v>
      </c>
      <c r="F673" s="6"/>
      <c r="G673" s="8">
        <v>3024.0</v>
      </c>
      <c r="H673" s="5" t="s">
        <v>22</v>
      </c>
      <c r="I673" s="7">
        <f t="shared" si="1"/>
        <v>4536</v>
      </c>
      <c r="J673" s="7">
        <f t="shared" si="7"/>
        <v>3931.2</v>
      </c>
      <c r="K673" s="7">
        <f t="shared" si="3"/>
        <v>3931.2</v>
      </c>
      <c r="L673" s="7">
        <f t="shared" si="4"/>
        <v>3628.8</v>
      </c>
      <c r="M673" s="7">
        <f t="shared" si="5"/>
        <v>3477.6</v>
      </c>
      <c r="N673" s="7">
        <f t="shared" si="6"/>
        <v>3326.4</v>
      </c>
    </row>
    <row r="674">
      <c r="A674" s="5" t="s">
        <v>1337</v>
      </c>
      <c r="B674" s="5" t="s">
        <v>36</v>
      </c>
      <c r="C674" s="5" t="s">
        <v>1345</v>
      </c>
      <c r="D674" s="5" t="s">
        <v>1354</v>
      </c>
      <c r="E674" s="5" t="s">
        <v>1355</v>
      </c>
      <c r="F674" s="6"/>
      <c r="G674" s="8">
        <v>3024.0</v>
      </c>
      <c r="H674" s="5" t="s">
        <v>22</v>
      </c>
      <c r="I674" s="7">
        <f t="shared" si="1"/>
        <v>4536</v>
      </c>
      <c r="J674" s="7">
        <f t="shared" si="7"/>
        <v>3931.2</v>
      </c>
      <c r="K674" s="7">
        <f t="shared" si="3"/>
        <v>3931.2</v>
      </c>
      <c r="L674" s="7">
        <f t="shared" si="4"/>
        <v>3628.8</v>
      </c>
      <c r="M674" s="7">
        <f t="shared" si="5"/>
        <v>3477.6</v>
      </c>
      <c r="N674" s="7">
        <f t="shared" si="6"/>
        <v>3326.4</v>
      </c>
    </row>
    <row r="675">
      <c r="A675" s="5" t="s">
        <v>1337</v>
      </c>
      <c r="B675" s="5" t="s">
        <v>36</v>
      </c>
      <c r="C675" s="5" t="s">
        <v>1345</v>
      </c>
      <c r="D675" s="5" t="s">
        <v>1356</v>
      </c>
      <c r="E675" s="5" t="s">
        <v>1357</v>
      </c>
      <c r="F675" s="6"/>
      <c r="G675" s="8">
        <v>3932.0</v>
      </c>
      <c r="H675" s="5" t="s">
        <v>22</v>
      </c>
      <c r="I675" s="7">
        <f t="shared" si="1"/>
        <v>5898</v>
      </c>
      <c r="J675" s="7">
        <f t="shared" si="7"/>
        <v>5111.6</v>
      </c>
      <c r="K675" s="7">
        <f t="shared" si="3"/>
        <v>5111.6</v>
      </c>
      <c r="L675" s="7">
        <f t="shared" si="4"/>
        <v>4718.4</v>
      </c>
      <c r="M675" s="7">
        <f t="shared" si="5"/>
        <v>4521.8</v>
      </c>
      <c r="N675" s="7">
        <f t="shared" si="6"/>
        <v>4325.2</v>
      </c>
    </row>
    <row r="676">
      <c r="A676" s="5" t="s">
        <v>1337</v>
      </c>
      <c r="B676" s="5" t="s">
        <v>36</v>
      </c>
      <c r="C676" s="5" t="s">
        <v>1345</v>
      </c>
      <c r="D676" s="5" t="s">
        <v>1358</v>
      </c>
      <c r="E676" s="5" t="s">
        <v>1359</v>
      </c>
      <c r="F676" s="6"/>
      <c r="G676" s="8">
        <v>4100.0</v>
      </c>
      <c r="H676" s="5" t="s">
        <v>22</v>
      </c>
      <c r="I676" s="7">
        <f t="shared" si="1"/>
        <v>6150</v>
      </c>
      <c r="J676" s="7">
        <f t="shared" si="7"/>
        <v>5330</v>
      </c>
      <c r="K676" s="7">
        <f t="shared" si="3"/>
        <v>5330</v>
      </c>
      <c r="L676" s="7">
        <f t="shared" si="4"/>
        <v>4920</v>
      </c>
      <c r="M676" s="7">
        <f t="shared" si="5"/>
        <v>4715</v>
      </c>
      <c r="N676" s="7">
        <f t="shared" si="6"/>
        <v>4510</v>
      </c>
    </row>
    <row r="677">
      <c r="A677" s="5" t="s">
        <v>1337</v>
      </c>
      <c r="B677" s="5" t="s">
        <v>36</v>
      </c>
      <c r="C677" s="5" t="s">
        <v>1345</v>
      </c>
      <c r="D677" s="5" t="s">
        <v>1360</v>
      </c>
      <c r="E677" s="5" t="s">
        <v>1361</v>
      </c>
      <c r="F677" s="6"/>
      <c r="G677" s="8">
        <v>3024.0</v>
      </c>
      <c r="H677" s="5" t="s">
        <v>22</v>
      </c>
      <c r="I677" s="7">
        <f t="shared" si="1"/>
        <v>4536</v>
      </c>
      <c r="J677" s="7">
        <f t="shared" si="7"/>
        <v>3931.2</v>
      </c>
      <c r="K677" s="7">
        <f t="shared" si="3"/>
        <v>3931.2</v>
      </c>
      <c r="L677" s="7">
        <f t="shared" si="4"/>
        <v>3628.8</v>
      </c>
      <c r="M677" s="7">
        <f t="shared" si="5"/>
        <v>3477.6</v>
      </c>
      <c r="N677" s="7">
        <f t="shared" si="6"/>
        <v>3326.4</v>
      </c>
    </row>
    <row r="678">
      <c r="A678" s="5" t="s">
        <v>1337</v>
      </c>
      <c r="B678" s="5" t="s">
        <v>36</v>
      </c>
      <c r="C678" s="5" t="s">
        <v>1345</v>
      </c>
      <c r="D678" s="5" t="s">
        <v>1362</v>
      </c>
      <c r="E678" s="5" t="s">
        <v>1363</v>
      </c>
      <c r="F678" s="6"/>
      <c r="G678" s="8">
        <v>3360.0</v>
      </c>
      <c r="H678" s="5" t="s">
        <v>22</v>
      </c>
      <c r="I678" s="7">
        <f t="shared" si="1"/>
        <v>5040</v>
      </c>
      <c r="J678" s="7">
        <f t="shared" si="7"/>
        <v>4368</v>
      </c>
      <c r="K678" s="7">
        <f t="shared" si="3"/>
        <v>4368</v>
      </c>
      <c r="L678" s="7">
        <f t="shared" si="4"/>
        <v>4032</v>
      </c>
      <c r="M678" s="7">
        <f t="shared" si="5"/>
        <v>3864</v>
      </c>
      <c r="N678" s="7">
        <f t="shared" si="6"/>
        <v>3696</v>
      </c>
    </row>
    <row r="679">
      <c r="A679" s="5" t="s">
        <v>1337</v>
      </c>
      <c r="B679" s="5" t="s">
        <v>36</v>
      </c>
      <c r="C679" s="5" t="s">
        <v>1345</v>
      </c>
      <c r="D679" s="5" t="s">
        <v>1364</v>
      </c>
      <c r="E679" s="5" t="s">
        <v>1365</v>
      </c>
      <c r="F679" s="6"/>
      <c r="G679" s="8">
        <v>2856.0</v>
      </c>
      <c r="H679" s="5" t="s">
        <v>22</v>
      </c>
      <c r="I679" s="7">
        <f t="shared" si="1"/>
        <v>4284</v>
      </c>
      <c r="J679" s="7">
        <f t="shared" si="7"/>
        <v>3712.8</v>
      </c>
      <c r="K679" s="7">
        <f t="shared" si="3"/>
        <v>3712.8</v>
      </c>
      <c r="L679" s="7">
        <f t="shared" si="4"/>
        <v>3427.2</v>
      </c>
      <c r="M679" s="7">
        <f t="shared" si="5"/>
        <v>3284.4</v>
      </c>
      <c r="N679" s="7">
        <f t="shared" si="6"/>
        <v>3141.6</v>
      </c>
    </row>
    <row r="680">
      <c r="A680" s="5" t="s">
        <v>1337</v>
      </c>
      <c r="B680" s="5" t="s">
        <v>36</v>
      </c>
      <c r="C680" s="5" t="s">
        <v>1345</v>
      </c>
      <c r="D680" s="5" t="s">
        <v>1366</v>
      </c>
      <c r="E680" s="5" t="s">
        <v>1367</v>
      </c>
      <c r="F680" s="6"/>
      <c r="G680" s="8">
        <v>2856.0</v>
      </c>
      <c r="H680" s="5" t="s">
        <v>22</v>
      </c>
      <c r="I680" s="7">
        <f t="shared" si="1"/>
        <v>4284</v>
      </c>
      <c r="J680" s="7">
        <f t="shared" si="7"/>
        <v>3712.8</v>
      </c>
      <c r="K680" s="7">
        <f t="shared" si="3"/>
        <v>3712.8</v>
      </c>
      <c r="L680" s="7">
        <f t="shared" si="4"/>
        <v>3427.2</v>
      </c>
      <c r="M680" s="7">
        <f t="shared" si="5"/>
        <v>3284.4</v>
      </c>
      <c r="N680" s="7">
        <f t="shared" si="6"/>
        <v>3141.6</v>
      </c>
    </row>
    <row r="681">
      <c r="A681" s="5" t="s">
        <v>1337</v>
      </c>
      <c r="B681" s="5" t="s">
        <v>36</v>
      </c>
      <c r="C681" s="5" t="s">
        <v>1345</v>
      </c>
      <c r="D681" s="5" t="s">
        <v>1368</v>
      </c>
      <c r="E681" s="5" t="s">
        <v>1369</v>
      </c>
      <c r="F681" s="6"/>
      <c r="G681" s="8">
        <v>3159.0</v>
      </c>
      <c r="H681" s="5" t="s">
        <v>22</v>
      </c>
      <c r="I681" s="7">
        <f t="shared" si="1"/>
        <v>4738.5</v>
      </c>
      <c r="J681" s="7">
        <f t="shared" si="7"/>
        <v>4106.7</v>
      </c>
      <c r="K681" s="7">
        <f t="shared" si="3"/>
        <v>4106.7</v>
      </c>
      <c r="L681" s="7">
        <f t="shared" si="4"/>
        <v>3790.8</v>
      </c>
      <c r="M681" s="7">
        <f t="shared" si="5"/>
        <v>3632.85</v>
      </c>
      <c r="N681" s="7">
        <f t="shared" si="6"/>
        <v>3474.9</v>
      </c>
    </row>
    <row r="682">
      <c r="A682" s="5" t="s">
        <v>1337</v>
      </c>
      <c r="B682" s="5" t="s">
        <v>36</v>
      </c>
      <c r="C682" s="5" t="s">
        <v>1345</v>
      </c>
      <c r="D682" s="5" t="s">
        <v>1370</v>
      </c>
      <c r="E682" s="5" t="s">
        <v>1371</v>
      </c>
      <c r="F682" s="6"/>
      <c r="G682" s="8">
        <v>3545.0</v>
      </c>
      <c r="H682" s="5" t="s">
        <v>22</v>
      </c>
      <c r="I682" s="7">
        <f t="shared" si="1"/>
        <v>5317.5</v>
      </c>
      <c r="J682" s="7">
        <f t="shared" si="7"/>
        <v>4608.5</v>
      </c>
      <c r="K682" s="7">
        <f t="shared" si="3"/>
        <v>4608.5</v>
      </c>
      <c r="L682" s="7">
        <f t="shared" si="4"/>
        <v>4254</v>
      </c>
      <c r="M682" s="7">
        <f t="shared" si="5"/>
        <v>4076.75</v>
      </c>
      <c r="N682" s="7">
        <f t="shared" si="6"/>
        <v>3899.5</v>
      </c>
    </row>
    <row r="683">
      <c r="A683" s="5" t="s">
        <v>1337</v>
      </c>
      <c r="B683" s="5" t="s">
        <v>1372</v>
      </c>
      <c r="C683" s="6"/>
      <c r="D683" s="5" t="s">
        <v>1373</v>
      </c>
      <c r="E683" s="5" t="s">
        <v>1374</v>
      </c>
      <c r="F683" s="6"/>
      <c r="G683" s="8">
        <v>15120.0</v>
      </c>
      <c r="H683" s="5" t="s">
        <v>22</v>
      </c>
      <c r="I683" s="7">
        <f t="shared" si="1"/>
        <v>22680</v>
      </c>
      <c r="J683" s="7">
        <f t="shared" si="7"/>
        <v>19656</v>
      </c>
      <c r="K683" s="7">
        <f t="shared" si="3"/>
        <v>19656</v>
      </c>
      <c r="L683" s="7">
        <f t="shared" si="4"/>
        <v>18144</v>
      </c>
      <c r="M683" s="7">
        <f t="shared" si="5"/>
        <v>17388</v>
      </c>
      <c r="N683" s="7">
        <f t="shared" si="6"/>
        <v>16632</v>
      </c>
    </row>
    <row r="684">
      <c r="A684" s="5" t="s">
        <v>1337</v>
      </c>
      <c r="B684" s="5" t="s">
        <v>1372</v>
      </c>
      <c r="C684" s="6"/>
      <c r="D684" s="5" t="s">
        <v>1375</v>
      </c>
      <c r="E684" s="5" t="s">
        <v>1376</v>
      </c>
      <c r="F684" s="6"/>
      <c r="G684" s="8">
        <v>15120.0</v>
      </c>
      <c r="H684" s="5" t="s">
        <v>22</v>
      </c>
      <c r="I684" s="7">
        <f t="shared" si="1"/>
        <v>22680</v>
      </c>
      <c r="J684" s="7">
        <f t="shared" si="7"/>
        <v>19656</v>
      </c>
      <c r="K684" s="7">
        <f t="shared" si="3"/>
        <v>19656</v>
      </c>
      <c r="L684" s="7">
        <f t="shared" si="4"/>
        <v>18144</v>
      </c>
      <c r="M684" s="7">
        <f t="shared" si="5"/>
        <v>17388</v>
      </c>
      <c r="N684" s="7">
        <f t="shared" si="6"/>
        <v>16632</v>
      </c>
    </row>
    <row r="685">
      <c r="A685" s="5" t="s">
        <v>1337</v>
      </c>
      <c r="B685" s="5" t="s">
        <v>1372</v>
      </c>
      <c r="C685" s="6"/>
      <c r="D685" s="5" t="s">
        <v>1377</v>
      </c>
      <c r="E685" s="5" t="s">
        <v>1378</v>
      </c>
      <c r="F685" s="6"/>
      <c r="G685" s="8">
        <v>8904.0</v>
      </c>
      <c r="H685" s="5" t="s">
        <v>22</v>
      </c>
      <c r="I685" s="7">
        <f t="shared" si="1"/>
        <v>13356</v>
      </c>
      <c r="J685" s="7">
        <f t="shared" si="7"/>
        <v>11575.2</v>
      </c>
      <c r="K685" s="7">
        <f t="shared" si="3"/>
        <v>11575.2</v>
      </c>
      <c r="L685" s="7">
        <f t="shared" si="4"/>
        <v>10684.8</v>
      </c>
      <c r="M685" s="7">
        <f t="shared" si="5"/>
        <v>10239.6</v>
      </c>
      <c r="N685" s="7">
        <f t="shared" si="6"/>
        <v>9794.4</v>
      </c>
    </row>
    <row r="686">
      <c r="A686" s="5" t="s">
        <v>1337</v>
      </c>
      <c r="B686" s="5" t="s">
        <v>1372</v>
      </c>
      <c r="C686" s="6"/>
      <c r="D686" s="5" t="s">
        <v>1379</v>
      </c>
      <c r="E686" s="5" t="s">
        <v>1380</v>
      </c>
      <c r="F686" s="6"/>
      <c r="G686" s="8">
        <v>7224.0</v>
      </c>
      <c r="H686" s="5" t="s">
        <v>22</v>
      </c>
      <c r="I686" s="7">
        <f t="shared" si="1"/>
        <v>10836</v>
      </c>
      <c r="J686" s="7">
        <f t="shared" si="7"/>
        <v>9391.2</v>
      </c>
      <c r="K686" s="7">
        <f t="shared" si="3"/>
        <v>9391.2</v>
      </c>
      <c r="L686" s="7">
        <f t="shared" si="4"/>
        <v>8668.8</v>
      </c>
      <c r="M686" s="7">
        <f t="shared" si="5"/>
        <v>8307.6</v>
      </c>
      <c r="N686" s="7">
        <f t="shared" si="6"/>
        <v>7946.4</v>
      </c>
    </row>
    <row r="687">
      <c r="A687" s="5" t="s">
        <v>1337</v>
      </c>
      <c r="B687" s="5" t="s">
        <v>1372</v>
      </c>
      <c r="C687" s="6"/>
      <c r="D687" s="5" t="s">
        <v>1381</v>
      </c>
      <c r="E687" s="5" t="s">
        <v>1382</v>
      </c>
      <c r="F687" s="6"/>
      <c r="G687" s="8">
        <v>4368.0</v>
      </c>
      <c r="H687" s="5" t="s">
        <v>22</v>
      </c>
      <c r="I687" s="7">
        <f t="shared" si="1"/>
        <v>6552</v>
      </c>
      <c r="J687" s="7">
        <f t="shared" si="7"/>
        <v>5678.4</v>
      </c>
      <c r="K687" s="7">
        <f t="shared" si="3"/>
        <v>5678.4</v>
      </c>
      <c r="L687" s="7">
        <f t="shared" si="4"/>
        <v>5241.6</v>
      </c>
      <c r="M687" s="7">
        <f t="shared" si="5"/>
        <v>5023.2</v>
      </c>
      <c r="N687" s="7">
        <f t="shared" si="6"/>
        <v>4804.8</v>
      </c>
    </row>
    <row r="688">
      <c r="A688" s="5" t="s">
        <v>1337</v>
      </c>
      <c r="B688" s="5" t="s">
        <v>1372</v>
      </c>
      <c r="C688" s="6"/>
      <c r="D688" s="5" t="s">
        <v>1383</v>
      </c>
      <c r="E688" s="5" t="s">
        <v>1384</v>
      </c>
      <c r="F688" s="6"/>
      <c r="G688" s="8">
        <v>6720.0</v>
      </c>
      <c r="H688" s="5" t="s">
        <v>22</v>
      </c>
      <c r="I688" s="7">
        <f t="shared" si="1"/>
        <v>10080</v>
      </c>
      <c r="J688" s="7">
        <f t="shared" si="7"/>
        <v>8736</v>
      </c>
      <c r="K688" s="7">
        <f t="shared" si="3"/>
        <v>8736</v>
      </c>
      <c r="L688" s="7">
        <f t="shared" si="4"/>
        <v>8064</v>
      </c>
      <c r="M688" s="7">
        <f t="shared" si="5"/>
        <v>7728</v>
      </c>
      <c r="N688" s="7">
        <f t="shared" si="6"/>
        <v>7392</v>
      </c>
    </row>
    <row r="689">
      <c r="A689" s="5" t="s">
        <v>1337</v>
      </c>
      <c r="B689" s="5" t="s">
        <v>1372</v>
      </c>
      <c r="C689" s="6"/>
      <c r="D689" s="5" t="s">
        <v>1385</v>
      </c>
      <c r="E689" s="5" t="s">
        <v>1386</v>
      </c>
      <c r="F689" s="6"/>
      <c r="G689" s="8">
        <v>1613.0</v>
      </c>
      <c r="H689" s="5" t="s">
        <v>22</v>
      </c>
      <c r="I689" s="7">
        <f t="shared" si="1"/>
        <v>2419.5</v>
      </c>
      <c r="J689" s="7">
        <f t="shared" si="7"/>
        <v>2096.9</v>
      </c>
      <c r="K689" s="7">
        <f t="shared" si="3"/>
        <v>2096.9</v>
      </c>
      <c r="L689" s="7">
        <f t="shared" si="4"/>
        <v>1935.6</v>
      </c>
      <c r="M689" s="7">
        <f t="shared" si="5"/>
        <v>1854.95</v>
      </c>
      <c r="N689" s="7">
        <f t="shared" si="6"/>
        <v>1774.3</v>
      </c>
    </row>
    <row r="690">
      <c r="A690" s="5" t="s">
        <v>1337</v>
      </c>
      <c r="B690" s="5" t="s">
        <v>1372</v>
      </c>
      <c r="C690" s="6"/>
      <c r="D690" s="5" t="s">
        <v>1387</v>
      </c>
      <c r="E690" s="5" t="s">
        <v>1388</v>
      </c>
      <c r="F690" s="6"/>
      <c r="G690" s="5">
        <v>639.0</v>
      </c>
      <c r="H690" s="5" t="s">
        <v>22</v>
      </c>
      <c r="I690" s="7">
        <f t="shared" si="1"/>
        <v>958.5</v>
      </c>
      <c r="J690" s="7">
        <f t="shared" si="7"/>
        <v>830.7</v>
      </c>
      <c r="K690" s="7">
        <f t="shared" si="3"/>
        <v>830.7</v>
      </c>
      <c r="L690" s="7">
        <f t="shared" si="4"/>
        <v>766.8</v>
      </c>
      <c r="M690" s="7">
        <f t="shared" si="5"/>
        <v>734.85</v>
      </c>
      <c r="N690" s="7">
        <f t="shared" si="6"/>
        <v>702.9</v>
      </c>
    </row>
    <row r="691">
      <c r="A691" s="5" t="s">
        <v>1337</v>
      </c>
      <c r="B691" s="5" t="s">
        <v>1372</v>
      </c>
      <c r="C691" s="6"/>
      <c r="D691" s="5" t="s">
        <v>1389</v>
      </c>
      <c r="E691" s="5" t="s">
        <v>1390</v>
      </c>
      <c r="F691" s="6"/>
      <c r="G691" s="8">
        <v>1109.0</v>
      </c>
      <c r="H691" s="5" t="s">
        <v>22</v>
      </c>
      <c r="I691" s="7">
        <f t="shared" si="1"/>
        <v>1663.5</v>
      </c>
      <c r="J691" s="7">
        <f t="shared" si="7"/>
        <v>1441.7</v>
      </c>
      <c r="K691" s="7">
        <f t="shared" si="3"/>
        <v>1441.7</v>
      </c>
      <c r="L691" s="7">
        <f t="shared" si="4"/>
        <v>1330.8</v>
      </c>
      <c r="M691" s="7">
        <f t="shared" si="5"/>
        <v>1275.35</v>
      </c>
      <c r="N691" s="7">
        <f t="shared" si="6"/>
        <v>1219.9</v>
      </c>
    </row>
    <row r="692">
      <c r="A692" s="5" t="s">
        <v>1337</v>
      </c>
      <c r="B692" s="5" t="s">
        <v>36</v>
      </c>
      <c r="C692" s="5" t="s">
        <v>1345</v>
      </c>
      <c r="D692" s="5" t="s">
        <v>1391</v>
      </c>
      <c r="E692" s="5" t="s">
        <v>1392</v>
      </c>
      <c r="F692" s="6"/>
      <c r="G692" s="5">
        <v>683.0</v>
      </c>
      <c r="H692" s="5" t="s">
        <v>22</v>
      </c>
      <c r="I692" s="7">
        <f t="shared" si="1"/>
        <v>1024.5</v>
      </c>
      <c r="J692" s="7">
        <f t="shared" si="7"/>
        <v>887.9</v>
      </c>
      <c r="K692" s="7">
        <f t="shared" si="3"/>
        <v>887.9</v>
      </c>
      <c r="L692" s="7">
        <f t="shared" si="4"/>
        <v>819.6</v>
      </c>
      <c r="M692" s="7">
        <f t="shared" si="5"/>
        <v>785.45</v>
      </c>
      <c r="N692" s="7">
        <f t="shared" si="6"/>
        <v>751.3</v>
      </c>
    </row>
    <row r="693">
      <c r="A693" s="5" t="s">
        <v>1337</v>
      </c>
      <c r="B693" s="5" t="s">
        <v>36</v>
      </c>
      <c r="C693" s="6"/>
      <c r="D693" s="5" t="s">
        <v>1393</v>
      </c>
      <c r="E693" s="5" t="s">
        <v>1394</v>
      </c>
      <c r="F693" s="6"/>
      <c r="G693" s="8">
        <v>28560.0</v>
      </c>
      <c r="H693" s="5" t="s">
        <v>22</v>
      </c>
      <c r="I693" s="7">
        <f t="shared" si="1"/>
        <v>42840</v>
      </c>
      <c r="J693" s="7">
        <f t="shared" si="7"/>
        <v>37128</v>
      </c>
      <c r="K693" s="7">
        <f t="shared" si="3"/>
        <v>37128</v>
      </c>
      <c r="L693" s="7">
        <f t="shared" si="4"/>
        <v>34272</v>
      </c>
      <c r="M693" s="7">
        <f t="shared" si="5"/>
        <v>32844</v>
      </c>
      <c r="N693" s="7">
        <f t="shared" si="6"/>
        <v>31416</v>
      </c>
    </row>
    <row r="694">
      <c r="A694" s="5" t="s">
        <v>1337</v>
      </c>
      <c r="B694" s="5" t="s">
        <v>1395</v>
      </c>
      <c r="C694" s="6"/>
      <c r="D694" s="5" t="s">
        <v>1396</v>
      </c>
      <c r="E694" s="5" t="s">
        <v>1397</v>
      </c>
      <c r="F694" s="6"/>
      <c r="G694" s="8">
        <v>122170.0</v>
      </c>
      <c r="H694" s="5" t="s">
        <v>22</v>
      </c>
      <c r="I694" s="7">
        <f t="shared" si="1"/>
        <v>183255</v>
      </c>
      <c r="J694" s="7">
        <f t="shared" si="7"/>
        <v>158821</v>
      </c>
      <c r="K694" s="7">
        <f t="shared" si="3"/>
        <v>158821</v>
      </c>
      <c r="L694" s="7">
        <f t="shared" si="4"/>
        <v>146604</v>
      </c>
      <c r="M694" s="7">
        <f t="shared" si="5"/>
        <v>140495.5</v>
      </c>
      <c r="N694" s="7">
        <f t="shared" si="6"/>
        <v>134387</v>
      </c>
    </row>
    <row r="695">
      <c r="A695" s="5" t="s">
        <v>1337</v>
      </c>
      <c r="B695" s="5" t="s">
        <v>1395</v>
      </c>
      <c r="C695" s="6"/>
      <c r="D695" s="5" t="s">
        <v>1398</v>
      </c>
      <c r="E695" s="5" t="s">
        <v>1399</v>
      </c>
      <c r="F695" s="6"/>
      <c r="G695" s="8">
        <v>19152.0</v>
      </c>
      <c r="H695" s="5" t="s">
        <v>22</v>
      </c>
      <c r="I695" s="7">
        <f t="shared" si="1"/>
        <v>28728</v>
      </c>
      <c r="J695" s="7">
        <f t="shared" si="7"/>
        <v>24897.6</v>
      </c>
      <c r="K695" s="7">
        <f t="shared" si="3"/>
        <v>24897.6</v>
      </c>
      <c r="L695" s="7">
        <f t="shared" si="4"/>
        <v>22982.4</v>
      </c>
      <c r="M695" s="7">
        <f t="shared" si="5"/>
        <v>22024.8</v>
      </c>
      <c r="N695" s="7">
        <f t="shared" si="6"/>
        <v>21067.2</v>
      </c>
    </row>
    <row r="696">
      <c r="A696" s="5" t="s">
        <v>1337</v>
      </c>
      <c r="B696" s="5" t="s">
        <v>36</v>
      </c>
      <c r="C696" s="5" t="s">
        <v>1338</v>
      </c>
      <c r="D696" s="5" t="s">
        <v>1400</v>
      </c>
      <c r="E696" s="5" t="s">
        <v>1401</v>
      </c>
      <c r="F696" s="6"/>
      <c r="G696" s="8">
        <v>45360.0</v>
      </c>
      <c r="H696" s="5" t="s">
        <v>22</v>
      </c>
      <c r="I696" s="7">
        <f t="shared" si="1"/>
        <v>68040</v>
      </c>
      <c r="J696" s="7">
        <f t="shared" si="7"/>
        <v>58968</v>
      </c>
      <c r="K696" s="7">
        <f t="shared" si="3"/>
        <v>58968</v>
      </c>
      <c r="L696" s="7">
        <f t="shared" si="4"/>
        <v>54432</v>
      </c>
      <c r="M696" s="7">
        <f t="shared" si="5"/>
        <v>52164</v>
      </c>
      <c r="N696" s="7">
        <f t="shared" si="6"/>
        <v>49896</v>
      </c>
    </row>
    <row r="697">
      <c r="A697" s="5" t="s">
        <v>1337</v>
      </c>
      <c r="B697" s="5" t="s">
        <v>36</v>
      </c>
      <c r="C697" s="5" t="s">
        <v>1338</v>
      </c>
      <c r="D697" s="5" t="s">
        <v>1402</v>
      </c>
      <c r="E697" s="5" t="s">
        <v>1403</v>
      </c>
      <c r="F697" s="6"/>
      <c r="G697" s="8">
        <v>7560.0</v>
      </c>
      <c r="H697" s="5" t="s">
        <v>22</v>
      </c>
      <c r="I697" s="7">
        <f t="shared" si="1"/>
        <v>11340</v>
      </c>
      <c r="J697" s="7">
        <f t="shared" si="7"/>
        <v>9828</v>
      </c>
      <c r="K697" s="7">
        <f t="shared" si="3"/>
        <v>9828</v>
      </c>
      <c r="L697" s="7">
        <f t="shared" si="4"/>
        <v>9072</v>
      </c>
      <c r="M697" s="7">
        <f t="shared" si="5"/>
        <v>8694</v>
      </c>
      <c r="N697" s="7">
        <f t="shared" si="6"/>
        <v>8316</v>
      </c>
    </row>
    <row r="698">
      <c r="A698" s="5" t="s">
        <v>1337</v>
      </c>
      <c r="B698" s="5" t="s">
        <v>1404</v>
      </c>
      <c r="C698" s="6"/>
      <c r="D698" s="5" t="s">
        <v>1405</v>
      </c>
      <c r="E698" s="5" t="s">
        <v>1406</v>
      </c>
      <c r="F698" s="6"/>
      <c r="G698" s="8">
        <v>62496.0</v>
      </c>
      <c r="H698" s="5" t="s">
        <v>22</v>
      </c>
      <c r="I698" s="7">
        <f t="shared" si="1"/>
        <v>93744</v>
      </c>
      <c r="J698" s="7">
        <f t="shared" si="7"/>
        <v>81244.8</v>
      </c>
      <c r="K698" s="7">
        <f t="shared" si="3"/>
        <v>81244.8</v>
      </c>
      <c r="L698" s="7">
        <f t="shared" si="4"/>
        <v>74995.2</v>
      </c>
      <c r="M698" s="7">
        <f t="shared" si="5"/>
        <v>71870.4</v>
      </c>
      <c r="N698" s="7">
        <f t="shared" si="6"/>
        <v>68745.6</v>
      </c>
    </row>
    <row r="699">
      <c r="A699" s="5" t="s">
        <v>1337</v>
      </c>
      <c r="B699" s="5" t="s">
        <v>36</v>
      </c>
      <c r="C699" s="5" t="s">
        <v>1338</v>
      </c>
      <c r="D699" s="5" t="s">
        <v>1407</v>
      </c>
      <c r="E699" s="5" t="s">
        <v>1408</v>
      </c>
      <c r="F699" s="6"/>
      <c r="G699" s="8">
        <v>53088.0</v>
      </c>
      <c r="H699" s="5" t="s">
        <v>22</v>
      </c>
      <c r="I699" s="7">
        <f t="shared" si="1"/>
        <v>79632</v>
      </c>
      <c r="J699" s="7">
        <f t="shared" si="7"/>
        <v>69014.4</v>
      </c>
      <c r="K699" s="7">
        <f t="shared" si="3"/>
        <v>69014.4</v>
      </c>
      <c r="L699" s="7">
        <f t="shared" si="4"/>
        <v>63705.6</v>
      </c>
      <c r="M699" s="7">
        <f t="shared" si="5"/>
        <v>61051.2</v>
      </c>
      <c r="N699" s="7">
        <f t="shared" si="6"/>
        <v>58396.8</v>
      </c>
    </row>
    <row r="700">
      <c r="A700" s="5" t="s">
        <v>1337</v>
      </c>
      <c r="B700" s="5" t="s">
        <v>197</v>
      </c>
      <c r="C700" s="5" t="s">
        <v>1409</v>
      </c>
      <c r="D700" s="5" t="s">
        <v>1410</v>
      </c>
      <c r="E700" s="5" t="s">
        <v>1411</v>
      </c>
      <c r="F700" s="6"/>
      <c r="G700" s="8">
        <v>5712.0</v>
      </c>
      <c r="H700" s="5" t="s">
        <v>22</v>
      </c>
      <c r="I700" s="7">
        <f t="shared" si="1"/>
        <v>8568</v>
      </c>
      <c r="J700" s="7">
        <f t="shared" si="7"/>
        <v>7425.6</v>
      </c>
      <c r="K700" s="7">
        <f t="shared" si="3"/>
        <v>7425.6</v>
      </c>
      <c r="L700" s="7">
        <f t="shared" si="4"/>
        <v>6854.4</v>
      </c>
      <c r="M700" s="7">
        <f t="shared" si="5"/>
        <v>6568.8</v>
      </c>
      <c r="N700" s="7">
        <f t="shared" si="6"/>
        <v>6283.2</v>
      </c>
    </row>
    <row r="701">
      <c r="A701" s="5" t="s">
        <v>1337</v>
      </c>
      <c r="B701" s="5" t="s">
        <v>36</v>
      </c>
      <c r="C701" s="5" t="s">
        <v>1345</v>
      </c>
      <c r="D701" s="5" t="s">
        <v>1412</v>
      </c>
      <c r="E701" s="5" t="s">
        <v>1413</v>
      </c>
      <c r="F701" s="6"/>
      <c r="G701" s="8">
        <v>5712.0</v>
      </c>
      <c r="H701" s="5" t="s">
        <v>22</v>
      </c>
      <c r="I701" s="7">
        <f t="shared" si="1"/>
        <v>8568</v>
      </c>
      <c r="J701" s="7">
        <f t="shared" si="7"/>
        <v>7425.6</v>
      </c>
      <c r="K701" s="7">
        <f t="shared" si="3"/>
        <v>7425.6</v>
      </c>
      <c r="L701" s="7">
        <f t="shared" si="4"/>
        <v>6854.4</v>
      </c>
      <c r="M701" s="7">
        <f t="shared" si="5"/>
        <v>6568.8</v>
      </c>
      <c r="N701" s="7">
        <f t="shared" si="6"/>
        <v>6283.2</v>
      </c>
    </row>
    <row r="702">
      <c r="A702" s="5" t="s">
        <v>1337</v>
      </c>
      <c r="B702" s="5" t="s">
        <v>36</v>
      </c>
      <c r="C702" s="5" t="s">
        <v>1338</v>
      </c>
      <c r="D702" s="5" t="s">
        <v>1414</v>
      </c>
      <c r="E702" s="5" t="s">
        <v>1415</v>
      </c>
      <c r="F702" s="6"/>
      <c r="G702" s="8">
        <v>55104.0</v>
      </c>
      <c r="H702" s="5" t="s">
        <v>22</v>
      </c>
      <c r="I702" s="7">
        <f t="shared" si="1"/>
        <v>82656</v>
      </c>
      <c r="J702" s="7">
        <f t="shared" si="7"/>
        <v>71635.2</v>
      </c>
      <c r="K702" s="7">
        <f t="shared" si="3"/>
        <v>71635.2</v>
      </c>
      <c r="L702" s="7">
        <f t="shared" si="4"/>
        <v>66124.8</v>
      </c>
      <c r="M702" s="7">
        <f t="shared" si="5"/>
        <v>63369.6</v>
      </c>
      <c r="N702" s="7">
        <f t="shared" si="6"/>
        <v>60614.4</v>
      </c>
    </row>
    <row r="703">
      <c r="A703" s="5" t="s">
        <v>1337</v>
      </c>
      <c r="B703" s="5" t="s">
        <v>36</v>
      </c>
      <c r="C703" s="5" t="s">
        <v>1345</v>
      </c>
      <c r="D703" s="5" t="s">
        <v>1416</v>
      </c>
      <c r="E703" s="5" t="s">
        <v>1417</v>
      </c>
      <c r="F703" s="6"/>
      <c r="G703" s="8">
        <v>5108.0</v>
      </c>
      <c r="H703" s="5" t="s">
        <v>22</v>
      </c>
      <c r="I703" s="7">
        <f t="shared" si="1"/>
        <v>7662</v>
      </c>
      <c r="J703" s="7">
        <f t="shared" si="7"/>
        <v>6640.4</v>
      </c>
      <c r="K703" s="7">
        <f t="shared" si="3"/>
        <v>6640.4</v>
      </c>
      <c r="L703" s="7">
        <f t="shared" si="4"/>
        <v>6129.6</v>
      </c>
      <c r="M703" s="7">
        <f t="shared" si="5"/>
        <v>5874.2</v>
      </c>
      <c r="N703" s="7">
        <f t="shared" si="6"/>
        <v>5618.8</v>
      </c>
    </row>
    <row r="704">
      <c r="A704" s="5" t="s">
        <v>1337</v>
      </c>
      <c r="B704" s="5" t="s">
        <v>36</v>
      </c>
      <c r="C704" s="5" t="s">
        <v>1345</v>
      </c>
      <c r="D704" s="5" t="s">
        <v>1418</v>
      </c>
      <c r="E704" s="5" t="s">
        <v>1419</v>
      </c>
      <c r="F704" s="6"/>
      <c r="G704" s="8">
        <v>14280.0</v>
      </c>
      <c r="H704" s="5" t="s">
        <v>22</v>
      </c>
      <c r="I704" s="7">
        <f t="shared" si="1"/>
        <v>21420</v>
      </c>
      <c r="J704" s="7">
        <f t="shared" si="7"/>
        <v>18564</v>
      </c>
      <c r="K704" s="7">
        <f t="shared" si="3"/>
        <v>18564</v>
      </c>
      <c r="L704" s="7">
        <f t="shared" si="4"/>
        <v>17136</v>
      </c>
      <c r="M704" s="7">
        <f t="shared" si="5"/>
        <v>16422</v>
      </c>
      <c r="N704" s="7">
        <f t="shared" si="6"/>
        <v>15708</v>
      </c>
    </row>
    <row r="705">
      <c r="A705" s="5" t="s">
        <v>1337</v>
      </c>
      <c r="B705" s="5" t="s">
        <v>36</v>
      </c>
      <c r="C705" s="5" t="s">
        <v>1345</v>
      </c>
      <c r="D705" s="5" t="s">
        <v>1420</v>
      </c>
      <c r="E705" s="5" t="s">
        <v>1421</v>
      </c>
      <c r="F705" s="6"/>
      <c r="G705" s="8">
        <v>11760.0</v>
      </c>
      <c r="H705" s="5" t="s">
        <v>22</v>
      </c>
      <c r="I705" s="7">
        <f t="shared" si="1"/>
        <v>17640</v>
      </c>
      <c r="J705" s="7">
        <f t="shared" si="7"/>
        <v>15288</v>
      </c>
      <c r="K705" s="7">
        <f t="shared" si="3"/>
        <v>15288</v>
      </c>
      <c r="L705" s="7">
        <f t="shared" si="4"/>
        <v>14112</v>
      </c>
      <c r="M705" s="7">
        <f t="shared" si="5"/>
        <v>13524</v>
      </c>
      <c r="N705" s="7">
        <f t="shared" si="6"/>
        <v>12936</v>
      </c>
    </row>
    <row r="706">
      <c r="A706" s="5" t="s">
        <v>1337</v>
      </c>
      <c r="B706" s="5" t="s">
        <v>36</v>
      </c>
      <c r="C706" s="5" t="s">
        <v>1345</v>
      </c>
      <c r="D706" s="5" t="s">
        <v>1422</v>
      </c>
      <c r="E706" s="5" t="s">
        <v>1423</v>
      </c>
      <c r="F706" s="6"/>
      <c r="G706" s="8">
        <v>4536.0</v>
      </c>
      <c r="H706" s="5" t="s">
        <v>22</v>
      </c>
      <c r="I706" s="7">
        <f t="shared" si="1"/>
        <v>6804</v>
      </c>
      <c r="J706" s="7">
        <f t="shared" si="7"/>
        <v>5896.8</v>
      </c>
      <c r="K706" s="7">
        <f t="shared" si="3"/>
        <v>5896.8</v>
      </c>
      <c r="L706" s="7">
        <f t="shared" si="4"/>
        <v>5443.2</v>
      </c>
      <c r="M706" s="7">
        <f t="shared" si="5"/>
        <v>5216.4</v>
      </c>
      <c r="N706" s="7">
        <f t="shared" si="6"/>
        <v>4989.6</v>
      </c>
    </row>
    <row r="707">
      <c r="A707" s="5" t="s">
        <v>1337</v>
      </c>
      <c r="B707" s="5" t="s">
        <v>36</v>
      </c>
      <c r="C707" s="5" t="s">
        <v>1345</v>
      </c>
      <c r="D707" s="5" t="s">
        <v>1424</v>
      </c>
      <c r="E707" s="5" t="s">
        <v>1425</v>
      </c>
      <c r="F707" s="6"/>
      <c r="G707" s="8">
        <v>4200.0</v>
      </c>
      <c r="H707" s="5" t="s">
        <v>22</v>
      </c>
      <c r="I707" s="7">
        <f t="shared" si="1"/>
        <v>6300</v>
      </c>
      <c r="J707" s="7">
        <f t="shared" si="7"/>
        <v>5460</v>
      </c>
      <c r="K707" s="7">
        <f t="shared" si="3"/>
        <v>5460</v>
      </c>
      <c r="L707" s="7">
        <f t="shared" si="4"/>
        <v>5040</v>
      </c>
      <c r="M707" s="7">
        <f t="shared" si="5"/>
        <v>4830</v>
      </c>
      <c r="N707" s="7">
        <f t="shared" si="6"/>
        <v>4620</v>
      </c>
    </row>
    <row r="708">
      <c r="A708" s="5" t="s">
        <v>1337</v>
      </c>
      <c r="B708" s="5" t="s">
        <v>36</v>
      </c>
      <c r="C708" s="5" t="s">
        <v>1345</v>
      </c>
      <c r="D708" s="5" t="s">
        <v>1426</v>
      </c>
      <c r="E708" s="5" t="s">
        <v>1427</v>
      </c>
      <c r="F708" s="6"/>
      <c r="G708" s="8">
        <v>5208.0</v>
      </c>
      <c r="H708" s="5" t="s">
        <v>22</v>
      </c>
      <c r="I708" s="7">
        <f t="shared" si="1"/>
        <v>7812</v>
      </c>
      <c r="J708" s="7">
        <f t="shared" si="7"/>
        <v>6770.4</v>
      </c>
      <c r="K708" s="7">
        <f t="shared" si="3"/>
        <v>6770.4</v>
      </c>
      <c r="L708" s="7">
        <f t="shared" si="4"/>
        <v>6249.6</v>
      </c>
      <c r="M708" s="7">
        <f t="shared" si="5"/>
        <v>5989.2</v>
      </c>
      <c r="N708" s="7">
        <f t="shared" si="6"/>
        <v>5728.8</v>
      </c>
    </row>
    <row r="709">
      <c r="A709" s="5" t="s">
        <v>1337</v>
      </c>
      <c r="B709" s="5" t="s">
        <v>36</v>
      </c>
      <c r="C709" s="5" t="s">
        <v>1345</v>
      </c>
      <c r="D709" s="5" t="s">
        <v>1428</v>
      </c>
      <c r="E709" s="5" t="s">
        <v>1429</v>
      </c>
      <c r="F709" s="6"/>
      <c r="G709" s="8">
        <v>4872.0</v>
      </c>
      <c r="H709" s="5" t="s">
        <v>22</v>
      </c>
      <c r="I709" s="7">
        <f t="shared" si="1"/>
        <v>7308</v>
      </c>
      <c r="J709" s="7">
        <f t="shared" si="7"/>
        <v>6333.6</v>
      </c>
      <c r="K709" s="7">
        <f t="shared" si="3"/>
        <v>6333.6</v>
      </c>
      <c r="L709" s="7">
        <f t="shared" si="4"/>
        <v>5846.4</v>
      </c>
      <c r="M709" s="7">
        <f t="shared" si="5"/>
        <v>5602.8</v>
      </c>
      <c r="N709" s="7">
        <f t="shared" si="6"/>
        <v>5359.2</v>
      </c>
    </row>
    <row r="710">
      <c r="A710" s="5" t="s">
        <v>1337</v>
      </c>
      <c r="B710" s="5" t="s">
        <v>36</v>
      </c>
      <c r="C710" s="5" t="s">
        <v>1345</v>
      </c>
      <c r="D710" s="5" t="s">
        <v>1430</v>
      </c>
      <c r="E710" s="5" t="s">
        <v>1431</v>
      </c>
      <c r="F710" s="6"/>
      <c r="G710" s="8">
        <v>5208.0</v>
      </c>
      <c r="H710" s="5" t="s">
        <v>22</v>
      </c>
      <c r="I710" s="7">
        <f t="shared" si="1"/>
        <v>7812</v>
      </c>
      <c r="J710" s="7">
        <f t="shared" si="7"/>
        <v>6770.4</v>
      </c>
      <c r="K710" s="7">
        <f t="shared" si="3"/>
        <v>6770.4</v>
      </c>
      <c r="L710" s="7">
        <f t="shared" si="4"/>
        <v>6249.6</v>
      </c>
      <c r="M710" s="7">
        <f t="shared" si="5"/>
        <v>5989.2</v>
      </c>
      <c r="N710" s="7">
        <f t="shared" si="6"/>
        <v>5728.8</v>
      </c>
    </row>
    <row r="711">
      <c r="A711" s="5" t="s">
        <v>1337</v>
      </c>
      <c r="B711" s="5" t="s">
        <v>36</v>
      </c>
      <c r="C711" s="5" t="s">
        <v>1345</v>
      </c>
      <c r="D711" s="5" t="s">
        <v>1432</v>
      </c>
      <c r="E711" s="5" t="s">
        <v>1433</v>
      </c>
      <c r="F711" s="6"/>
      <c r="G711" s="8">
        <v>6048.0</v>
      </c>
      <c r="H711" s="5" t="s">
        <v>22</v>
      </c>
      <c r="I711" s="7">
        <f t="shared" si="1"/>
        <v>9072</v>
      </c>
      <c r="J711" s="7">
        <f t="shared" si="7"/>
        <v>7862.4</v>
      </c>
      <c r="K711" s="7">
        <f t="shared" si="3"/>
        <v>7862.4</v>
      </c>
      <c r="L711" s="7">
        <f t="shared" si="4"/>
        <v>7257.6</v>
      </c>
      <c r="M711" s="7">
        <f t="shared" si="5"/>
        <v>6955.2</v>
      </c>
      <c r="N711" s="7">
        <f t="shared" si="6"/>
        <v>6652.8</v>
      </c>
    </row>
    <row r="712">
      <c r="A712" s="5" t="s">
        <v>1337</v>
      </c>
      <c r="B712" s="5" t="s">
        <v>36</v>
      </c>
      <c r="C712" s="5" t="s">
        <v>1345</v>
      </c>
      <c r="D712" s="5" t="s">
        <v>1434</v>
      </c>
      <c r="E712" s="5" t="s">
        <v>1435</v>
      </c>
      <c r="F712" s="6"/>
      <c r="G712" s="8">
        <v>11055.0</v>
      </c>
      <c r="H712" s="5" t="s">
        <v>22</v>
      </c>
      <c r="I712" s="7">
        <f t="shared" si="1"/>
        <v>16582.5</v>
      </c>
      <c r="J712" s="7">
        <f t="shared" si="7"/>
        <v>14371.5</v>
      </c>
      <c r="K712" s="7">
        <f t="shared" si="3"/>
        <v>14371.5</v>
      </c>
      <c r="L712" s="7">
        <f t="shared" si="4"/>
        <v>13266</v>
      </c>
      <c r="M712" s="7">
        <f t="shared" si="5"/>
        <v>12713.25</v>
      </c>
      <c r="N712" s="7">
        <f t="shared" si="6"/>
        <v>12160.5</v>
      </c>
    </row>
    <row r="713">
      <c r="A713" s="5" t="s">
        <v>1337</v>
      </c>
      <c r="B713" s="5" t="s">
        <v>36</v>
      </c>
      <c r="C713" s="5" t="s">
        <v>1345</v>
      </c>
      <c r="D713" s="5" t="s">
        <v>1436</v>
      </c>
      <c r="E713" s="5" t="s">
        <v>1437</v>
      </c>
      <c r="F713" s="6"/>
      <c r="G713" s="8">
        <v>10383.0</v>
      </c>
      <c r="H713" s="5" t="s">
        <v>22</v>
      </c>
      <c r="I713" s="7">
        <f t="shared" si="1"/>
        <v>15574.5</v>
      </c>
      <c r="J713" s="7">
        <f t="shared" si="7"/>
        <v>13497.9</v>
      </c>
      <c r="K713" s="7">
        <f t="shared" si="3"/>
        <v>13497.9</v>
      </c>
      <c r="L713" s="7">
        <f t="shared" si="4"/>
        <v>12459.6</v>
      </c>
      <c r="M713" s="7">
        <f t="shared" si="5"/>
        <v>11940.45</v>
      </c>
      <c r="N713" s="7">
        <f t="shared" si="6"/>
        <v>11421.3</v>
      </c>
    </row>
    <row r="714">
      <c r="A714" s="5" t="s">
        <v>1337</v>
      </c>
      <c r="B714" s="5" t="s">
        <v>36</v>
      </c>
      <c r="C714" s="5" t="s">
        <v>1345</v>
      </c>
      <c r="D714" s="5" t="s">
        <v>1438</v>
      </c>
      <c r="E714" s="5" t="s">
        <v>1439</v>
      </c>
      <c r="F714" s="6"/>
      <c r="G714" s="8">
        <v>11055.0</v>
      </c>
      <c r="H714" s="5" t="s">
        <v>22</v>
      </c>
      <c r="I714" s="7">
        <f t="shared" si="1"/>
        <v>16582.5</v>
      </c>
      <c r="J714" s="7">
        <f t="shared" si="7"/>
        <v>14371.5</v>
      </c>
      <c r="K714" s="7">
        <f t="shared" si="3"/>
        <v>14371.5</v>
      </c>
      <c r="L714" s="7">
        <f t="shared" si="4"/>
        <v>13266</v>
      </c>
      <c r="M714" s="7">
        <f t="shared" si="5"/>
        <v>12713.25</v>
      </c>
      <c r="N714" s="7">
        <f t="shared" si="6"/>
        <v>12160.5</v>
      </c>
    </row>
    <row r="715">
      <c r="A715" s="5" t="s">
        <v>1337</v>
      </c>
      <c r="B715" s="5" t="s">
        <v>36</v>
      </c>
      <c r="C715" s="5" t="s">
        <v>1345</v>
      </c>
      <c r="D715" s="5" t="s">
        <v>1440</v>
      </c>
      <c r="E715" s="5" t="s">
        <v>1441</v>
      </c>
      <c r="F715" s="6"/>
      <c r="G715" s="8">
        <v>5276.0</v>
      </c>
      <c r="H715" s="5" t="s">
        <v>22</v>
      </c>
      <c r="I715" s="7">
        <f t="shared" si="1"/>
        <v>7914</v>
      </c>
      <c r="J715" s="7">
        <f t="shared" si="7"/>
        <v>6858.8</v>
      </c>
      <c r="K715" s="7">
        <f t="shared" si="3"/>
        <v>6858.8</v>
      </c>
      <c r="L715" s="7">
        <f t="shared" si="4"/>
        <v>6331.2</v>
      </c>
      <c r="M715" s="7">
        <f t="shared" si="5"/>
        <v>6067.4</v>
      </c>
      <c r="N715" s="7">
        <f t="shared" si="6"/>
        <v>5803.6</v>
      </c>
    </row>
    <row r="716">
      <c r="A716" s="5" t="s">
        <v>1337</v>
      </c>
      <c r="B716" s="5" t="s">
        <v>36</v>
      </c>
      <c r="C716" s="5" t="s">
        <v>1345</v>
      </c>
      <c r="D716" s="5" t="s">
        <v>1442</v>
      </c>
      <c r="E716" s="5" t="s">
        <v>1443</v>
      </c>
      <c r="F716" s="6"/>
      <c r="G716" s="8">
        <v>3932.0</v>
      </c>
      <c r="H716" s="5" t="s">
        <v>22</v>
      </c>
      <c r="I716" s="7">
        <f t="shared" si="1"/>
        <v>5898</v>
      </c>
      <c r="J716" s="7">
        <f t="shared" si="7"/>
        <v>5111.6</v>
      </c>
      <c r="K716" s="7">
        <f t="shared" si="3"/>
        <v>5111.6</v>
      </c>
      <c r="L716" s="7">
        <f t="shared" si="4"/>
        <v>4718.4</v>
      </c>
      <c r="M716" s="7">
        <f t="shared" si="5"/>
        <v>4521.8</v>
      </c>
      <c r="N716" s="7">
        <f t="shared" si="6"/>
        <v>4325.2</v>
      </c>
    </row>
    <row r="717">
      <c r="A717" s="5" t="s">
        <v>1337</v>
      </c>
      <c r="B717" s="5" t="s">
        <v>36</v>
      </c>
      <c r="C717" s="5" t="s">
        <v>1345</v>
      </c>
      <c r="D717" s="5" t="s">
        <v>1444</v>
      </c>
      <c r="E717" s="5" t="s">
        <v>1445</v>
      </c>
      <c r="F717" s="6"/>
      <c r="G717" s="8">
        <v>40320.0</v>
      </c>
      <c r="H717" s="5" t="s">
        <v>22</v>
      </c>
      <c r="I717" s="7">
        <f t="shared" si="1"/>
        <v>60480</v>
      </c>
      <c r="J717" s="7">
        <f t="shared" si="7"/>
        <v>52416</v>
      </c>
      <c r="K717" s="7">
        <f t="shared" si="3"/>
        <v>52416</v>
      </c>
      <c r="L717" s="7">
        <f t="shared" si="4"/>
        <v>48384</v>
      </c>
      <c r="M717" s="7">
        <f t="shared" si="5"/>
        <v>46368</v>
      </c>
      <c r="N717" s="7">
        <f t="shared" si="6"/>
        <v>44352</v>
      </c>
    </row>
    <row r="718">
      <c r="A718" s="5" t="s">
        <v>1337</v>
      </c>
      <c r="B718" s="5" t="s">
        <v>197</v>
      </c>
      <c r="C718" s="5" t="s">
        <v>1409</v>
      </c>
      <c r="D718" s="5" t="s">
        <v>1446</v>
      </c>
      <c r="E718" s="5" t="s">
        <v>1447</v>
      </c>
      <c r="F718" s="6"/>
      <c r="G718" s="8">
        <v>1344.0</v>
      </c>
      <c r="H718" s="5" t="s">
        <v>22</v>
      </c>
      <c r="I718" s="7">
        <f t="shared" si="1"/>
        <v>2016</v>
      </c>
      <c r="J718" s="7">
        <f t="shared" si="7"/>
        <v>1747.2</v>
      </c>
      <c r="K718" s="7">
        <f t="shared" si="3"/>
        <v>1747.2</v>
      </c>
      <c r="L718" s="7">
        <f t="shared" si="4"/>
        <v>1612.8</v>
      </c>
      <c r="M718" s="7">
        <f t="shared" si="5"/>
        <v>1545.6</v>
      </c>
      <c r="N718" s="7">
        <f t="shared" si="6"/>
        <v>1478.4</v>
      </c>
    </row>
    <row r="719">
      <c r="A719" s="5" t="s">
        <v>1337</v>
      </c>
      <c r="B719" s="5" t="s">
        <v>36</v>
      </c>
      <c r="C719" s="5" t="s">
        <v>1338</v>
      </c>
      <c r="D719" s="5" t="s">
        <v>1448</v>
      </c>
      <c r="E719" s="5" t="s">
        <v>1449</v>
      </c>
      <c r="F719" s="6"/>
      <c r="G719" s="8">
        <v>21672.0</v>
      </c>
      <c r="H719" s="5" t="s">
        <v>22</v>
      </c>
      <c r="I719" s="7">
        <f t="shared" si="1"/>
        <v>32508</v>
      </c>
      <c r="J719" s="7">
        <f t="shared" si="7"/>
        <v>28173.6</v>
      </c>
      <c r="K719" s="7">
        <f t="shared" si="3"/>
        <v>28173.6</v>
      </c>
      <c r="L719" s="7">
        <f t="shared" si="4"/>
        <v>26006.4</v>
      </c>
      <c r="M719" s="7">
        <f t="shared" si="5"/>
        <v>24922.8</v>
      </c>
      <c r="N719" s="7">
        <f t="shared" si="6"/>
        <v>23839.2</v>
      </c>
    </row>
    <row r="720">
      <c r="A720" s="5" t="s">
        <v>1337</v>
      </c>
      <c r="B720" s="5" t="s">
        <v>36</v>
      </c>
      <c r="C720" s="5" t="s">
        <v>1338</v>
      </c>
      <c r="D720" s="5" t="s">
        <v>1450</v>
      </c>
      <c r="E720" s="5" t="s">
        <v>1451</v>
      </c>
      <c r="F720" s="5" t="s">
        <v>1230</v>
      </c>
      <c r="G720" s="8">
        <v>51274.0</v>
      </c>
      <c r="H720" s="5" t="s">
        <v>22</v>
      </c>
      <c r="I720" s="7">
        <f t="shared" si="1"/>
        <v>76911</v>
      </c>
      <c r="J720" s="7">
        <f t="shared" si="7"/>
        <v>66656.2</v>
      </c>
      <c r="K720" s="7">
        <f t="shared" si="3"/>
        <v>66656.2</v>
      </c>
      <c r="L720" s="7">
        <f t="shared" si="4"/>
        <v>61528.8</v>
      </c>
      <c r="M720" s="7">
        <f t="shared" si="5"/>
        <v>58965.1</v>
      </c>
      <c r="N720" s="7">
        <f t="shared" si="6"/>
        <v>56401.4</v>
      </c>
    </row>
    <row r="721">
      <c r="A721" s="5" t="s">
        <v>1337</v>
      </c>
      <c r="B721" s="5" t="s">
        <v>36</v>
      </c>
      <c r="C721" s="5" t="s">
        <v>1338</v>
      </c>
      <c r="D721" s="5" t="s">
        <v>1452</v>
      </c>
      <c r="E721" s="5" t="s">
        <v>1453</v>
      </c>
      <c r="F721" s="5" t="s">
        <v>1230</v>
      </c>
      <c r="G721" s="8">
        <v>127277.0</v>
      </c>
      <c r="H721" s="5" t="s">
        <v>22</v>
      </c>
      <c r="I721" s="7">
        <f t="shared" si="1"/>
        <v>190915.5</v>
      </c>
      <c r="J721" s="7">
        <f t="shared" si="7"/>
        <v>165460.1</v>
      </c>
      <c r="K721" s="7">
        <f t="shared" si="3"/>
        <v>165460.1</v>
      </c>
      <c r="L721" s="7">
        <f t="shared" si="4"/>
        <v>152732.4</v>
      </c>
      <c r="M721" s="7">
        <f t="shared" si="5"/>
        <v>146368.55</v>
      </c>
      <c r="N721" s="7">
        <f t="shared" si="6"/>
        <v>140004.7</v>
      </c>
    </row>
    <row r="722">
      <c r="A722" s="5" t="s">
        <v>1454</v>
      </c>
      <c r="B722" s="5" t="s">
        <v>1455</v>
      </c>
      <c r="C722" s="5" t="s">
        <v>1456</v>
      </c>
      <c r="D722" s="5" t="s">
        <v>1457</v>
      </c>
      <c r="E722" s="5" t="s">
        <v>1458</v>
      </c>
      <c r="F722" s="6"/>
      <c r="G722" s="5">
        <v>364.0</v>
      </c>
      <c r="H722" s="5" t="s">
        <v>22</v>
      </c>
      <c r="I722" s="7">
        <f t="shared" si="1"/>
        <v>546</v>
      </c>
      <c r="J722" s="7">
        <f t="shared" si="7"/>
        <v>473.2</v>
      </c>
      <c r="K722" s="7">
        <f t="shared" si="3"/>
        <v>473.2</v>
      </c>
      <c r="L722" s="7">
        <f t="shared" si="4"/>
        <v>436.8</v>
      </c>
      <c r="M722" s="7">
        <f t="shared" si="5"/>
        <v>418.6</v>
      </c>
      <c r="N722" s="7">
        <f t="shared" si="6"/>
        <v>400.4</v>
      </c>
    </row>
    <row r="723">
      <c r="A723" s="5" t="s">
        <v>1454</v>
      </c>
      <c r="B723" s="5" t="s">
        <v>1455</v>
      </c>
      <c r="C723" s="5" t="s">
        <v>1456</v>
      </c>
      <c r="D723" s="5" t="s">
        <v>1459</v>
      </c>
      <c r="E723" s="5" t="s">
        <v>1460</v>
      </c>
      <c r="F723" s="6"/>
      <c r="G723" s="8">
        <v>1806.0</v>
      </c>
      <c r="H723" s="5" t="s">
        <v>22</v>
      </c>
      <c r="I723" s="7">
        <f t="shared" si="1"/>
        <v>2709</v>
      </c>
      <c r="J723" s="7">
        <f t="shared" si="7"/>
        <v>2347.8</v>
      </c>
      <c r="K723" s="7">
        <f t="shared" si="3"/>
        <v>2347.8</v>
      </c>
      <c r="L723" s="7">
        <f t="shared" si="4"/>
        <v>2167.2</v>
      </c>
      <c r="M723" s="7">
        <f t="shared" si="5"/>
        <v>2076.9</v>
      </c>
      <c r="N723" s="7">
        <f t="shared" si="6"/>
        <v>1986.6</v>
      </c>
    </row>
    <row r="724">
      <c r="A724" s="5" t="s">
        <v>1454</v>
      </c>
      <c r="B724" s="5" t="s">
        <v>1455</v>
      </c>
      <c r="C724" s="5" t="s">
        <v>1456</v>
      </c>
      <c r="D724" s="5" t="s">
        <v>1461</v>
      </c>
      <c r="E724" s="5" t="s">
        <v>1462</v>
      </c>
      <c r="F724" s="6"/>
      <c r="G724" s="8">
        <v>6636.0</v>
      </c>
      <c r="H724" s="5" t="s">
        <v>22</v>
      </c>
      <c r="I724" s="7">
        <f t="shared" si="1"/>
        <v>9954</v>
      </c>
      <c r="J724" s="7">
        <f t="shared" si="7"/>
        <v>8626.8</v>
      </c>
      <c r="K724" s="7">
        <f t="shared" si="3"/>
        <v>8626.8</v>
      </c>
      <c r="L724" s="7">
        <f t="shared" si="4"/>
        <v>7963.2</v>
      </c>
      <c r="M724" s="7">
        <f t="shared" si="5"/>
        <v>7631.4</v>
      </c>
      <c r="N724" s="7">
        <f t="shared" si="6"/>
        <v>7299.6</v>
      </c>
    </row>
    <row r="725">
      <c r="A725" s="5" t="s">
        <v>1454</v>
      </c>
      <c r="B725" s="5" t="s">
        <v>1455</v>
      </c>
      <c r="C725" s="5" t="s">
        <v>1456</v>
      </c>
      <c r="D725" s="5" t="s">
        <v>1463</v>
      </c>
      <c r="E725" s="5" t="s">
        <v>1464</v>
      </c>
      <c r="F725" s="6"/>
      <c r="G725" s="8">
        <v>7812.0</v>
      </c>
      <c r="H725" s="5" t="s">
        <v>22</v>
      </c>
      <c r="I725" s="7">
        <f t="shared" si="1"/>
        <v>11718</v>
      </c>
      <c r="J725" s="7">
        <f t="shared" si="7"/>
        <v>10155.6</v>
      </c>
      <c r="K725" s="7">
        <f t="shared" si="3"/>
        <v>10155.6</v>
      </c>
      <c r="L725" s="7">
        <f t="shared" si="4"/>
        <v>9374.4</v>
      </c>
      <c r="M725" s="7">
        <f t="shared" si="5"/>
        <v>8983.8</v>
      </c>
      <c r="N725" s="7">
        <f t="shared" si="6"/>
        <v>8593.2</v>
      </c>
    </row>
    <row r="726">
      <c r="A726" s="5" t="s">
        <v>1454</v>
      </c>
      <c r="B726" s="5" t="s">
        <v>1455</v>
      </c>
      <c r="C726" s="5" t="s">
        <v>1456</v>
      </c>
      <c r="D726" s="5" t="s">
        <v>1465</v>
      </c>
      <c r="E726" s="5" t="s">
        <v>1466</v>
      </c>
      <c r="F726" s="6"/>
      <c r="G726" s="8">
        <v>9072.0</v>
      </c>
      <c r="H726" s="5" t="s">
        <v>22</v>
      </c>
      <c r="I726" s="7">
        <f t="shared" si="1"/>
        <v>13608</v>
      </c>
      <c r="J726" s="7">
        <f t="shared" si="7"/>
        <v>11793.6</v>
      </c>
      <c r="K726" s="7">
        <f t="shared" si="3"/>
        <v>11793.6</v>
      </c>
      <c r="L726" s="7">
        <f t="shared" si="4"/>
        <v>10886.4</v>
      </c>
      <c r="M726" s="7">
        <f t="shared" si="5"/>
        <v>10432.8</v>
      </c>
      <c r="N726" s="7">
        <f t="shared" si="6"/>
        <v>9979.2</v>
      </c>
    </row>
    <row r="727">
      <c r="A727" s="5" t="s">
        <v>1454</v>
      </c>
      <c r="B727" s="5" t="s">
        <v>1455</v>
      </c>
      <c r="C727" s="5" t="s">
        <v>1456</v>
      </c>
      <c r="D727" s="5" t="s">
        <v>1467</v>
      </c>
      <c r="E727" s="5" t="s">
        <v>1468</v>
      </c>
      <c r="F727" s="6"/>
      <c r="G727" s="8">
        <v>9660.0</v>
      </c>
      <c r="H727" s="5" t="s">
        <v>22</v>
      </c>
      <c r="I727" s="7">
        <f t="shared" si="1"/>
        <v>14490</v>
      </c>
      <c r="J727" s="7">
        <f t="shared" si="7"/>
        <v>12558</v>
      </c>
      <c r="K727" s="7">
        <f t="shared" si="3"/>
        <v>12558</v>
      </c>
      <c r="L727" s="7">
        <f t="shared" si="4"/>
        <v>11592</v>
      </c>
      <c r="M727" s="7">
        <f t="shared" si="5"/>
        <v>11109</v>
      </c>
      <c r="N727" s="7">
        <f t="shared" si="6"/>
        <v>10626</v>
      </c>
    </row>
    <row r="728">
      <c r="A728" s="5" t="s">
        <v>1454</v>
      </c>
      <c r="B728" s="5" t="s">
        <v>1455</v>
      </c>
      <c r="C728" s="5" t="s">
        <v>1456</v>
      </c>
      <c r="D728" s="5" t="s">
        <v>1469</v>
      </c>
      <c r="E728" s="5" t="s">
        <v>1470</v>
      </c>
      <c r="F728" s="6"/>
      <c r="G728" s="8">
        <v>10248.0</v>
      </c>
      <c r="H728" s="5" t="s">
        <v>22</v>
      </c>
      <c r="I728" s="7">
        <f t="shared" si="1"/>
        <v>15372</v>
      </c>
      <c r="J728" s="7">
        <f t="shared" si="7"/>
        <v>13322.4</v>
      </c>
      <c r="K728" s="7">
        <f t="shared" si="3"/>
        <v>13322.4</v>
      </c>
      <c r="L728" s="7">
        <f t="shared" si="4"/>
        <v>12297.6</v>
      </c>
      <c r="M728" s="7">
        <f t="shared" si="5"/>
        <v>11785.2</v>
      </c>
      <c r="N728" s="7">
        <f t="shared" si="6"/>
        <v>11272.8</v>
      </c>
    </row>
    <row r="729">
      <c r="A729" s="5" t="s">
        <v>1454</v>
      </c>
      <c r="B729" s="5" t="s">
        <v>1455</v>
      </c>
      <c r="C729" s="5" t="s">
        <v>1456</v>
      </c>
      <c r="D729" s="5" t="s">
        <v>1471</v>
      </c>
      <c r="E729" s="5" t="s">
        <v>1472</v>
      </c>
      <c r="F729" s="6"/>
      <c r="G729" s="8">
        <v>18648.0</v>
      </c>
      <c r="H729" s="5" t="s">
        <v>22</v>
      </c>
      <c r="I729" s="7">
        <f t="shared" si="1"/>
        <v>27972</v>
      </c>
      <c r="J729" s="7">
        <f t="shared" si="7"/>
        <v>24242.4</v>
      </c>
      <c r="K729" s="7">
        <f t="shared" si="3"/>
        <v>24242.4</v>
      </c>
      <c r="L729" s="7">
        <f t="shared" si="4"/>
        <v>22377.6</v>
      </c>
      <c r="M729" s="7">
        <f t="shared" si="5"/>
        <v>21445.2</v>
      </c>
      <c r="N729" s="7">
        <f t="shared" si="6"/>
        <v>20512.8</v>
      </c>
    </row>
    <row r="730">
      <c r="A730" s="5" t="s">
        <v>1454</v>
      </c>
      <c r="B730" s="5" t="s">
        <v>1455</v>
      </c>
      <c r="C730" s="5" t="s">
        <v>1456</v>
      </c>
      <c r="D730" s="5" t="s">
        <v>1473</v>
      </c>
      <c r="E730" s="5" t="s">
        <v>1474</v>
      </c>
      <c r="F730" s="6"/>
      <c r="G730" s="8">
        <v>36036.0</v>
      </c>
      <c r="H730" s="5" t="s">
        <v>22</v>
      </c>
      <c r="I730" s="7">
        <f t="shared" si="1"/>
        <v>54054</v>
      </c>
      <c r="J730" s="7">
        <f t="shared" si="7"/>
        <v>46846.8</v>
      </c>
      <c r="K730" s="7">
        <f t="shared" si="3"/>
        <v>46846.8</v>
      </c>
      <c r="L730" s="7">
        <f t="shared" si="4"/>
        <v>43243.2</v>
      </c>
      <c r="M730" s="7">
        <f t="shared" si="5"/>
        <v>41441.4</v>
      </c>
      <c r="N730" s="7">
        <f t="shared" si="6"/>
        <v>39639.6</v>
      </c>
    </row>
    <row r="731">
      <c r="A731" s="5" t="s">
        <v>1454</v>
      </c>
      <c r="B731" s="5" t="s">
        <v>1455</v>
      </c>
      <c r="C731" s="5" t="s">
        <v>1456</v>
      </c>
      <c r="D731" s="5" t="s">
        <v>1475</v>
      </c>
      <c r="E731" s="5" t="s">
        <v>1476</v>
      </c>
      <c r="F731" s="6"/>
      <c r="G731" s="8">
        <v>39648.0</v>
      </c>
      <c r="H731" s="5" t="s">
        <v>22</v>
      </c>
      <c r="I731" s="7">
        <f t="shared" si="1"/>
        <v>59472</v>
      </c>
      <c r="J731" s="7">
        <f t="shared" si="7"/>
        <v>51542.4</v>
      </c>
      <c r="K731" s="7">
        <f t="shared" si="3"/>
        <v>51542.4</v>
      </c>
      <c r="L731" s="7">
        <f t="shared" si="4"/>
        <v>47577.6</v>
      </c>
      <c r="M731" s="7">
        <f t="shared" si="5"/>
        <v>45595.2</v>
      </c>
      <c r="N731" s="7">
        <f t="shared" si="6"/>
        <v>43612.8</v>
      </c>
    </row>
    <row r="732">
      <c r="A732" s="5" t="s">
        <v>1454</v>
      </c>
      <c r="B732" s="5" t="s">
        <v>1455</v>
      </c>
      <c r="C732" s="5" t="s">
        <v>1456</v>
      </c>
      <c r="D732" s="5" t="s">
        <v>1477</v>
      </c>
      <c r="E732" s="5" t="s">
        <v>1478</v>
      </c>
      <c r="F732" s="6"/>
      <c r="G732" s="8">
        <v>43260.0</v>
      </c>
      <c r="H732" s="5" t="s">
        <v>22</v>
      </c>
      <c r="I732" s="7">
        <f t="shared" si="1"/>
        <v>64890</v>
      </c>
      <c r="J732" s="7">
        <f t="shared" si="7"/>
        <v>56238</v>
      </c>
      <c r="K732" s="7">
        <f t="shared" si="3"/>
        <v>56238</v>
      </c>
      <c r="L732" s="7">
        <f t="shared" si="4"/>
        <v>51912</v>
      </c>
      <c r="M732" s="7">
        <f t="shared" si="5"/>
        <v>49749</v>
      </c>
      <c r="N732" s="7">
        <f t="shared" si="6"/>
        <v>47586</v>
      </c>
    </row>
    <row r="733">
      <c r="A733" s="5" t="s">
        <v>1454</v>
      </c>
      <c r="B733" s="5" t="s">
        <v>1455</v>
      </c>
      <c r="C733" s="5" t="s">
        <v>1456</v>
      </c>
      <c r="D733" s="5" t="s">
        <v>1479</v>
      </c>
      <c r="E733" s="5" t="s">
        <v>1480</v>
      </c>
      <c r="F733" s="6"/>
      <c r="G733" s="8">
        <v>1680.0</v>
      </c>
      <c r="H733" s="5" t="s">
        <v>22</v>
      </c>
      <c r="I733" s="7">
        <f t="shared" si="1"/>
        <v>2520</v>
      </c>
      <c r="J733" s="7">
        <f t="shared" si="7"/>
        <v>2184</v>
      </c>
      <c r="K733" s="7">
        <f t="shared" si="3"/>
        <v>2184</v>
      </c>
      <c r="L733" s="7">
        <f t="shared" si="4"/>
        <v>2016</v>
      </c>
      <c r="M733" s="7">
        <f t="shared" si="5"/>
        <v>1932</v>
      </c>
      <c r="N733" s="7">
        <f t="shared" si="6"/>
        <v>1848</v>
      </c>
    </row>
    <row r="734">
      <c r="A734" s="5" t="s">
        <v>1454</v>
      </c>
      <c r="B734" s="5" t="s">
        <v>1455</v>
      </c>
      <c r="C734" s="5" t="s">
        <v>1456</v>
      </c>
      <c r="D734" s="5" t="s">
        <v>1481</v>
      </c>
      <c r="E734" s="5" t="s">
        <v>1482</v>
      </c>
      <c r="F734" s="6"/>
      <c r="G734" s="8">
        <v>5040.0</v>
      </c>
      <c r="H734" s="5" t="s">
        <v>22</v>
      </c>
      <c r="I734" s="7">
        <f t="shared" si="1"/>
        <v>7560</v>
      </c>
      <c r="J734" s="7">
        <f t="shared" si="7"/>
        <v>6552</v>
      </c>
      <c r="K734" s="7">
        <f t="shared" si="3"/>
        <v>6552</v>
      </c>
      <c r="L734" s="7">
        <f t="shared" si="4"/>
        <v>6048</v>
      </c>
      <c r="M734" s="7">
        <f t="shared" si="5"/>
        <v>5796</v>
      </c>
      <c r="N734" s="7">
        <f t="shared" si="6"/>
        <v>5544</v>
      </c>
    </row>
    <row r="735">
      <c r="A735" s="5" t="s">
        <v>1454</v>
      </c>
      <c r="B735" s="5" t="s">
        <v>1455</v>
      </c>
      <c r="C735" s="5" t="s">
        <v>1456</v>
      </c>
      <c r="D735" s="5" t="s">
        <v>1483</v>
      </c>
      <c r="E735" s="5" t="s">
        <v>1484</v>
      </c>
      <c r="F735" s="6"/>
      <c r="G735" s="8">
        <v>6048.0</v>
      </c>
      <c r="H735" s="5" t="s">
        <v>22</v>
      </c>
      <c r="I735" s="7">
        <f t="shared" si="1"/>
        <v>9072</v>
      </c>
      <c r="J735" s="7">
        <f t="shared" si="7"/>
        <v>7862.4</v>
      </c>
      <c r="K735" s="7">
        <f t="shared" si="3"/>
        <v>7862.4</v>
      </c>
      <c r="L735" s="7">
        <f t="shared" si="4"/>
        <v>7257.6</v>
      </c>
      <c r="M735" s="7">
        <f t="shared" si="5"/>
        <v>6955.2</v>
      </c>
      <c r="N735" s="7">
        <f t="shared" si="6"/>
        <v>6652.8</v>
      </c>
    </row>
    <row r="736">
      <c r="A736" s="5" t="s">
        <v>1454</v>
      </c>
      <c r="B736" s="5" t="s">
        <v>1455</v>
      </c>
      <c r="C736" s="5" t="s">
        <v>1456</v>
      </c>
      <c r="D736" s="5" t="s">
        <v>1485</v>
      </c>
      <c r="E736" s="5" t="s">
        <v>1486</v>
      </c>
      <c r="F736" s="6"/>
      <c r="G736" s="5">
        <v>581.0</v>
      </c>
      <c r="H736" s="5" t="s">
        <v>22</v>
      </c>
      <c r="I736" s="7">
        <f t="shared" si="1"/>
        <v>871.5</v>
      </c>
      <c r="J736" s="7">
        <f t="shared" si="7"/>
        <v>755.3</v>
      </c>
      <c r="K736" s="7">
        <f t="shared" si="3"/>
        <v>755.3</v>
      </c>
      <c r="L736" s="7">
        <f t="shared" si="4"/>
        <v>697.2</v>
      </c>
      <c r="M736" s="7">
        <f t="shared" si="5"/>
        <v>668.15</v>
      </c>
      <c r="N736" s="7">
        <f t="shared" si="6"/>
        <v>639.1</v>
      </c>
    </row>
    <row r="737">
      <c r="A737" s="5" t="s">
        <v>1454</v>
      </c>
      <c r="B737" s="5" t="s">
        <v>1455</v>
      </c>
      <c r="C737" s="5" t="s">
        <v>1456</v>
      </c>
      <c r="D737" s="5" t="s">
        <v>1487</v>
      </c>
      <c r="E737" s="5" t="s">
        <v>226</v>
      </c>
      <c r="F737" s="6"/>
      <c r="G737" s="5">
        <v>581.0</v>
      </c>
      <c r="H737" s="5" t="s">
        <v>22</v>
      </c>
      <c r="I737" s="7">
        <f t="shared" si="1"/>
        <v>871.5</v>
      </c>
      <c r="J737" s="7">
        <f t="shared" si="7"/>
        <v>755.3</v>
      </c>
      <c r="K737" s="7">
        <f t="shared" si="3"/>
        <v>755.3</v>
      </c>
      <c r="L737" s="7">
        <f t="shared" si="4"/>
        <v>697.2</v>
      </c>
      <c r="M737" s="7">
        <f t="shared" si="5"/>
        <v>668.15</v>
      </c>
      <c r="N737" s="7">
        <f t="shared" si="6"/>
        <v>639.1</v>
      </c>
    </row>
    <row r="738">
      <c r="A738" s="5" t="s">
        <v>1454</v>
      </c>
      <c r="B738" s="5" t="s">
        <v>1455</v>
      </c>
      <c r="C738" s="5" t="s">
        <v>1456</v>
      </c>
      <c r="D738" s="5" t="s">
        <v>1488</v>
      </c>
      <c r="E738" s="5" t="s">
        <v>226</v>
      </c>
      <c r="F738" s="6"/>
      <c r="G738" s="5">
        <v>546.0</v>
      </c>
      <c r="H738" s="5" t="s">
        <v>22</v>
      </c>
      <c r="I738" s="7">
        <f t="shared" si="1"/>
        <v>819</v>
      </c>
      <c r="J738" s="7">
        <f t="shared" si="7"/>
        <v>709.8</v>
      </c>
      <c r="K738" s="7">
        <f t="shared" si="3"/>
        <v>709.8</v>
      </c>
      <c r="L738" s="7">
        <f t="shared" si="4"/>
        <v>655.2</v>
      </c>
      <c r="M738" s="7">
        <f t="shared" si="5"/>
        <v>627.9</v>
      </c>
      <c r="N738" s="7">
        <f t="shared" si="6"/>
        <v>600.6</v>
      </c>
    </row>
    <row r="739">
      <c r="A739" s="5" t="s">
        <v>1454</v>
      </c>
      <c r="B739" s="5" t="s">
        <v>1455</v>
      </c>
      <c r="C739" s="5" t="s">
        <v>1456</v>
      </c>
      <c r="D739" s="5" t="s">
        <v>1489</v>
      </c>
      <c r="E739" s="5" t="s">
        <v>226</v>
      </c>
      <c r="F739" s="6"/>
      <c r="G739" s="5">
        <v>308.0</v>
      </c>
      <c r="H739" s="5" t="s">
        <v>22</v>
      </c>
      <c r="I739" s="7">
        <f t="shared" si="1"/>
        <v>462</v>
      </c>
      <c r="J739" s="7">
        <f t="shared" si="7"/>
        <v>400.4</v>
      </c>
      <c r="K739" s="7">
        <f t="shared" si="3"/>
        <v>400.4</v>
      </c>
      <c r="L739" s="7">
        <f t="shared" si="4"/>
        <v>369.6</v>
      </c>
      <c r="M739" s="7">
        <f t="shared" si="5"/>
        <v>354.2</v>
      </c>
      <c r="N739" s="7">
        <f t="shared" si="6"/>
        <v>338.8</v>
      </c>
    </row>
    <row r="740">
      <c r="A740" s="5" t="s">
        <v>1454</v>
      </c>
      <c r="B740" s="5" t="s">
        <v>1455</v>
      </c>
      <c r="C740" s="5" t="s">
        <v>1456</v>
      </c>
      <c r="D740" s="5" t="s">
        <v>1490</v>
      </c>
      <c r="E740" s="5" t="s">
        <v>1491</v>
      </c>
      <c r="F740" s="6"/>
      <c r="G740" s="5">
        <v>784.0</v>
      </c>
      <c r="H740" s="5" t="s">
        <v>22</v>
      </c>
      <c r="I740" s="7">
        <f t="shared" si="1"/>
        <v>1176</v>
      </c>
      <c r="J740" s="7">
        <f t="shared" si="7"/>
        <v>1019.2</v>
      </c>
      <c r="K740" s="7">
        <f t="shared" si="3"/>
        <v>1019.2</v>
      </c>
      <c r="L740" s="7">
        <f t="shared" si="4"/>
        <v>940.8</v>
      </c>
      <c r="M740" s="7">
        <f t="shared" si="5"/>
        <v>901.6</v>
      </c>
      <c r="N740" s="7">
        <f t="shared" si="6"/>
        <v>862.4</v>
      </c>
    </row>
    <row r="741">
      <c r="A741" s="5" t="s">
        <v>1454</v>
      </c>
      <c r="B741" s="5" t="s">
        <v>1455</v>
      </c>
      <c r="C741" s="5" t="s">
        <v>1456</v>
      </c>
      <c r="D741" s="5" t="s">
        <v>1492</v>
      </c>
      <c r="E741" s="5" t="s">
        <v>1493</v>
      </c>
      <c r="F741" s="6"/>
      <c r="G741" s="8">
        <v>1260.0</v>
      </c>
      <c r="H741" s="5" t="s">
        <v>22</v>
      </c>
      <c r="I741" s="7">
        <f t="shared" si="1"/>
        <v>1890</v>
      </c>
      <c r="J741" s="7">
        <f t="shared" si="7"/>
        <v>1638</v>
      </c>
      <c r="K741" s="7">
        <f t="shared" si="3"/>
        <v>1638</v>
      </c>
      <c r="L741" s="7">
        <f t="shared" si="4"/>
        <v>1512</v>
      </c>
      <c r="M741" s="7">
        <f t="shared" si="5"/>
        <v>1449</v>
      </c>
      <c r="N741" s="7">
        <f t="shared" si="6"/>
        <v>1386</v>
      </c>
    </row>
    <row r="742">
      <c r="A742" s="5" t="s">
        <v>1454</v>
      </c>
      <c r="B742" s="5" t="s">
        <v>1455</v>
      </c>
      <c r="C742" s="5" t="s">
        <v>1456</v>
      </c>
      <c r="D742" s="5" t="s">
        <v>1494</v>
      </c>
      <c r="E742" s="5" t="s">
        <v>1495</v>
      </c>
      <c r="F742" s="6"/>
      <c r="G742" s="5">
        <v>672.0</v>
      </c>
      <c r="H742" s="5" t="s">
        <v>22</v>
      </c>
      <c r="I742" s="7">
        <f t="shared" si="1"/>
        <v>1008</v>
      </c>
      <c r="J742" s="7">
        <f t="shared" si="7"/>
        <v>873.6</v>
      </c>
      <c r="K742" s="7">
        <f t="shared" si="3"/>
        <v>873.6</v>
      </c>
      <c r="L742" s="7">
        <f t="shared" si="4"/>
        <v>806.4</v>
      </c>
      <c r="M742" s="7">
        <f t="shared" si="5"/>
        <v>772.8</v>
      </c>
      <c r="N742" s="7">
        <f t="shared" si="6"/>
        <v>739.2</v>
      </c>
    </row>
    <row r="743">
      <c r="A743" s="5" t="s">
        <v>1454</v>
      </c>
      <c r="B743" s="5" t="s">
        <v>1455</v>
      </c>
      <c r="C743" s="5" t="s">
        <v>1456</v>
      </c>
      <c r="D743" s="5" t="s">
        <v>1496</v>
      </c>
      <c r="E743" s="5" t="s">
        <v>1497</v>
      </c>
      <c r="F743" s="6"/>
      <c r="G743" s="5">
        <v>798.0</v>
      </c>
      <c r="H743" s="5" t="s">
        <v>22</v>
      </c>
      <c r="I743" s="7">
        <f t="shared" si="1"/>
        <v>1197</v>
      </c>
      <c r="J743" s="7">
        <f t="shared" si="7"/>
        <v>1037.4</v>
      </c>
      <c r="K743" s="7">
        <f t="shared" si="3"/>
        <v>1037.4</v>
      </c>
      <c r="L743" s="7">
        <f t="shared" si="4"/>
        <v>957.6</v>
      </c>
      <c r="M743" s="7">
        <f t="shared" si="5"/>
        <v>917.7</v>
      </c>
      <c r="N743" s="7">
        <f t="shared" si="6"/>
        <v>877.8</v>
      </c>
    </row>
    <row r="744">
      <c r="A744" s="5" t="s">
        <v>1454</v>
      </c>
      <c r="B744" s="5" t="s">
        <v>1455</v>
      </c>
      <c r="C744" s="5" t="s">
        <v>1456</v>
      </c>
      <c r="D744" s="5" t="s">
        <v>1498</v>
      </c>
      <c r="E744" s="5" t="s">
        <v>1499</v>
      </c>
      <c r="F744" s="6"/>
      <c r="G744" s="5">
        <v>840.0</v>
      </c>
      <c r="H744" s="5" t="s">
        <v>22</v>
      </c>
      <c r="I744" s="7">
        <f t="shared" si="1"/>
        <v>1260</v>
      </c>
      <c r="J744" s="7">
        <f t="shared" si="7"/>
        <v>1092</v>
      </c>
      <c r="K744" s="7">
        <f t="shared" si="3"/>
        <v>1092</v>
      </c>
      <c r="L744" s="7">
        <f t="shared" si="4"/>
        <v>1008</v>
      </c>
      <c r="M744" s="7">
        <f t="shared" si="5"/>
        <v>966</v>
      </c>
      <c r="N744" s="7">
        <f t="shared" si="6"/>
        <v>924</v>
      </c>
    </row>
    <row r="745">
      <c r="A745" s="5" t="s">
        <v>1454</v>
      </c>
      <c r="B745" s="5" t="s">
        <v>1455</v>
      </c>
      <c r="C745" s="5" t="s">
        <v>1456</v>
      </c>
      <c r="D745" s="5" t="s">
        <v>1500</v>
      </c>
      <c r="E745" s="5" t="s">
        <v>1501</v>
      </c>
      <c r="F745" s="6"/>
      <c r="G745" s="8">
        <v>1050.0</v>
      </c>
      <c r="H745" s="5" t="s">
        <v>22</v>
      </c>
      <c r="I745" s="7">
        <f t="shared" si="1"/>
        <v>1575</v>
      </c>
      <c r="J745" s="7">
        <f t="shared" si="7"/>
        <v>1365</v>
      </c>
      <c r="K745" s="7">
        <f t="shared" si="3"/>
        <v>1365</v>
      </c>
      <c r="L745" s="7">
        <f t="shared" si="4"/>
        <v>1260</v>
      </c>
      <c r="M745" s="7">
        <f t="shared" si="5"/>
        <v>1207.5</v>
      </c>
      <c r="N745" s="7">
        <f t="shared" si="6"/>
        <v>1155</v>
      </c>
    </row>
    <row r="746">
      <c r="A746" s="5" t="s">
        <v>1454</v>
      </c>
      <c r="B746" s="5" t="s">
        <v>1455</v>
      </c>
      <c r="C746" s="5" t="s">
        <v>1456</v>
      </c>
      <c r="D746" s="5" t="s">
        <v>1502</v>
      </c>
      <c r="E746" s="5" t="s">
        <v>1503</v>
      </c>
      <c r="F746" s="6"/>
      <c r="G746" s="5">
        <v>483.0</v>
      </c>
      <c r="H746" s="5" t="s">
        <v>22</v>
      </c>
      <c r="I746" s="7">
        <f t="shared" si="1"/>
        <v>724.5</v>
      </c>
      <c r="J746" s="7">
        <f t="shared" si="7"/>
        <v>627.9</v>
      </c>
      <c r="K746" s="7">
        <f t="shared" si="3"/>
        <v>627.9</v>
      </c>
      <c r="L746" s="7">
        <f t="shared" si="4"/>
        <v>579.6</v>
      </c>
      <c r="M746" s="7">
        <f t="shared" si="5"/>
        <v>555.45</v>
      </c>
      <c r="N746" s="7">
        <f t="shared" si="6"/>
        <v>531.3</v>
      </c>
    </row>
    <row r="747">
      <c r="A747" s="5" t="s">
        <v>1454</v>
      </c>
      <c r="B747" s="5" t="s">
        <v>1455</v>
      </c>
      <c r="C747" s="5" t="s">
        <v>1456</v>
      </c>
      <c r="D747" s="5" t="s">
        <v>1504</v>
      </c>
      <c r="E747" s="5" t="s">
        <v>1505</v>
      </c>
      <c r="F747" s="6"/>
      <c r="G747" s="5">
        <v>826.0</v>
      </c>
      <c r="H747" s="5" t="s">
        <v>22</v>
      </c>
      <c r="I747" s="7">
        <f t="shared" si="1"/>
        <v>1239</v>
      </c>
      <c r="J747" s="7">
        <f t="shared" si="7"/>
        <v>1073.8</v>
      </c>
      <c r="K747" s="7">
        <f t="shared" si="3"/>
        <v>1073.8</v>
      </c>
      <c r="L747" s="7">
        <f t="shared" si="4"/>
        <v>991.2</v>
      </c>
      <c r="M747" s="7">
        <f t="shared" si="5"/>
        <v>949.9</v>
      </c>
      <c r="N747" s="7">
        <f t="shared" si="6"/>
        <v>908.6</v>
      </c>
    </row>
    <row r="748">
      <c r="A748" s="5" t="s">
        <v>1454</v>
      </c>
      <c r="B748" s="5" t="s">
        <v>1455</v>
      </c>
      <c r="C748" s="5" t="s">
        <v>1456</v>
      </c>
      <c r="D748" s="5" t="s">
        <v>1506</v>
      </c>
      <c r="E748" s="5" t="s">
        <v>1507</v>
      </c>
      <c r="F748" s="6"/>
      <c r="G748" s="5">
        <v>581.0</v>
      </c>
      <c r="H748" s="5" t="s">
        <v>22</v>
      </c>
      <c r="I748" s="7">
        <f t="shared" si="1"/>
        <v>871.5</v>
      </c>
      <c r="J748" s="7">
        <f t="shared" si="7"/>
        <v>755.3</v>
      </c>
      <c r="K748" s="7">
        <f t="shared" si="3"/>
        <v>755.3</v>
      </c>
      <c r="L748" s="7">
        <f t="shared" si="4"/>
        <v>697.2</v>
      </c>
      <c r="M748" s="7">
        <f t="shared" si="5"/>
        <v>668.15</v>
      </c>
      <c r="N748" s="7">
        <f t="shared" si="6"/>
        <v>639.1</v>
      </c>
    </row>
    <row r="749">
      <c r="A749" s="5" t="s">
        <v>1454</v>
      </c>
      <c r="B749" s="5" t="s">
        <v>1455</v>
      </c>
      <c r="C749" s="5" t="s">
        <v>1456</v>
      </c>
      <c r="D749" s="5" t="s">
        <v>1508</v>
      </c>
      <c r="E749" s="5" t="s">
        <v>1509</v>
      </c>
      <c r="F749" s="6"/>
      <c r="G749" s="5">
        <v>903.0</v>
      </c>
      <c r="H749" s="5" t="s">
        <v>22</v>
      </c>
      <c r="I749" s="7">
        <f t="shared" si="1"/>
        <v>1354.5</v>
      </c>
      <c r="J749" s="7">
        <f t="shared" si="7"/>
        <v>1173.9</v>
      </c>
      <c r="K749" s="7">
        <f t="shared" si="3"/>
        <v>1173.9</v>
      </c>
      <c r="L749" s="7">
        <f t="shared" si="4"/>
        <v>1083.6</v>
      </c>
      <c r="M749" s="7">
        <f t="shared" si="5"/>
        <v>1038.45</v>
      </c>
      <c r="N749" s="7">
        <f t="shared" si="6"/>
        <v>993.3</v>
      </c>
    </row>
    <row r="750">
      <c r="A750" s="5" t="s">
        <v>1454</v>
      </c>
      <c r="B750" s="5" t="s">
        <v>1455</v>
      </c>
      <c r="C750" s="5" t="s">
        <v>1456</v>
      </c>
      <c r="D750" s="5" t="s">
        <v>1510</v>
      </c>
      <c r="E750" s="5" t="s">
        <v>1511</v>
      </c>
      <c r="F750" s="6"/>
      <c r="G750" s="5">
        <v>966.0</v>
      </c>
      <c r="H750" s="5" t="s">
        <v>22</v>
      </c>
      <c r="I750" s="7">
        <f t="shared" si="1"/>
        <v>1449</v>
      </c>
      <c r="J750" s="7">
        <f t="shared" si="7"/>
        <v>1255.8</v>
      </c>
      <c r="K750" s="7">
        <f t="shared" si="3"/>
        <v>1255.8</v>
      </c>
      <c r="L750" s="7">
        <f t="shared" si="4"/>
        <v>1159.2</v>
      </c>
      <c r="M750" s="7">
        <f t="shared" si="5"/>
        <v>1110.9</v>
      </c>
      <c r="N750" s="7">
        <f t="shared" si="6"/>
        <v>1062.6</v>
      </c>
    </row>
    <row r="751">
      <c r="A751" s="5" t="s">
        <v>1454</v>
      </c>
      <c r="B751" s="5" t="s">
        <v>1455</v>
      </c>
      <c r="C751" s="5" t="s">
        <v>1456</v>
      </c>
      <c r="D751" s="5" t="s">
        <v>1512</v>
      </c>
      <c r="E751" s="5" t="s">
        <v>1513</v>
      </c>
      <c r="F751" s="6"/>
      <c r="G751" s="5">
        <v>665.0</v>
      </c>
      <c r="H751" s="5" t="s">
        <v>22</v>
      </c>
      <c r="I751" s="7">
        <f t="shared" si="1"/>
        <v>997.5</v>
      </c>
      <c r="J751" s="7">
        <f t="shared" si="7"/>
        <v>864.5</v>
      </c>
      <c r="K751" s="7">
        <f t="shared" si="3"/>
        <v>864.5</v>
      </c>
      <c r="L751" s="7">
        <f t="shared" si="4"/>
        <v>798</v>
      </c>
      <c r="M751" s="7">
        <f t="shared" si="5"/>
        <v>764.75</v>
      </c>
      <c r="N751" s="7">
        <f t="shared" si="6"/>
        <v>731.5</v>
      </c>
    </row>
    <row r="752">
      <c r="A752" s="5" t="s">
        <v>1454</v>
      </c>
      <c r="B752" s="5" t="s">
        <v>1455</v>
      </c>
      <c r="C752" s="5" t="s">
        <v>1456</v>
      </c>
      <c r="D752" s="5" t="s">
        <v>1514</v>
      </c>
      <c r="E752" s="5" t="s">
        <v>1515</v>
      </c>
      <c r="F752" s="6"/>
      <c r="G752" s="8">
        <v>2037.0</v>
      </c>
      <c r="H752" s="5" t="s">
        <v>22</v>
      </c>
      <c r="I752" s="7">
        <f t="shared" si="1"/>
        <v>3055.5</v>
      </c>
      <c r="J752" s="7">
        <f t="shared" si="7"/>
        <v>2648.1</v>
      </c>
      <c r="K752" s="7">
        <f t="shared" si="3"/>
        <v>2648.1</v>
      </c>
      <c r="L752" s="7">
        <f t="shared" si="4"/>
        <v>2444.4</v>
      </c>
      <c r="M752" s="7">
        <f t="shared" si="5"/>
        <v>2342.55</v>
      </c>
      <c r="N752" s="7">
        <f t="shared" si="6"/>
        <v>2240.7</v>
      </c>
    </row>
    <row r="753">
      <c r="A753" s="5" t="s">
        <v>1454</v>
      </c>
      <c r="B753" s="5" t="s">
        <v>1455</v>
      </c>
      <c r="C753" s="5" t="s">
        <v>1456</v>
      </c>
      <c r="D753" s="5" t="s">
        <v>1516</v>
      </c>
      <c r="E753" s="5" t="s">
        <v>1517</v>
      </c>
      <c r="F753" s="6"/>
      <c r="G753" s="5">
        <v>420.0</v>
      </c>
      <c r="H753" s="5" t="s">
        <v>22</v>
      </c>
      <c r="I753" s="7">
        <f t="shared" si="1"/>
        <v>630</v>
      </c>
      <c r="J753" s="7">
        <f t="shared" si="7"/>
        <v>546</v>
      </c>
      <c r="K753" s="7">
        <f t="shared" si="3"/>
        <v>546</v>
      </c>
      <c r="L753" s="7">
        <f t="shared" si="4"/>
        <v>504</v>
      </c>
      <c r="M753" s="7">
        <f t="shared" si="5"/>
        <v>483</v>
      </c>
      <c r="N753" s="7">
        <f t="shared" si="6"/>
        <v>462</v>
      </c>
    </row>
    <row r="754">
      <c r="A754" s="5" t="s">
        <v>1454</v>
      </c>
      <c r="B754" s="5" t="s">
        <v>1455</v>
      </c>
      <c r="C754" s="5" t="s">
        <v>1456</v>
      </c>
      <c r="D754" s="5" t="s">
        <v>1518</v>
      </c>
      <c r="E754" s="5" t="s">
        <v>1519</v>
      </c>
      <c r="F754" s="6"/>
      <c r="G754" s="5">
        <v>308.0</v>
      </c>
      <c r="H754" s="5" t="s">
        <v>22</v>
      </c>
      <c r="I754" s="7">
        <f t="shared" si="1"/>
        <v>462</v>
      </c>
      <c r="J754" s="7">
        <f t="shared" si="7"/>
        <v>400.4</v>
      </c>
      <c r="K754" s="7">
        <f t="shared" si="3"/>
        <v>400.4</v>
      </c>
      <c r="L754" s="7">
        <f t="shared" si="4"/>
        <v>369.6</v>
      </c>
      <c r="M754" s="7">
        <f t="shared" si="5"/>
        <v>354.2</v>
      </c>
      <c r="N754" s="7">
        <f t="shared" si="6"/>
        <v>338.8</v>
      </c>
    </row>
    <row r="755">
      <c r="A755" s="5" t="s">
        <v>1454</v>
      </c>
      <c r="B755" s="5" t="s">
        <v>1455</v>
      </c>
      <c r="C755" s="5" t="s">
        <v>1456</v>
      </c>
      <c r="D755" s="5" t="s">
        <v>1520</v>
      </c>
      <c r="E755" s="5" t="s">
        <v>1521</v>
      </c>
      <c r="F755" s="6"/>
      <c r="G755" s="8">
        <v>16128.0</v>
      </c>
      <c r="H755" s="5" t="s">
        <v>22</v>
      </c>
      <c r="I755" s="7">
        <f t="shared" si="1"/>
        <v>24192</v>
      </c>
      <c r="J755" s="7">
        <f t="shared" si="7"/>
        <v>20966.4</v>
      </c>
      <c r="K755" s="7">
        <f t="shared" si="3"/>
        <v>20966.4</v>
      </c>
      <c r="L755" s="7">
        <f t="shared" si="4"/>
        <v>19353.6</v>
      </c>
      <c r="M755" s="7">
        <f t="shared" si="5"/>
        <v>18547.2</v>
      </c>
      <c r="N755" s="7">
        <f t="shared" si="6"/>
        <v>17740.8</v>
      </c>
    </row>
    <row r="756">
      <c r="A756" s="5" t="s">
        <v>1454</v>
      </c>
      <c r="B756" s="5" t="s">
        <v>1455</v>
      </c>
      <c r="C756" s="5" t="s">
        <v>1456</v>
      </c>
      <c r="D756" s="5" t="s">
        <v>1522</v>
      </c>
      <c r="E756" s="5" t="s">
        <v>1523</v>
      </c>
      <c r="F756" s="6"/>
      <c r="G756" s="8">
        <v>12600.0</v>
      </c>
      <c r="H756" s="5" t="s">
        <v>22</v>
      </c>
      <c r="I756" s="7">
        <f t="shared" si="1"/>
        <v>18900</v>
      </c>
      <c r="J756" s="7">
        <f t="shared" si="7"/>
        <v>16380</v>
      </c>
      <c r="K756" s="7">
        <f t="shared" si="3"/>
        <v>16380</v>
      </c>
      <c r="L756" s="7">
        <f t="shared" si="4"/>
        <v>15120</v>
      </c>
      <c r="M756" s="7">
        <f t="shared" si="5"/>
        <v>14490</v>
      </c>
      <c r="N756" s="7">
        <f t="shared" si="6"/>
        <v>13860</v>
      </c>
    </row>
    <row r="757">
      <c r="A757" s="5" t="s">
        <v>1454</v>
      </c>
      <c r="B757" s="5" t="s">
        <v>1524</v>
      </c>
      <c r="C757" s="5" t="s">
        <v>1456</v>
      </c>
      <c r="D757" s="5" t="s">
        <v>1525</v>
      </c>
      <c r="E757" s="5" t="s">
        <v>1526</v>
      </c>
      <c r="F757" s="6"/>
      <c r="G757" s="8">
        <v>42000.0</v>
      </c>
      <c r="H757" s="5" t="s">
        <v>22</v>
      </c>
      <c r="I757" s="7">
        <f t="shared" si="1"/>
        <v>63000</v>
      </c>
      <c r="J757" s="7">
        <f t="shared" si="7"/>
        <v>54600</v>
      </c>
      <c r="K757" s="7">
        <f t="shared" si="3"/>
        <v>54600</v>
      </c>
      <c r="L757" s="7">
        <f t="shared" si="4"/>
        <v>50400</v>
      </c>
      <c r="M757" s="7">
        <f t="shared" si="5"/>
        <v>48300</v>
      </c>
      <c r="N757" s="7">
        <f t="shared" si="6"/>
        <v>46200</v>
      </c>
    </row>
    <row r="758">
      <c r="A758" s="5" t="s">
        <v>1454</v>
      </c>
      <c r="B758" s="5" t="s">
        <v>1524</v>
      </c>
      <c r="C758" s="5" t="s">
        <v>1456</v>
      </c>
      <c r="D758" s="5" t="s">
        <v>1527</v>
      </c>
      <c r="E758" s="5" t="s">
        <v>1528</v>
      </c>
      <c r="F758" s="6"/>
      <c r="G758" s="8">
        <v>48300.0</v>
      </c>
      <c r="H758" s="5" t="s">
        <v>22</v>
      </c>
      <c r="I758" s="7">
        <f t="shared" si="1"/>
        <v>72450</v>
      </c>
      <c r="J758" s="7">
        <f t="shared" si="7"/>
        <v>62790</v>
      </c>
      <c r="K758" s="7">
        <f t="shared" si="3"/>
        <v>62790</v>
      </c>
      <c r="L758" s="7">
        <f t="shared" si="4"/>
        <v>57960</v>
      </c>
      <c r="M758" s="7">
        <f t="shared" si="5"/>
        <v>55545</v>
      </c>
      <c r="N758" s="7">
        <f t="shared" si="6"/>
        <v>53130</v>
      </c>
    </row>
    <row r="759">
      <c r="A759" s="5" t="s">
        <v>1454</v>
      </c>
      <c r="B759" s="5" t="s">
        <v>1524</v>
      </c>
      <c r="C759" s="5" t="s">
        <v>1456</v>
      </c>
      <c r="D759" s="5" t="s">
        <v>1529</v>
      </c>
      <c r="E759" s="5" t="s">
        <v>1530</v>
      </c>
      <c r="F759" s="6"/>
      <c r="G759" s="8">
        <v>78120.0</v>
      </c>
      <c r="H759" s="5" t="s">
        <v>22</v>
      </c>
      <c r="I759" s="7">
        <f t="shared" si="1"/>
        <v>117180</v>
      </c>
      <c r="J759" s="7">
        <f t="shared" si="7"/>
        <v>101556</v>
      </c>
      <c r="K759" s="7">
        <f t="shared" si="3"/>
        <v>101556</v>
      </c>
      <c r="L759" s="7">
        <f t="shared" si="4"/>
        <v>93744</v>
      </c>
      <c r="M759" s="7">
        <f t="shared" si="5"/>
        <v>89838</v>
      </c>
      <c r="N759" s="7">
        <f t="shared" si="6"/>
        <v>85932</v>
      </c>
    </row>
    <row r="760">
      <c r="A760" s="5" t="s">
        <v>1454</v>
      </c>
      <c r="B760" s="5" t="s">
        <v>1524</v>
      </c>
      <c r="C760" s="5" t="s">
        <v>1456</v>
      </c>
      <c r="D760" s="5" t="s">
        <v>1531</v>
      </c>
      <c r="E760" s="5" t="s">
        <v>1532</v>
      </c>
      <c r="F760" s="6"/>
      <c r="G760" s="8">
        <v>84000.0</v>
      </c>
      <c r="H760" s="5" t="s">
        <v>22</v>
      </c>
      <c r="I760" s="7">
        <f t="shared" si="1"/>
        <v>126000</v>
      </c>
      <c r="J760" s="7">
        <f t="shared" si="7"/>
        <v>109200</v>
      </c>
      <c r="K760" s="7">
        <f t="shared" si="3"/>
        <v>109200</v>
      </c>
      <c r="L760" s="7">
        <f t="shared" si="4"/>
        <v>100800</v>
      </c>
      <c r="M760" s="7">
        <f t="shared" si="5"/>
        <v>96600</v>
      </c>
      <c r="N760" s="7">
        <f t="shared" si="6"/>
        <v>92400</v>
      </c>
    </row>
    <row r="761">
      <c r="A761" s="5" t="s">
        <v>1454</v>
      </c>
      <c r="B761" s="5" t="s">
        <v>1524</v>
      </c>
      <c r="C761" s="5" t="s">
        <v>1456</v>
      </c>
      <c r="D761" s="5" t="s">
        <v>1533</v>
      </c>
      <c r="E761" s="5" t="s">
        <v>1534</v>
      </c>
      <c r="F761" s="6"/>
      <c r="G761" s="8">
        <v>90720.0</v>
      </c>
      <c r="H761" s="5" t="s">
        <v>22</v>
      </c>
      <c r="I761" s="7">
        <f t="shared" si="1"/>
        <v>136080</v>
      </c>
      <c r="J761" s="7">
        <f t="shared" si="7"/>
        <v>117936</v>
      </c>
      <c r="K761" s="7">
        <f t="shared" si="3"/>
        <v>117936</v>
      </c>
      <c r="L761" s="7">
        <f t="shared" si="4"/>
        <v>108864</v>
      </c>
      <c r="M761" s="7">
        <f t="shared" si="5"/>
        <v>104328</v>
      </c>
      <c r="N761" s="7">
        <f t="shared" si="6"/>
        <v>99792</v>
      </c>
    </row>
    <row r="762">
      <c r="A762" s="5" t="s">
        <v>1454</v>
      </c>
      <c r="B762" s="5" t="s">
        <v>1524</v>
      </c>
      <c r="C762" s="5" t="s">
        <v>1456</v>
      </c>
      <c r="D762" s="5" t="s">
        <v>1535</v>
      </c>
      <c r="E762" s="5" t="s">
        <v>1536</v>
      </c>
      <c r="F762" s="6"/>
      <c r="G762" s="8">
        <v>96600.0</v>
      </c>
      <c r="H762" s="5" t="s">
        <v>22</v>
      </c>
      <c r="I762" s="7">
        <f t="shared" si="1"/>
        <v>144900</v>
      </c>
      <c r="J762" s="7">
        <f t="shared" si="7"/>
        <v>125580</v>
      </c>
      <c r="K762" s="7">
        <f t="shared" si="3"/>
        <v>125580</v>
      </c>
      <c r="L762" s="7">
        <f t="shared" si="4"/>
        <v>115920</v>
      </c>
      <c r="M762" s="7">
        <f t="shared" si="5"/>
        <v>111090</v>
      </c>
      <c r="N762" s="7">
        <f t="shared" si="6"/>
        <v>106260</v>
      </c>
    </row>
    <row r="763">
      <c r="A763" s="5" t="s">
        <v>1454</v>
      </c>
      <c r="B763" s="5" t="s">
        <v>1524</v>
      </c>
      <c r="C763" s="5" t="s">
        <v>1456</v>
      </c>
      <c r="D763" s="5" t="s">
        <v>1537</v>
      </c>
      <c r="E763" s="5" t="s">
        <v>1538</v>
      </c>
      <c r="F763" s="6"/>
      <c r="G763" s="8">
        <v>102480.0</v>
      </c>
      <c r="H763" s="5" t="s">
        <v>22</v>
      </c>
      <c r="I763" s="7">
        <f t="shared" si="1"/>
        <v>153720</v>
      </c>
      <c r="J763" s="7">
        <f t="shared" si="7"/>
        <v>133224</v>
      </c>
      <c r="K763" s="7">
        <f t="shared" si="3"/>
        <v>133224</v>
      </c>
      <c r="L763" s="7">
        <f t="shared" si="4"/>
        <v>122976</v>
      </c>
      <c r="M763" s="7">
        <f t="shared" si="5"/>
        <v>117852</v>
      </c>
      <c r="N763" s="7">
        <f t="shared" si="6"/>
        <v>112728</v>
      </c>
    </row>
    <row r="764">
      <c r="A764" s="5" t="s">
        <v>1454</v>
      </c>
      <c r="B764" s="5" t="s">
        <v>1524</v>
      </c>
      <c r="C764" s="5" t="s">
        <v>1456</v>
      </c>
      <c r="D764" s="5" t="s">
        <v>1539</v>
      </c>
      <c r="E764" s="5" t="s">
        <v>1540</v>
      </c>
      <c r="F764" s="6"/>
      <c r="G764" s="8">
        <v>108360.0</v>
      </c>
      <c r="H764" s="5" t="s">
        <v>22</v>
      </c>
      <c r="I764" s="7">
        <f t="shared" si="1"/>
        <v>162540</v>
      </c>
      <c r="J764" s="7">
        <f t="shared" si="7"/>
        <v>140868</v>
      </c>
      <c r="K764" s="7">
        <f t="shared" si="3"/>
        <v>140868</v>
      </c>
      <c r="L764" s="7">
        <f t="shared" si="4"/>
        <v>130032</v>
      </c>
      <c r="M764" s="7">
        <f t="shared" si="5"/>
        <v>124614</v>
      </c>
      <c r="N764" s="7">
        <f t="shared" si="6"/>
        <v>119196</v>
      </c>
    </row>
    <row r="765">
      <c r="A765" s="5" t="s">
        <v>1454</v>
      </c>
      <c r="B765" s="5" t="s">
        <v>1524</v>
      </c>
      <c r="C765" s="5" t="s">
        <v>1456</v>
      </c>
      <c r="D765" s="5" t="s">
        <v>1541</v>
      </c>
      <c r="E765" s="5" t="s">
        <v>1542</v>
      </c>
      <c r="F765" s="6"/>
      <c r="G765" s="8">
        <v>9072.0</v>
      </c>
      <c r="H765" s="5" t="s">
        <v>22</v>
      </c>
      <c r="I765" s="7">
        <f t="shared" si="1"/>
        <v>13608</v>
      </c>
      <c r="J765" s="7">
        <f t="shared" si="7"/>
        <v>11793.6</v>
      </c>
      <c r="K765" s="7">
        <f t="shared" si="3"/>
        <v>11793.6</v>
      </c>
      <c r="L765" s="7">
        <f t="shared" si="4"/>
        <v>10886.4</v>
      </c>
      <c r="M765" s="7">
        <f t="shared" si="5"/>
        <v>10432.8</v>
      </c>
      <c r="N765" s="7">
        <f t="shared" si="6"/>
        <v>9979.2</v>
      </c>
    </row>
    <row r="766">
      <c r="A766" s="5" t="s">
        <v>1454</v>
      </c>
      <c r="B766" s="5" t="s">
        <v>1524</v>
      </c>
      <c r="C766" s="5" t="s">
        <v>1456</v>
      </c>
      <c r="D766" s="5" t="s">
        <v>1543</v>
      </c>
      <c r="E766" s="5" t="s">
        <v>1544</v>
      </c>
      <c r="F766" s="6"/>
      <c r="G766" s="8">
        <v>19824.0</v>
      </c>
      <c r="H766" s="5" t="s">
        <v>22</v>
      </c>
      <c r="I766" s="7">
        <f t="shared" si="1"/>
        <v>29736</v>
      </c>
      <c r="J766" s="7">
        <f t="shared" si="7"/>
        <v>25771.2</v>
      </c>
      <c r="K766" s="7">
        <f t="shared" si="3"/>
        <v>25771.2</v>
      </c>
      <c r="L766" s="7">
        <f t="shared" si="4"/>
        <v>23788.8</v>
      </c>
      <c r="M766" s="7">
        <f t="shared" si="5"/>
        <v>22797.6</v>
      </c>
      <c r="N766" s="7">
        <f t="shared" si="6"/>
        <v>21806.4</v>
      </c>
    </row>
    <row r="767">
      <c r="A767" s="5" t="s">
        <v>1454</v>
      </c>
      <c r="B767" s="5" t="s">
        <v>1524</v>
      </c>
      <c r="C767" s="5" t="s">
        <v>1456</v>
      </c>
      <c r="D767" s="5" t="s">
        <v>1545</v>
      </c>
      <c r="E767" s="5" t="s">
        <v>1546</v>
      </c>
      <c r="F767" s="6"/>
      <c r="G767" s="8">
        <v>4200.0</v>
      </c>
      <c r="H767" s="5" t="s">
        <v>22</v>
      </c>
      <c r="I767" s="7">
        <f t="shared" si="1"/>
        <v>6300</v>
      </c>
      <c r="J767" s="7">
        <f t="shared" si="7"/>
        <v>5460</v>
      </c>
      <c r="K767" s="7">
        <f t="shared" si="3"/>
        <v>5460</v>
      </c>
      <c r="L767" s="7">
        <f t="shared" si="4"/>
        <v>5040</v>
      </c>
      <c r="M767" s="7">
        <f t="shared" si="5"/>
        <v>4830</v>
      </c>
      <c r="N767" s="7">
        <f t="shared" si="6"/>
        <v>4620</v>
      </c>
    </row>
    <row r="768">
      <c r="A768" s="5" t="s">
        <v>1454</v>
      </c>
      <c r="B768" s="5" t="s">
        <v>1524</v>
      </c>
      <c r="C768" s="5" t="s">
        <v>1456</v>
      </c>
      <c r="D768" s="5" t="s">
        <v>1547</v>
      </c>
      <c r="E768" s="5" t="s">
        <v>1548</v>
      </c>
      <c r="F768" s="6"/>
      <c r="G768" s="8">
        <v>24360.0</v>
      </c>
      <c r="H768" s="5" t="s">
        <v>22</v>
      </c>
      <c r="I768" s="7">
        <f t="shared" si="1"/>
        <v>36540</v>
      </c>
      <c r="J768" s="7">
        <f t="shared" si="7"/>
        <v>31668</v>
      </c>
      <c r="K768" s="7">
        <f t="shared" si="3"/>
        <v>31668</v>
      </c>
      <c r="L768" s="7">
        <f t="shared" si="4"/>
        <v>29232</v>
      </c>
      <c r="M768" s="7">
        <f t="shared" si="5"/>
        <v>28014</v>
      </c>
      <c r="N768" s="7">
        <f t="shared" si="6"/>
        <v>26796</v>
      </c>
    </row>
    <row r="769">
      <c r="A769" s="5" t="s">
        <v>1454</v>
      </c>
      <c r="B769" s="5" t="s">
        <v>1524</v>
      </c>
      <c r="C769" s="5" t="s">
        <v>1456</v>
      </c>
      <c r="D769" s="5" t="s">
        <v>1549</v>
      </c>
      <c r="E769" s="5" t="s">
        <v>1550</v>
      </c>
      <c r="F769" s="6"/>
      <c r="G769" s="8">
        <v>2184.0</v>
      </c>
      <c r="H769" s="5" t="s">
        <v>22</v>
      </c>
      <c r="I769" s="7">
        <f t="shared" si="1"/>
        <v>3276</v>
      </c>
      <c r="J769" s="7">
        <f t="shared" si="7"/>
        <v>2839.2</v>
      </c>
      <c r="K769" s="7">
        <f t="shared" si="3"/>
        <v>2839.2</v>
      </c>
      <c r="L769" s="7">
        <f t="shared" si="4"/>
        <v>2620.8</v>
      </c>
      <c r="M769" s="7">
        <f t="shared" si="5"/>
        <v>2511.6</v>
      </c>
      <c r="N769" s="7">
        <f t="shared" si="6"/>
        <v>2402.4</v>
      </c>
    </row>
    <row r="770">
      <c r="A770" s="5" t="s">
        <v>1454</v>
      </c>
      <c r="B770" s="5" t="s">
        <v>1524</v>
      </c>
      <c r="C770" s="5" t="s">
        <v>1456</v>
      </c>
      <c r="D770" s="5" t="s">
        <v>1551</v>
      </c>
      <c r="E770" s="5" t="s">
        <v>1552</v>
      </c>
      <c r="F770" s="6"/>
      <c r="G770" s="8">
        <v>9912.0</v>
      </c>
      <c r="H770" s="5" t="s">
        <v>22</v>
      </c>
      <c r="I770" s="7">
        <f t="shared" si="1"/>
        <v>14868</v>
      </c>
      <c r="J770" s="7">
        <f t="shared" si="7"/>
        <v>12885.6</v>
      </c>
      <c r="K770" s="7">
        <f t="shared" si="3"/>
        <v>12885.6</v>
      </c>
      <c r="L770" s="7">
        <f t="shared" si="4"/>
        <v>11894.4</v>
      </c>
      <c r="M770" s="7">
        <f t="shared" si="5"/>
        <v>11398.8</v>
      </c>
      <c r="N770" s="7">
        <f t="shared" si="6"/>
        <v>10903.2</v>
      </c>
    </row>
    <row r="771">
      <c r="A771" s="5" t="s">
        <v>1454</v>
      </c>
      <c r="B771" s="5" t="s">
        <v>1524</v>
      </c>
      <c r="C771" s="5" t="s">
        <v>1456</v>
      </c>
      <c r="D771" s="5" t="s">
        <v>1553</v>
      </c>
      <c r="E771" s="5" t="s">
        <v>1554</v>
      </c>
      <c r="F771" s="6"/>
      <c r="G771" s="8">
        <v>1386.0</v>
      </c>
      <c r="H771" s="5" t="s">
        <v>22</v>
      </c>
      <c r="I771" s="7">
        <f t="shared" si="1"/>
        <v>2079</v>
      </c>
      <c r="J771" s="7">
        <f t="shared" si="7"/>
        <v>1801.8</v>
      </c>
      <c r="K771" s="7">
        <f t="shared" si="3"/>
        <v>1801.8</v>
      </c>
      <c r="L771" s="7">
        <f t="shared" si="4"/>
        <v>1663.2</v>
      </c>
      <c r="M771" s="7">
        <f t="shared" si="5"/>
        <v>1593.9</v>
      </c>
      <c r="N771" s="7">
        <f t="shared" si="6"/>
        <v>1524.6</v>
      </c>
    </row>
    <row r="772">
      <c r="A772" s="5" t="s">
        <v>1454</v>
      </c>
      <c r="B772" s="5" t="s">
        <v>1524</v>
      </c>
      <c r="C772" s="5" t="s">
        <v>1456</v>
      </c>
      <c r="D772" s="5" t="s">
        <v>1555</v>
      </c>
      <c r="E772" s="5" t="s">
        <v>1556</v>
      </c>
      <c r="F772" s="6"/>
      <c r="G772" s="8">
        <v>1386.0</v>
      </c>
      <c r="H772" s="5" t="s">
        <v>22</v>
      </c>
      <c r="I772" s="7">
        <f t="shared" si="1"/>
        <v>2079</v>
      </c>
      <c r="J772" s="7">
        <f t="shared" si="7"/>
        <v>1801.8</v>
      </c>
      <c r="K772" s="7">
        <f t="shared" si="3"/>
        <v>1801.8</v>
      </c>
      <c r="L772" s="7">
        <f t="shared" si="4"/>
        <v>1663.2</v>
      </c>
      <c r="M772" s="7">
        <f t="shared" si="5"/>
        <v>1593.9</v>
      </c>
      <c r="N772" s="7">
        <f t="shared" si="6"/>
        <v>1524.6</v>
      </c>
    </row>
    <row r="773">
      <c r="A773" s="5" t="s">
        <v>1454</v>
      </c>
      <c r="B773" s="5" t="s">
        <v>1524</v>
      </c>
      <c r="C773" s="5" t="s">
        <v>1456</v>
      </c>
      <c r="D773" s="5" t="s">
        <v>1557</v>
      </c>
      <c r="E773" s="5" t="s">
        <v>1558</v>
      </c>
      <c r="F773" s="6"/>
      <c r="G773" s="8">
        <v>1988.0</v>
      </c>
      <c r="H773" s="5" t="s">
        <v>22</v>
      </c>
      <c r="I773" s="7">
        <f t="shared" si="1"/>
        <v>2982</v>
      </c>
      <c r="J773" s="7">
        <f t="shared" si="7"/>
        <v>2584.4</v>
      </c>
      <c r="K773" s="7">
        <f t="shared" si="3"/>
        <v>2584.4</v>
      </c>
      <c r="L773" s="7">
        <f t="shared" si="4"/>
        <v>2385.6</v>
      </c>
      <c r="M773" s="7">
        <f t="shared" si="5"/>
        <v>2286.2</v>
      </c>
      <c r="N773" s="7">
        <f t="shared" si="6"/>
        <v>2186.8</v>
      </c>
    </row>
    <row r="774">
      <c r="A774" s="5" t="s">
        <v>1454</v>
      </c>
      <c r="B774" s="5" t="s">
        <v>1524</v>
      </c>
      <c r="C774" s="5" t="s">
        <v>1456</v>
      </c>
      <c r="D774" s="5" t="s">
        <v>1559</v>
      </c>
      <c r="E774" s="5" t="s">
        <v>1560</v>
      </c>
      <c r="F774" s="6"/>
      <c r="G774" s="8">
        <v>1988.0</v>
      </c>
      <c r="H774" s="5" t="s">
        <v>22</v>
      </c>
      <c r="I774" s="7">
        <f t="shared" si="1"/>
        <v>2982</v>
      </c>
      <c r="J774" s="7">
        <f t="shared" si="7"/>
        <v>2584.4</v>
      </c>
      <c r="K774" s="7">
        <f t="shared" si="3"/>
        <v>2584.4</v>
      </c>
      <c r="L774" s="7">
        <f t="shared" si="4"/>
        <v>2385.6</v>
      </c>
      <c r="M774" s="7">
        <f t="shared" si="5"/>
        <v>2286.2</v>
      </c>
      <c r="N774" s="7">
        <f t="shared" si="6"/>
        <v>2186.8</v>
      </c>
    </row>
    <row r="775">
      <c r="A775" s="5" t="s">
        <v>1454</v>
      </c>
      <c r="B775" s="5" t="s">
        <v>1524</v>
      </c>
      <c r="C775" s="5" t="s">
        <v>1456</v>
      </c>
      <c r="D775" s="5" t="s">
        <v>1561</v>
      </c>
      <c r="E775" s="5" t="s">
        <v>1562</v>
      </c>
      <c r="F775" s="6"/>
      <c r="G775" s="8">
        <v>2730.0</v>
      </c>
      <c r="H775" s="5" t="s">
        <v>22</v>
      </c>
      <c r="I775" s="7">
        <f t="shared" si="1"/>
        <v>4095</v>
      </c>
      <c r="J775" s="7">
        <f t="shared" si="7"/>
        <v>3549</v>
      </c>
      <c r="K775" s="7">
        <f t="shared" si="3"/>
        <v>3549</v>
      </c>
      <c r="L775" s="7">
        <f t="shared" si="4"/>
        <v>3276</v>
      </c>
      <c r="M775" s="7">
        <f t="shared" si="5"/>
        <v>3139.5</v>
      </c>
      <c r="N775" s="7">
        <f t="shared" si="6"/>
        <v>3003</v>
      </c>
    </row>
    <row r="776">
      <c r="A776" s="5" t="s">
        <v>1454</v>
      </c>
      <c r="B776" s="5" t="s">
        <v>1524</v>
      </c>
      <c r="C776" s="5" t="s">
        <v>1456</v>
      </c>
      <c r="D776" s="5" t="s">
        <v>1563</v>
      </c>
      <c r="E776" s="5" t="s">
        <v>1564</v>
      </c>
      <c r="F776" s="6"/>
      <c r="G776" s="8">
        <v>1890.0</v>
      </c>
      <c r="H776" s="5" t="s">
        <v>22</v>
      </c>
      <c r="I776" s="7">
        <f t="shared" si="1"/>
        <v>2835</v>
      </c>
      <c r="J776" s="7">
        <f t="shared" si="7"/>
        <v>2457</v>
      </c>
      <c r="K776" s="7">
        <f t="shared" si="3"/>
        <v>2457</v>
      </c>
      <c r="L776" s="7">
        <f t="shared" si="4"/>
        <v>2268</v>
      </c>
      <c r="M776" s="7">
        <f t="shared" si="5"/>
        <v>2173.5</v>
      </c>
      <c r="N776" s="7">
        <f t="shared" si="6"/>
        <v>2079</v>
      </c>
    </row>
    <row r="777">
      <c r="A777" s="5" t="s">
        <v>1454</v>
      </c>
      <c r="B777" s="5" t="s">
        <v>1524</v>
      </c>
      <c r="C777" s="5" t="s">
        <v>1456</v>
      </c>
      <c r="D777" s="5" t="s">
        <v>1565</v>
      </c>
      <c r="E777" s="5" t="s">
        <v>1566</v>
      </c>
      <c r="F777" s="6"/>
      <c r="G777" s="8">
        <v>1890.0</v>
      </c>
      <c r="H777" s="5" t="s">
        <v>22</v>
      </c>
      <c r="I777" s="7">
        <f t="shared" si="1"/>
        <v>2835</v>
      </c>
      <c r="J777" s="7">
        <f t="shared" si="7"/>
        <v>2457</v>
      </c>
      <c r="K777" s="7">
        <f t="shared" si="3"/>
        <v>2457</v>
      </c>
      <c r="L777" s="7">
        <f t="shared" si="4"/>
        <v>2268</v>
      </c>
      <c r="M777" s="7">
        <f t="shared" si="5"/>
        <v>2173.5</v>
      </c>
      <c r="N777" s="7">
        <f t="shared" si="6"/>
        <v>2079</v>
      </c>
    </row>
    <row r="778">
      <c r="A778" s="5" t="s">
        <v>1454</v>
      </c>
      <c r="B778" s="5" t="s">
        <v>1524</v>
      </c>
      <c r="C778" s="5" t="s">
        <v>1456</v>
      </c>
      <c r="D778" s="5" t="s">
        <v>1567</v>
      </c>
      <c r="E778" s="5" t="s">
        <v>1568</v>
      </c>
      <c r="F778" s="6"/>
      <c r="G778" s="8">
        <v>2478.0</v>
      </c>
      <c r="H778" s="5" t="s">
        <v>22</v>
      </c>
      <c r="I778" s="7">
        <f t="shared" si="1"/>
        <v>3717</v>
      </c>
      <c r="J778" s="7">
        <f t="shared" si="7"/>
        <v>3221.4</v>
      </c>
      <c r="K778" s="7">
        <f t="shared" si="3"/>
        <v>3221.4</v>
      </c>
      <c r="L778" s="7">
        <f t="shared" si="4"/>
        <v>2973.6</v>
      </c>
      <c r="M778" s="7">
        <f t="shared" si="5"/>
        <v>2849.7</v>
      </c>
      <c r="N778" s="7">
        <f t="shared" si="6"/>
        <v>2725.8</v>
      </c>
    </row>
    <row r="779">
      <c r="A779" s="5" t="s">
        <v>1454</v>
      </c>
      <c r="B779" s="5" t="s">
        <v>1524</v>
      </c>
      <c r="C779" s="5" t="s">
        <v>1456</v>
      </c>
      <c r="D779" s="5" t="s">
        <v>1569</v>
      </c>
      <c r="E779" s="5" t="s">
        <v>1570</v>
      </c>
      <c r="F779" s="6"/>
      <c r="G779" s="8">
        <v>1512.0</v>
      </c>
      <c r="H779" s="5" t="s">
        <v>22</v>
      </c>
      <c r="I779" s="7">
        <f t="shared" si="1"/>
        <v>2268</v>
      </c>
      <c r="J779" s="7">
        <f t="shared" si="7"/>
        <v>1965.6</v>
      </c>
      <c r="K779" s="7">
        <f t="shared" si="3"/>
        <v>1965.6</v>
      </c>
      <c r="L779" s="7">
        <f t="shared" si="4"/>
        <v>1814.4</v>
      </c>
      <c r="M779" s="7">
        <f t="shared" si="5"/>
        <v>1738.8</v>
      </c>
      <c r="N779" s="7">
        <f t="shared" si="6"/>
        <v>1663.2</v>
      </c>
    </row>
    <row r="780">
      <c r="A780" s="5" t="s">
        <v>1454</v>
      </c>
      <c r="B780" s="5" t="s">
        <v>1524</v>
      </c>
      <c r="C780" s="5" t="s">
        <v>1456</v>
      </c>
      <c r="D780" s="5" t="s">
        <v>1571</v>
      </c>
      <c r="E780" s="5" t="s">
        <v>1572</v>
      </c>
      <c r="F780" s="6"/>
      <c r="G780" s="8">
        <v>18060.0</v>
      </c>
      <c r="H780" s="5" t="s">
        <v>22</v>
      </c>
      <c r="I780" s="7">
        <f t="shared" si="1"/>
        <v>27090</v>
      </c>
      <c r="J780" s="7">
        <f t="shared" si="7"/>
        <v>23478</v>
      </c>
      <c r="K780" s="7">
        <f t="shared" si="3"/>
        <v>23478</v>
      </c>
      <c r="L780" s="7">
        <f t="shared" si="4"/>
        <v>21672</v>
      </c>
      <c r="M780" s="7">
        <f t="shared" si="5"/>
        <v>20769</v>
      </c>
      <c r="N780" s="7">
        <f t="shared" si="6"/>
        <v>19866</v>
      </c>
    </row>
    <row r="781">
      <c r="A781" s="5" t="s">
        <v>1454</v>
      </c>
      <c r="B781" s="5" t="s">
        <v>1524</v>
      </c>
      <c r="C781" s="5" t="s">
        <v>1456</v>
      </c>
      <c r="D781" s="5" t="s">
        <v>1573</v>
      </c>
      <c r="E781" s="5" t="s">
        <v>1574</v>
      </c>
      <c r="F781" s="6"/>
      <c r="G781" s="8">
        <v>6720.0</v>
      </c>
      <c r="H781" s="5" t="s">
        <v>22</v>
      </c>
      <c r="I781" s="7">
        <f t="shared" si="1"/>
        <v>10080</v>
      </c>
      <c r="J781" s="7">
        <f t="shared" si="7"/>
        <v>8736</v>
      </c>
      <c r="K781" s="7">
        <f t="shared" si="3"/>
        <v>8736</v>
      </c>
      <c r="L781" s="7">
        <f t="shared" si="4"/>
        <v>8064</v>
      </c>
      <c r="M781" s="7">
        <f t="shared" si="5"/>
        <v>7728</v>
      </c>
      <c r="N781" s="7">
        <f t="shared" si="6"/>
        <v>7392</v>
      </c>
    </row>
    <row r="782">
      <c r="A782" s="5" t="s">
        <v>1454</v>
      </c>
      <c r="B782" s="5" t="s">
        <v>1524</v>
      </c>
      <c r="C782" s="5" t="s">
        <v>1456</v>
      </c>
      <c r="D782" s="5" t="s">
        <v>1575</v>
      </c>
      <c r="E782" s="5" t="s">
        <v>1576</v>
      </c>
      <c r="F782" s="6"/>
      <c r="G782" s="8">
        <v>4200.0</v>
      </c>
      <c r="H782" s="5" t="s">
        <v>22</v>
      </c>
      <c r="I782" s="7">
        <f t="shared" si="1"/>
        <v>6300</v>
      </c>
      <c r="J782" s="7">
        <f t="shared" si="7"/>
        <v>5460</v>
      </c>
      <c r="K782" s="7">
        <f t="shared" si="3"/>
        <v>5460</v>
      </c>
      <c r="L782" s="7">
        <f t="shared" si="4"/>
        <v>5040</v>
      </c>
      <c r="M782" s="7">
        <f t="shared" si="5"/>
        <v>4830</v>
      </c>
      <c r="N782" s="7">
        <f t="shared" si="6"/>
        <v>4620</v>
      </c>
    </row>
    <row r="783">
      <c r="A783" s="5" t="s">
        <v>1454</v>
      </c>
      <c r="B783" s="5" t="s">
        <v>1524</v>
      </c>
      <c r="C783" s="5" t="s">
        <v>1456</v>
      </c>
      <c r="D783" s="5" t="s">
        <v>1577</v>
      </c>
      <c r="E783" s="5" t="s">
        <v>1578</v>
      </c>
      <c r="F783" s="6"/>
      <c r="G783" s="8">
        <v>1890.0</v>
      </c>
      <c r="H783" s="5" t="s">
        <v>22</v>
      </c>
      <c r="I783" s="7">
        <f t="shared" si="1"/>
        <v>2835</v>
      </c>
      <c r="J783" s="7">
        <f t="shared" si="7"/>
        <v>2457</v>
      </c>
      <c r="K783" s="7">
        <f t="shared" si="3"/>
        <v>2457</v>
      </c>
      <c r="L783" s="7">
        <f t="shared" si="4"/>
        <v>2268</v>
      </c>
      <c r="M783" s="7">
        <f t="shared" si="5"/>
        <v>2173.5</v>
      </c>
      <c r="N783" s="7">
        <f t="shared" si="6"/>
        <v>2079</v>
      </c>
    </row>
    <row r="784">
      <c r="A784" s="5" t="s">
        <v>1454</v>
      </c>
      <c r="B784" s="5" t="s">
        <v>1524</v>
      </c>
      <c r="C784" s="5" t="s">
        <v>1456</v>
      </c>
      <c r="D784" s="5" t="s">
        <v>1579</v>
      </c>
      <c r="E784" s="5" t="s">
        <v>1580</v>
      </c>
      <c r="F784" s="6"/>
      <c r="G784" s="8">
        <v>1890.0</v>
      </c>
      <c r="H784" s="5" t="s">
        <v>22</v>
      </c>
      <c r="I784" s="7">
        <f t="shared" si="1"/>
        <v>2835</v>
      </c>
      <c r="J784" s="7">
        <f t="shared" si="7"/>
        <v>2457</v>
      </c>
      <c r="K784" s="7">
        <f t="shared" si="3"/>
        <v>2457</v>
      </c>
      <c r="L784" s="7">
        <f t="shared" si="4"/>
        <v>2268</v>
      </c>
      <c r="M784" s="7">
        <f t="shared" si="5"/>
        <v>2173.5</v>
      </c>
      <c r="N784" s="7">
        <f t="shared" si="6"/>
        <v>2079</v>
      </c>
    </row>
    <row r="785">
      <c r="A785" s="5" t="s">
        <v>1454</v>
      </c>
      <c r="B785" s="5" t="s">
        <v>1524</v>
      </c>
      <c r="C785" s="5" t="s">
        <v>1456</v>
      </c>
      <c r="D785" s="5" t="s">
        <v>1581</v>
      </c>
      <c r="E785" s="5" t="s">
        <v>1582</v>
      </c>
      <c r="F785" s="6"/>
      <c r="G785" s="8">
        <v>18900.0</v>
      </c>
      <c r="H785" s="5" t="s">
        <v>22</v>
      </c>
      <c r="I785" s="7">
        <f t="shared" si="1"/>
        <v>28350</v>
      </c>
      <c r="J785" s="7">
        <f t="shared" si="7"/>
        <v>24570</v>
      </c>
      <c r="K785" s="7">
        <f t="shared" si="3"/>
        <v>24570</v>
      </c>
      <c r="L785" s="7">
        <f t="shared" si="4"/>
        <v>22680</v>
      </c>
      <c r="M785" s="7">
        <f t="shared" si="5"/>
        <v>21735</v>
      </c>
      <c r="N785" s="7">
        <f t="shared" si="6"/>
        <v>20790</v>
      </c>
    </row>
    <row r="786">
      <c r="A786" s="5" t="s">
        <v>1454</v>
      </c>
      <c r="B786" s="5" t="s">
        <v>1524</v>
      </c>
      <c r="C786" s="5" t="s">
        <v>1583</v>
      </c>
      <c r="D786" s="5" t="s">
        <v>1584</v>
      </c>
      <c r="E786" s="5" t="s">
        <v>1585</v>
      </c>
      <c r="F786" s="6"/>
      <c r="G786" s="8">
        <v>6720.0</v>
      </c>
      <c r="H786" s="5" t="s">
        <v>22</v>
      </c>
      <c r="I786" s="7">
        <f t="shared" si="1"/>
        <v>10080</v>
      </c>
      <c r="J786" s="7">
        <f t="shared" si="7"/>
        <v>8736</v>
      </c>
      <c r="K786" s="7">
        <f t="shared" si="3"/>
        <v>8736</v>
      </c>
      <c r="L786" s="7">
        <f t="shared" si="4"/>
        <v>8064</v>
      </c>
      <c r="M786" s="7">
        <f t="shared" si="5"/>
        <v>7728</v>
      </c>
      <c r="N786" s="7">
        <f t="shared" si="6"/>
        <v>7392</v>
      </c>
    </row>
    <row r="787">
      <c r="A787" s="5" t="s">
        <v>1454</v>
      </c>
      <c r="B787" s="5" t="s">
        <v>1524</v>
      </c>
      <c r="C787" s="5" t="s">
        <v>1583</v>
      </c>
      <c r="D787" s="5" t="s">
        <v>1586</v>
      </c>
      <c r="E787" s="5" t="s">
        <v>1587</v>
      </c>
      <c r="F787" s="6"/>
      <c r="G787" s="8">
        <v>37464.0</v>
      </c>
      <c r="H787" s="5" t="s">
        <v>22</v>
      </c>
      <c r="I787" s="7">
        <f t="shared" si="1"/>
        <v>56196</v>
      </c>
      <c r="J787" s="7">
        <f t="shared" si="7"/>
        <v>48703.2</v>
      </c>
      <c r="K787" s="7">
        <f t="shared" si="3"/>
        <v>48703.2</v>
      </c>
      <c r="L787" s="7">
        <f t="shared" si="4"/>
        <v>44956.8</v>
      </c>
      <c r="M787" s="7">
        <f t="shared" si="5"/>
        <v>43083.6</v>
      </c>
      <c r="N787" s="7">
        <f t="shared" si="6"/>
        <v>41210.4</v>
      </c>
    </row>
    <row r="788">
      <c r="A788" s="5" t="s">
        <v>1454</v>
      </c>
      <c r="B788" s="5" t="s">
        <v>1524</v>
      </c>
      <c r="C788" s="5" t="s">
        <v>1583</v>
      </c>
      <c r="D788" s="5" t="s">
        <v>1588</v>
      </c>
      <c r="E788" s="5" t="s">
        <v>1589</v>
      </c>
      <c r="F788" s="6"/>
      <c r="G788" s="8">
        <v>10164.0</v>
      </c>
      <c r="H788" s="5" t="s">
        <v>22</v>
      </c>
      <c r="I788" s="7">
        <f t="shared" si="1"/>
        <v>15246</v>
      </c>
      <c r="J788" s="7">
        <f t="shared" si="7"/>
        <v>13213.2</v>
      </c>
      <c r="K788" s="7">
        <f t="shared" si="3"/>
        <v>13213.2</v>
      </c>
      <c r="L788" s="7">
        <f t="shared" si="4"/>
        <v>12196.8</v>
      </c>
      <c r="M788" s="7">
        <f t="shared" si="5"/>
        <v>11688.6</v>
      </c>
      <c r="N788" s="7">
        <f t="shared" si="6"/>
        <v>11180.4</v>
      </c>
    </row>
    <row r="789">
      <c r="A789" s="5" t="s">
        <v>1454</v>
      </c>
      <c r="B789" s="5" t="s">
        <v>1524</v>
      </c>
      <c r="C789" s="5" t="s">
        <v>1583</v>
      </c>
      <c r="D789" s="5" t="s">
        <v>1590</v>
      </c>
      <c r="E789" s="5" t="s">
        <v>1591</v>
      </c>
      <c r="F789" s="6"/>
      <c r="G789" s="8">
        <v>1386.0</v>
      </c>
      <c r="H789" s="5" t="s">
        <v>22</v>
      </c>
      <c r="I789" s="7">
        <f t="shared" si="1"/>
        <v>2079</v>
      </c>
      <c r="J789" s="7">
        <f t="shared" si="7"/>
        <v>1801.8</v>
      </c>
      <c r="K789" s="7">
        <f t="shared" si="3"/>
        <v>1801.8</v>
      </c>
      <c r="L789" s="7">
        <f t="shared" si="4"/>
        <v>1663.2</v>
      </c>
      <c r="M789" s="7">
        <f t="shared" si="5"/>
        <v>1593.9</v>
      </c>
      <c r="N789" s="7">
        <f t="shared" si="6"/>
        <v>1524.6</v>
      </c>
    </row>
    <row r="790">
      <c r="A790" s="5" t="s">
        <v>1454</v>
      </c>
      <c r="B790" s="5" t="s">
        <v>1524</v>
      </c>
      <c r="C790" s="5" t="s">
        <v>1583</v>
      </c>
      <c r="D790" s="5" t="s">
        <v>1592</v>
      </c>
      <c r="E790" s="5" t="s">
        <v>1593</v>
      </c>
      <c r="F790" s="6"/>
      <c r="G790" s="8">
        <v>1386.0</v>
      </c>
      <c r="H790" s="5" t="s">
        <v>22</v>
      </c>
      <c r="I790" s="7">
        <f t="shared" si="1"/>
        <v>2079</v>
      </c>
      <c r="J790" s="7">
        <f t="shared" si="7"/>
        <v>1801.8</v>
      </c>
      <c r="K790" s="7">
        <f t="shared" si="3"/>
        <v>1801.8</v>
      </c>
      <c r="L790" s="7">
        <f t="shared" si="4"/>
        <v>1663.2</v>
      </c>
      <c r="M790" s="7">
        <f t="shared" si="5"/>
        <v>1593.9</v>
      </c>
      <c r="N790" s="7">
        <f t="shared" si="6"/>
        <v>1524.6</v>
      </c>
    </row>
    <row r="791">
      <c r="A791" s="5" t="s">
        <v>1454</v>
      </c>
      <c r="B791" s="5" t="s">
        <v>1524</v>
      </c>
      <c r="C791" s="5" t="s">
        <v>1583</v>
      </c>
      <c r="D791" s="5" t="s">
        <v>1594</v>
      </c>
      <c r="E791" s="5" t="s">
        <v>1595</v>
      </c>
      <c r="F791" s="6"/>
      <c r="G791" s="8">
        <v>1764.0</v>
      </c>
      <c r="H791" s="5" t="s">
        <v>22</v>
      </c>
      <c r="I791" s="7">
        <f t="shared" si="1"/>
        <v>2646</v>
      </c>
      <c r="J791" s="7">
        <f t="shared" si="7"/>
        <v>2293.2</v>
      </c>
      <c r="K791" s="7">
        <f t="shared" si="3"/>
        <v>2293.2</v>
      </c>
      <c r="L791" s="7">
        <f t="shared" si="4"/>
        <v>2116.8</v>
      </c>
      <c r="M791" s="7">
        <f t="shared" si="5"/>
        <v>2028.6</v>
      </c>
      <c r="N791" s="7">
        <f t="shared" si="6"/>
        <v>1940.4</v>
      </c>
    </row>
    <row r="792">
      <c r="A792" s="5" t="s">
        <v>1454</v>
      </c>
      <c r="B792" s="5" t="s">
        <v>1524</v>
      </c>
      <c r="C792" s="5" t="s">
        <v>1583</v>
      </c>
      <c r="D792" s="5" t="s">
        <v>1596</v>
      </c>
      <c r="E792" s="5" t="s">
        <v>1597</v>
      </c>
      <c r="F792" s="6"/>
      <c r="G792" s="8">
        <v>1764.0</v>
      </c>
      <c r="H792" s="5" t="s">
        <v>22</v>
      </c>
      <c r="I792" s="7">
        <f t="shared" si="1"/>
        <v>2646</v>
      </c>
      <c r="J792" s="7">
        <f t="shared" si="7"/>
        <v>2293.2</v>
      </c>
      <c r="K792" s="7">
        <f t="shared" si="3"/>
        <v>2293.2</v>
      </c>
      <c r="L792" s="7">
        <f t="shared" si="4"/>
        <v>2116.8</v>
      </c>
      <c r="M792" s="7">
        <f t="shared" si="5"/>
        <v>2028.6</v>
      </c>
      <c r="N792" s="7">
        <f t="shared" si="6"/>
        <v>1940.4</v>
      </c>
    </row>
    <row r="793">
      <c r="A793" s="5" t="s">
        <v>1454</v>
      </c>
      <c r="B793" s="5" t="s">
        <v>1524</v>
      </c>
      <c r="C793" s="5" t="s">
        <v>1583</v>
      </c>
      <c r="D793" s="5" t="s">
        <v>1598</v>
      </c>
      <c r="E793" s="5" t="s">
        <v>1599</v>
      </c>
      <c r="F793" s="6"/>
      <c r="G793" s="8">
        <v>2520.0</v>
      </c>
      <c r="H793" s="5" t="s">
        <v>22</v>
      </c>
      <c r="I793" s="7">
        <f t="shared" si="1"/>
        <v>3780</v>
      </c>
      <c r="J793" s="7">
        <f t="shared" si="7"/>
        <v>3276</v>
      </c>
      <c r="K793" s="7">
        <f t="shared" si="3"/>
        <v>3276</v>
      </c>
      <c r="L793" s="7">
        <f t="shared" si="4"/>
        <v>3024</v>
      </c>
      <c r="M793" s="7">
        <f t="shared" si="5"/>
        <v>2898</v>
      </c>
      <c r="N793" s="7">
        <f t="shared" si="6"/>
        <v>2772</v>
      </c>
    </row>
    <row r="794">
      <c r="A794" s="5" t="s">
        <v>1454</v>
      </c>
      <c r="B794" s="5" t="s">
        <v>1524</v>
      </c>
      <c r="C794" s="5" t="s">
        <v>1583</v>
      </c>
      <c r="D794" s="5" t="s">
        <v>1600</v>
      </c>
      <c r="E794" s="5" t="s">
        <v>1601</v>
      </c>
      <c r="F794" s="6"/>
      <c r="G794" s="8">
        <v>1722.0</v>
      </c>
      <c r="H794" s="5" t="s">
        <v>22</v>
      </c>
      <c r="I794" s="7">
        <f t="shared" si="1"/>
        <v>2583</v>
      </c>
      <c r="J794" s="7">
        <f t="shared" si="7"/>
        <v>2238.6</v>
      </c>
      <c r="K794" s="7">
        <f t="shared" si="3"/>
        <v>2238.6</v>
      </c>
      <c r="L794" s="7">
        <f t="shared" si="4"/>
        <v>2066.4</v>
      </c>
      <c r="M794" s="7">
        <f t="shared" si="5"/>
        <v>1980.3</v>
      </c>
      <c r="N794" s="7">
        <f t="shared" si="6"/>
        <v>1894.2</v>
      </c>
    </row>
    <row r="795">
      <c r="A795" s="5" t="s">
        <v>1454</v>
      </c>
      <c r="B795" s="5" t="s">
        <v>1524</v>
      </c>
      <c r="C795" s="5" t="s">
        <v>1583</v>
      </c>
      <c r="D795" s="5" t="s">
        <v>1602</v>
      </c>
      <c r="E795" s="5" t="s">
        <v>1603</v>
      </c>
      <c r="F795" s="6"/>
      <c r="G795" s="8">
        <v>1764.0</v>
      </c>
      <c r="H795" s="5" t="s">
        <v>22</v>
      </c>
      <c r="I795" s="7">
        <f t="shared" si="1"/>
        <v>2646</v>
      </c>
      <c r="J795" s="7">
        <f t="shared" si="7"/>
        <v>2293.2</v>
      </c>
      <c r="K795" s="7">
        <f t="shared" si="3"/>
        <v>2293.2</v>
      </c>
      <c r="L795" s="7">
        <f t="shared" si="4"/>
        <v>2116.8</v>
      </c>
      <c r="M795" s="7">
        <f t="shared" si="5"/>
        <v>2028.6</v>
      </c>
      <c r="N795" s="7">
        <f t="shared" si="6"/>
        <v>1940.4</v>
      </c>
    </row>
    <row r="796">
      <c r="A796" s="5" t="s">
        <v>1454</v>
      </c>
      <c r="B796" s="5" t="s">
        <v>1524</v>
      </c>
      <c r="C796" s="5" t="s">
        <v>1583</v>
      </c>
      <c r="D796" s="5" t="s">
        <v>1604</v>
      </c>
      <c r="E796" s="5" t="s">
        <v>1605</v>
      </c>
      <c r="F796" s="6"/>
      <c r="G796" s="8">
        <v>2268.0</v>
      </c>
      <c r="H796" s="5" t="s">
        <v>22</v>
      </c>
      <c r="I796" s="7">
        <f t="shared" si="1"/>
        <v>3402</v>
      </c>
      <c r="J796" s="7">
        <f t="shared" si="7"/>
        <v>2948.4</v>
      </c>
      <c r="K796" s="7">
        <f t="shared" si="3"/>
        <v>2948.4</v>
      </c>
      <c r="L796" s="7">
        <f t="shared" si="4"/>
        <v>2721.6</v>
      </c>
      <c r="M796" s="7">
        <f t="shared" si="5"/>
        <v>2608.2</v>
      </c>
      <c r="N796" s="7">
        <f t="shared" si="6"/>
        <v>2494.8</v>
      </c>
    </row>
    <row r="797">
      <c r="A797" s="5" t="s">
        <v>1454</v>
      </c>
      <c r="B797" s="5" t="s">
        <v>1524</v>
      </c>
      <c r="C797" s="5" t="s">
        <v>1583</v>
      </c>
      <c r="D797" s="5" t="s">
        <v>1514</v>
      </c>
      <c r="E797" s="5" t="s">
        <v>1606</v>
      </c>
      <c r="F797" s="6"/>
      <c r="G797" s="8">
        <v>2037.0</v>
      </c>
      <c r="H797" s="5" t="s">
        <v>22</v>
      </c>
      <c r="I797" s="7">
        <f t="shared" si="1"/>
        <v>3055.5</v>
      </c>
      <c r="J797" s="7">
        <f t="shared" si="7"/>
        <v>2648.1</v>
      </c>
      <c r="K797" s="7">
        <f t="shared" si="3"/>
        <v>2648.1</v>
      </c>
      <c r="L797" s="7">
        <f t="shared" si="4"/>
        <v>2444.4</v>
      </c>
      <c r="M797" s="7">
        <f t="shared" si="5"/>
        <v>2342.55</v>
      </c>
      <c r="N797" s="7">
        <f t="shared" si="6"/>
        <v>2240.7</v>
      </c>
    </row>
    <row r="798">
      <c r="A798" s="5" t="s">
        <v>1454</v>
      </c>
      <c r="B798" s="5" t="s">
        <v>1524</v>
      </c>
      <c r="C798" s="5" t="s">
        <v>1583</v>
      </c>
      <c r="D798" s="5" t="s">
        <v>1607</v>
      </c>
      <c r="E798" s="5" t="s">
        <v>1608</v>
      </c>
      <c r="F798" s="6"/>
      <c r="G798" s="8">
        <v>2478.0</v>
      </c>
      <c r="H798" s="5" t="s">
        <v>22</v>
      </c>
      <c r="I798" s="7">
        <f t="shared" si="1"/>
        <v>3717</v>
      </c>
      <c r="J798" s="7">
        <f t="shared" si="7"/>
        <v>3221.4</v>
      </c>
      <c r="K798" s="7">
        <f t="shared" si="3"/>
        <v>3221.4</v>
      </c>
      <c r="L798" s="7">
        <f t="shared" si="4"/>
        <v>2973.6</v>
      </c>
      <c r="M798" s="7">
        <f t="shared" si="5"/>
        <v>2849.7</v>
      </c>
      <c r="N798" s="7">
        <f t="shared" si="6"/>
        <v>2725.8</v>
      </c>
    </row>
    <row r="799">
      <c r="A799" s="5" t="s">
        <v>1609</v>
      </c>
      <c r="B799" s="5" t="s">
        <v>1610</v>
      </c>
      <c r="C799" s="5" t="s">
        <v>1611</v>
      </c>
      <c r="D799" s="5" t="s">
        <v>1612</v>
      </c>
      <c r="E799" s="5" t="s">
        <v>1613</v>
      </c>
      <c r="F799" s="5" t="s">
        <v>1614</v>
      </c>
      <c r="G799" s="8">
        <v>43250.0</v>
      </c>
      <c r="H799" s="5" t="s">
        <v>22</v>
      </c>
      <c r="I799" s="7">
        <f t="shared" si="1"/>
        <v>64875</v>
      </c>
      <c r="J799" s="7">
        <f t="shared" si="7"/>
        <v>56225</v>
      </c>
      <c r="K799" s="7">
        <f t="shared" si="3"/>
        <v>56225</v>
      </c>
      <c r="L799" s="7">
        <f t="shared" si="4"/>
        <v>51900</v>
      </c>
      <c r="M799" s="7">
        <f t="shared" si="5"/>
        <v>49737.5</v>
      </c>
      <c r="N799" s="7">
        <f t="shared" si="6"/>
        <v>47575</v>
      </c>
    </row>
    <row r="800">
      <c r="A800" s="5" t="s">
        <v>1609</v>
      </c>
      <c r="B800" s="5" t="s">
        <v>1610</v>
      </c>
      <c r="C800" s="5" t="s">
        <v>1611</v>
      </c>
      <c r="D800" s="5" t="s">
        <v>1615</v>
      </c>
      <c r="E800" s="5" t="s">
        <v>1616</v>
      </c>
      <c r="F800" s="5" t="s">
        <v>1617</v>
      </c>
      <c r="G800" s="8">
        <v>8800.0</v>
      </c>
      <c r="H800" s="5" t="s">
        <v>22</v>
      </c>
      <c r="I800" s="7">
        <f t="shared" si="1"/>
        <v>13200</v>
      </c>
      <c r="J800" s="7">
        <f t="shared" si="7"/>
        <v>11440</v>
      </c>
      <c r="K800" s="7">
        <f t="shared" si="3"/>
        <v>11440</v>
      </c>
      <c r="L800" s="7">
        <f t="shared" si="4"/>
        <v>10560</v>
      </c>
      <c r="M800" s="7">
        <f t="shared" si="5"/>
        <v>10120</v>
      </c>
      <c r="N800" s="7">
        <f t="shared" si="6"/>
        <v>9680</v>
      </c>
    </row>
    <row r="801">
      <c r="A801" s="5" t="s">
        <v>1609</v>
      </c>
      <c r="B801" s="5" t="s">
        <v>1610</v>
      </c>
      <c r="C801" s="5" t="s">
        <v>1611</v>
      </c>
      <c r="D801" s="5" t="s">
        <v>1618</v>
      </c>
      <c r="E801" s="5" t="s">
        <v>1619</v>
      </c>
      <c r="F801" s="5" t="s">
        <v>1620</v>
      </c>
      <c r="G801" s="8">
        <v>70500.0</v>
      </c>
      <c r="H801" s="5" t="s">
        <v>22</v>
      </c>
      <c r="I801" s="7">
        <f t="shared" si="1"/>
        <v>105750</v>
      </c>
      <c r="J801" s="7">
        <f t="shared" si="7"/>
        <v>91650</v>
      </c>
      <c r="K801" s="7">
        <f t="shared" si="3"/>
        <v>91650</v>
      </c>
      <c r="L801" s="7">
        <f t="shared" si="4"/>
        <v>84600</v>
      </c>
      <c r="M801" s="7">
        <f t="shared" si="5"/>
        <v>81075</v>
      </c>
      <c r="N801" s="7">
        <f t="shared" si="6"/>
        <v>77550</v>
      </c>
    </row>
    <row r="802">
      <c r="A802" s="5" t="s">
        <v>1609</v>
      </c>
      <c r="B802" s="5" t="s">
        <v>1610</v>
      </c>
      <c r="C802" s="5" t="s">
        <v>1611</v>
      </c>
      <c r="D802" s="5" t="s">
        <v>1621</v>
      </c>
      <c r="E802" s="5" t="s">
        <v>1619</v>
      </c>
      <c r="F802" s="5" t="s">
        <v>1622</v>
      </c>
      <c r="G802" s="8">
        <v>96000.0</v>
      </c>
      <c r="H802" s="5" t="s">
        <v>22</v>
      </c>
      <c r="I802" s="7">
        <f t="shared" si="1"/>
        <v>144000</v>
      </c>
      <c r="J802" s="7">
        <f t="shared" si="7"/>
        <v>124800</v>
      </c>
      <c r="K802" s="7">
        <f t="shared" si="3"/>
        <v>124800</v>
      </c>
      <c r="L802" s="7">
        <f t="shared" si="4"/>
        <v>115200</v>
      </c>
      <c r="M802" s="7">
        <f t="shared" si="5"/>
        <v>110400</v>
      </c>
      <c r="N802" s="7">
        <f t="shared" si="6"/>
        <v>105600</v>
      </c>
    </row>
    <row r="803">
      <c r="A803" s="5" t="s">
        <v>1609</v>
      </c>
      <c r="B803" s="5" t="s">
        <v>1610</v>
      </c>
      <c r="C803" s="5" t="s">
        <v>1611</v>
      </c>
      <c r="D803" s="5" t="s">
        <v>1623</v>
      </c>
      <c r="E803" s="5" t="s">
        <v>1624</v>
      </c>
      <c r="F803" s="5" t="s">
        <v>1625</v>
      </c>
      <c r="G803" s="8">
        <v>26000.0</v>
      </c>
      <c r="H803" s="5" t="s">
        <v>22</v>
      </c>
      <c r="I803" s="7">
        <f t="shared" si="1"/>
        <v>39000</v>
      </c>
      <c r="J803" s="7">
        <f t="shared" si="7"/>
        <v>33800</v>
      </c>
      <c r="K803" s="7">
        <f t="shared" si="3"/>
        <v>33800</v>
      </c>
      <c r="L803" s="7">
        <f t="shared" si="4"/>
        <v>31200</v>
      </c>
      <c r="M803" s="7">
        <f t="shared" si="5"/>
        <v>29900</v>
      </c>
      <c r="N803" s="7">
        <f t="shared" si="6"/>
        <v>28600</v>
      </c>
    </row>
    <row r="804">
      <c r="A804" s="5" t="s">
        <v>1609</v>
      </c>
      <c r="B804" s="5" t="s">
        <v>1610</v>
      </c>
      <c r="C804" s="5" t="s">
        <v>1611</v>
      </c>
      <c r="D804" s="5" t="s">
        <v>1626</v>
      </c>
      <c r="E804" s="5" t="s">
        <v>1627</v>
      </c>
      <c r="F804" s="5" t="s">
        <v>1628</v>
      </c>
      <c r="G804" s="8">
        <v>19500.0</v>
      </c>
      <c r="H804" s="5" t="s">
        <v>22</v>
      </c>
      <c r="I804" s="7">
        <f t="shared" si="1"/>
        <v>29250</v>
      </c>
      <c r="J804" s="7">
        <f t="shared" si="7"/>
        <v>25350</v>
      </c>
      <c r="K804" s="7">
        <f t="shared" si="3"/>
        <v>25350</v>
      </c>
      <c r="L804" s="7">
        <f t="shared" si="4"/>
        <v>23400</v>
      </c>
      <c r="M804" s="7">
        <f t="shared" si="5"/>
        <v>22425</v>
      </c>
      <c r="N804" s="7">
        <f t="shared" si="6"/>
        <v>21450</v>
      </c>
    </row>
    <row r="805">
      <c r="A805" s="5" t="s">
        <v>1609</v>
      </c>
      <c r="B805" s="5" t="s">
        <v>1610</v>
      </c>
      <c r="C805" s="5" t="s">
        <v>1611</v>
      </c>
      <c r="D805" s="5" t="s">
        <v>1629</v>
      </c>
      <c r="E805" s="5" t="s">
        <v>1630</v>
      </c>
      <c r="F805" s="5" t="s">
        <v>1631</v>
      </c>
      <c r="G805" s="8">
        <v>19550.0</v>
      </c>
      <c r="H805" s="5" t="s">
        <v>22</v>
      </c>
      <c r="I805" s="7">
        <f t="shared" si="1"/>
        <v>29325</v>
      </c>
      <c r="J805" s="7">
        <f t="shared" si="7"/>
        <v>25415</v>
      </c>
      <c r="K805" s="7">
        <f t="shared" si="3"/>
        <v>25415</v>
      </c>
      <c r="L805" s="7">
        <f t="shared" si="4"/>
        <v>23460</v>
      </c>
      <c r="M805" s="7">
        <f t="shared" si="5"/>
        <v>22482.5</v>
      </c>
      <c r="N805" s="7">
        <f t="shared" si="6"/>
        <v>21505</v>
      </c>
    </row>
    <row r="806">
      <c r="A806" s="5" t="s">
        <v>1609</v>
      </c>
      <c r="B806" s="5" t="s">
        <v>1610</v>
      </c>
      <c r="C806" s="5" t="s">
        <v>1611</v>
      </c>
      <c r="D806" s="5" t="s">
        <v>1632</v>
      </c>
      <c r="E806" s="5" t="s">
        <v>1633</v>
      </c>
      <c r="F806" s="5" t="s">
        <v>1634</v>
      </c>
      <c r="G806" s="8">
        <v>7000.0</v>
      </c>
      <c r="H806" s="5" t="s">
        <v>22</v>
      </c>
      <c r="I806" s="7">
        <f t="shared" si="1"/>
        <v>10500</v>
      </c>
      <c r="J806" s="7">
        <f t="shared" si="7"/>
        <v>9100</v>
      </c>
      <c r="K806" s="7">
        <f t="shared" si="3"/>
        <v>9100</v>
      </c>
      <c r="L806" s="7">
        <f t="shared" si="4"/>
        <v>8400</v>
      </c>
      <c r="M806" s="7">
        <f t="shared" si="5"/>
        <v>8050</v>
      </c>
      <c r="N806" s="7">
        <f t="shared" si="6"/>
        <v>7700</v>
      </c>
    </row>
    <row r="807">
      <c r="A807" s="5" t="s">
        <v>1609</v>
      </c>
      <c r="B807" s="5" t="s">
        <v>1610</v>
      </c>
      <c r="C807" s="5" t="s">
        <v>1611</v>
      </c>
      <c r="D807" s="5" t="s">
        <v>1635</v>
      </c>
      <c r="E807" s="5" t="s">
        <v>1636</v>
      </c>
      <c r="F807" s="5" t="s">
        <v>1637</v>
      </c>
      <c r="G807" s="8">
        <v>9100.0</v>
      </c>
      <c r="H807" s="5" t="s">
        <v>22</v>
      </c>
      <c r="I807" s="7">
        <f t="shared" si="1"/>
        <v>13650</v>
      </c>
      <c r="J807" s="7">
        <f t="shared" si="7"/>
        <v>11830</v>
      </c>
      <c r="K807" s="7">
        <f t="shared" si="3"/>
        <v>11830</v>
      </c>
      <c r="L807" s="7">
        <f t="shared" si="4"/>
        <v>10920</v>
      </c>
      <c r="M807" s="7">
        <f t="shared" si="5"/>
        <v>10465</v>
      </c>
      <c r="N807" s="7">
        <f t="shared" si="6"/>
        <v>10010</v>
      </c>
    </row>
    <row r="808">
      <c r="A808" s="5" t="s">
        <v>1609</v>
      </c>
      <c r="B808" s="5" t="s">
        <v>1610</v>
      </c>
      <c r="C808" s="5" t="s">
        <v>1611</v>
      </c>
      <c r="D808" s="5" t="s">
        <v>1638</v>
      </c>
      <c r="E808" s="5" t="s">
        <v>1639</v>
      </c>
      <c r="F808" s="5" t="s">
        <v>1640</v>
      </c>
      <c r="G808" s="8">
        <v>15500.0</v>
      </c>
      <c r="H808" s="5" t="s">
        <v>22</v>
      </c>
      <c r="I808" s="7">
        <f t="shared" si="1"/>
        <v>23250</v>
      </c>
      <c r="J808" s="7">
        <f t="shared" si="7"/>
        <v>20150</v>
      </c>
      <c r="K808" s="7">
        <f t="shared" si="3"/>
        <v>20150</v>
      </c>
      <c r="L808" s="7">
        <f t="shared" si="4"/>
        <v>18600</v>
      </c>
      <c r="M808" s="7">
        <f t="shared" si="5"/>
        <v>17825</v>
      </c>
      <c r="N808" s="7">
        <f t="shared" si="6"/>
        <v>17050</v>
      </c>
    </row>
    <row r="809">
      <c r="A809" s="5" t="s">
        <v>1609</v>
      </c>
      <c r="B809" s="5" t="s">
        <v>1610</v>
      </c>
      <c r="C809" s="5" t="s">
        <v>1611</v>
      </c>
      <c r="D809" s="5" t="s">
        <v>1641</v>
      </c>
      <c r="E809" s="5" t="s">
        <v>1642</v>
      </c>
      <c r="F809" s="5" t="s">
        <v>1643</v>
      </c>
      <c r="G809" s="8">
        <v>21000.0</v>
      </c>
      <c r="H809" s="5" t="s">
        <v>22</v>
      </c>
      <c r="I809" s="7">
        <f t="shared" si="1"/>
        <v>31500</v>
      </c>
      <c r="J809" s="7">
        <f t="shared" si="7"/>
        <v>27300</v>
      </c>
      <c r="K809" s="7">
        <f t="shared" si="3"/>
        <v>27300</v>
      </c>
      <c r="L809" s="7">
        <f t="shared" si="4"/>
        <v>25200</v>
      </c>
      <c r="M809" s="7">
        <f t="shared" si="5"/>
        <v>24150</v>
      </c>
      <c r="N809" s="7">
        <f t="shared" si="6"/>
        <v>23100</v>
      </c>
    </row>
    <row r="810">
      <c r="A810" s="5" t="s">
        <v>1609</v>
      </c>
      <c r="B810" s="5" t="s">
        <v>1610</v>
      </c>
      <c r="C810" s="5" t="s">
        <v>1611</v>
      </c>
      <c r="D810" s="5" t="s">
        <v>1644</v>
      </c>
      <c r="E810" s="5" t="s">
        <v>1645</v>
      </c>
      <c r="F810" s="5" t="s">
        <v>1646</v>
      </c>
      <c r="G810" s="8">
        <v>21000.0</v>
      </c>
      <c r="H810" s="5" t="s">
        <v>22</v>
      </c>
      <c r="I810" s="7">
        <f t="shared" si="1"/>
        <v>31500</v>
      </c>
      <c r="J810" s="7">
        <f t="shared" si="7"/>
        <v>27300</v>
      </c>
      <c r="K810" s="7">
        <f t="shared" si="3"/>
        <v>27300</v>
      </c>
      <c r="L810" s="7">
        <f t="shared" si="4"/>
        <v>25200</v>
      </c>
      <c r="M810" s="7">
        <f t="shared" si="5"/>
        <v>24150</v>
      </c>
      <c r="N810" s="7">
        <f t="shared" si="6"/>
        <v>23100</v>
      </c>
    </row>
    <row r="811">
      <c r="A811" s="5" t="s">
        <v>1609</v>
      </c>
      <c r="B811" s="5" t="s">
        <v>1610</v>
      </c>
      <c r="C811" s="5" t="s">
        <v>1611</v>
      </c>
      <c r="D811" s="5" t="s">
        <v>1647</v>
      </c>
      <c r="E811" s="5" t="s">
        <v>1645</v>
      </c>
      <c r="F811" s="5" t="s">
        <v>1648</v>
      </c>
      <c r="G811" s="8">
        <v>225000.0</v>
      </c>
      <c r="H811" s="5" t="s">
        <v>22</v>
      </c>
      <c r="I811" s="7">
        <f t="shared" si="1"/>
        <v>337500</v>
      </c>
      <c r="J811" s="7">
        <f t="shared" si="7"/>
        <v>292500</v>
      </c>
      <c r="K811" s="7">
        <f t="shared" si="3"/>
        <v>292500</v>
      </c>
      <c r="L811" s="7">
        <f t="shared" si="4"/>
        <v>270000</v>
      </c>
      <c r="M811" s="7">
        <f t="shared" si="5"/>
        <v>258750</v>
      </c>
      <c r="N811" s="7">
        <f t="shared" si="6"/>
        <v>247500</v>
      </c>
    </row>
    <row r="812">
      <c r="A812" s="5" t="s">
        <v>1609</v>
      </c>
      <c r="B812" s="5" t="s">
        <v>1610</v>
      </c>
      <c r="C812" s="5" t="s">
        <v>1611</v>
      </c>
      <c r="D812" s="5" t="s">
        <v>1649</v>
      </c>
      <c r="E812" s="5" t="s">
        <v>1645</v>
      </c>
      <c r="F812" s="5" t="s">
        <v>1648</v>
      </c>
      <c r="G812" s="8">
        <v>225000.0</v>
      </c>
      <c r="H812" s="5" t="s">
        <v>22</v>
      </c>
      <c r="I812" s="7">
        <f t="shared" si="1"/>
        <v>337500</v>
      </c>
      <c r="J812" s="7">
        <f t="shared" si="7"/>
        <v>292500</v>
      </c>
      <c r="K812" s="7">
        <f t="shared" si="3"/>
        <v>292500</v>
      </c>
      <c r="L812" s="7">
        <f t="shared" si="4"/>
        <v>270000</v>
      </c>
      <c r="M812" s="7">
        <f t="shared" si="5"/>
        <v>258750</v>
      </c>
      <c r="N812" s="7">
        <f t="shared" si="6"/>
        <v>247500</v>
      </c>
    </row>
    <row r="813">
      <c r="A813" s="5" t="s">
        <v>1609</v>
      </c>
      <c r="B813" s="5" t="s">
        <v>1610</v>
      </c>
      <c r="C813" s="5" t="s">
        <v>1611</v>
      </c>
      <c r="D813" s="5" t="s">
        <v>1650</v>
      </c>
      <c r="E813" s="5" t="s">
        <v>1651</v>
      </c>
      <c r="F813" s="5" t="s">
        <v>1652</v>
      </c>
      <c r="G813" s="8">
        <v>54600.0</v>
      </c>
      <c r="H813" s="5" t="s">
        <v>22</v>
      </c>
      <c r="I813" s="7">
        <f t="shared" si="1"/>
        <v>81900</v>
      </c>
      <c r="J813" s="7">
        <f t="shared" si="7"/>
        <v>70980</v>
      </c>
      <c r="K813" s="7">
        <f t="shared" si="3"/>
        <v>70980</v>
      </c>
      <c r="L813" s="7">
        <f t="shared" si="4"/>
        <v>65520</v>
      </c>
      <c r="M813" s="7">
        <f t="shared" si="5"/>
        <v>62790</v>
      </c>
      <c r="N813" s="7">
        <f t="shared" si="6"/>
        <v>60060</v>
      </c>
    </row>
    <row r="814">
      <c r="A814" s="5" t="s">
        <v>1609</v>
      </c>
      <c r="B814" s="5" t="s">
        <v>1610</v>
      </c>
      <c r="C814" s="5" t="s">
        <v>1611</v>
      </c>
      <c r="D814" s="5" t="s">
        <v>1653</v>
      </c>
      <c r="E814" s="5" t="s">
        <v>1630</v>
      </c>
      <c r="F814" s="5" t="s">
        <v>1654</v>
      </c>
      <c r="G814" s="8">
        <v>19500.0</v>
      </c>
      <c r="H814" s="5" t="s">
        <v>22</v>
      </c>
      <c r="I814" s="7">
        <f t="shared" si="1"/>
        <v>29250</v>
      </c>
      <c r="J814" s="7">
        <f t="shared" si="7"/>
        <v>25350</v>
      </c>
      <c r="K814" s="7">
        <f t="shared" si="3"/>
        <v>25350</v>
      </c>
      <c r="L814" s="7">
        <f t="shared" si="4"/>
        <v>23400</v>
      </c>
      <c r="M814" s="7">
        <f t="shared" si="5"/>
        <v>22425</v>
      </c>
      <c r="N814" s="7">
        <f t="shared" si="6"/>
        <v>21450</v>
      </c>
    </row>
    <row r="815">
      <c r="A815" s="5" t="s">
        <v>1609</v>
      </c>
      <c r="B815" s="5" t="s">
        <v>1610</v>
      </c>
      <c r="C815" s="5" t="s">
        <v>1611</v>
      </c>
      <c r="D815" s="5" t="s">
        <v>1655</v>
      </c>
      <c r="E815" s="5" t="s">
        <v>1633</v>
      </c>
      <c r="F815" s="5" t="s">
        <v>1656</v>
      </c>
      <c r="G815" s="8">
        <v>19050.0</v>
      </c>
      <c r="H815" s="5" t="s">
        <v>22</v>
      </c>
      <c r="I815" s="7">
        <f t="shared" si="1"/>
        <v>28575</v>
      </c>
      <c r="J815" s="7">
        <f t="shared" si="7"/>
        <v>24765</v>
      </c>
      <c r="K815" s="7">
        <f t="shared" si="3"/>
        <v>24765</v>
      </c>
      <c r="L815" s="7">
        <f t="shared" si="4"/>
        <v>22860</v>
      </c>
      <c r="M815" s="7">
        <f t="shared" si="5"/>
        <v>21907.5</v>
      </c>
      <c r="N815" s="7">
        <f t="shared" si="6"/>
        <v>20955</v>
      </c>
    </row>
    <row r="816">
      <c r="A816" s="5" t="s">
        <v>1609</v>
      </c>
      <c r="B816" s="5" t="s">
        <v>1610</v>
      </c>
      <c r="C816" s="5" t="s">
        <v>1611</v>
      </c>
      <c r="D816" s="5" t="s">
        <v>1657</v>
      </c>
      <c r="E816" s="5" t="s">
        <v>1658</v>
      </c>
      <c r="F816" s="5" t="s">
        <v>1659</v>
      </c>
      <c r="G816" s="8">
        <v>29500.0</v>
      </c>
      <c r="H816" s="5" t="s">
        <v>22</v>
      </c>
      <c r="I816" s="7">
        <f t="shared" si="1"/>
        <v>44250</v>
      </c>
      <c r="J816" s="7">
        <f t="shared" si="7"/>
        <v>38350</v>
      </c>
      <c r="K816" s="7">
        <f t="shared" si="3"/>
        <v>38350</v>
      </c>
      <c r="L816" s="7">
        <f t="shared" si="4"/>
        <v>35400</v>
      </c>
      <c r="M816" s="7">
        <f t="shared" si="5"/>
        <v>33925</v>
      </c>
      <c r="N816" s="7">
        <f t="shared" si="6"/>
        <v>32450</v>
      </c>
    </row>
    <row r="817">
      <c r="A817" s="5" t="s">
        <v>1609</v>
      </c>
      <c r="B817" s="5" t="s">
        <v>1610</v>
      </c>
      <c r="C817" s="5" t="s">
        <v>1611</v>
      </c>
      <c r="D817" s="5" t="s">
        <v>1660</v>
      </c>
      <c r="E817" s="5" t="s">
        <v>1661</v>
      </c>
      <c r="F817" s="5" t="s">
        <v>1662</v>
      </c>
      <c r="G817" s="8">
        <v>23000.0</v>
      </c>
      <c r="H817" s="5" t="s">
        <v>22</v>
      </c>
      <c r="I817" s="7">
        <f t="shared" si="1"/>
        <v>34500</v>
      </c>
      <c r="J817" s="7">
        <f t="shared" si="7"/>
        <v>29900</v>
      </c>
      <c r="K817" s="7">
        <f t="shared" si="3"/>
        <v>29900</v>
      </c>
      <c r="L817" s="7">
        <f t="shared" si="4"/>
        <v>27600</v>
      </c>
      <c r="M817" s="7">
        <f t="shared" si="5"/>
        <v>26450</v>
      </c>
      <c r="N817" s="7">
        <f t="shared" si="6"/>
        <v>25300</v>
      </c>
    </row>
    <row r="818">
      <c r="A818" s="5" t="s">
        <v>1609</v>
      </c>
      <c r="B818" s="5" t="s">
        <v>1610</v>
      </c>
      <c r="C818" s="5" t="s">
        <v>1611</v>
      </c>
      <c r="D818" s="5" t="s">
        <v>1663</v>
      </c>
      <c r="E818" s="5" t="s">
        <v>1642</v>
      </c>
      <c r="F818" s="5" t="s">
        <v>1664</v>
      </c>
      <c r="G818" s="8">
        <v>21000.0</v>
      </c>
      <c r="H818" s="5" t="s">
        <v>22</v>
      </c>
      <c r="I818" s="7">
        <f t="shared" si="1"/>
        <v>31500</v>
      </c>
      <c r="J818" s="7">
        <f t="shared" si="7"/>
        <v>27300</v>
      </c>
      <c r="K818" s="7">
        <f t="shared" si="3"/>
        <v>27300</v>
      </c>
      <c r="L818" s="7">
        <f t="shared" si="4"/>
        <v>25200</v>
      </c>
      <c r="M818" s="7">
        <f t="shared" si="5"/>
        <v>24150</v>
      </c>
      <c r="N818" s="7">
        <f t="shared" si="6"/>
        <v>23100</v>
      </c>
    </row>
    <row r="819">
      <c r="A819" s="5" t="s">
        <v>1609</v>
      </c>
      <c r="B819" s="5" t="s">
        <v>1610</v>
      </c>
      <c r="C819" s="5" t="s">
        <v>1611</v>
      </c>
      <c r="D819" s="5" t="s">
        <v>1665</v>
      </c>
      <c r="E819" s="5" t="s">
        <v>1666</v>
      </c>
      <c r="F819" s="5" t="s">
        <v>1667</v>
      </c>
      <c r="G819" s="8">
        <v>20000.0</v>
      </c>
      <c r="H819" s="5" t="s">
        <v>22</v>
      </c>
      <c r="I819" s="7">
        <f t="shared" si="1"/>
        <v>30000</v>
      </c>
      <c r="J819" s="7">
        <f t="shared" si="7"/>
        <v>26000</v>
      </c>
      <c r="K819" s="7">
        <f t="shared" si="3"/>
        <v>26000</v>
      </c>
      <c r="L819" s="7">
        <f t="shared" si="4"/>
        <v>24000</v>
      </c>
      <c r="M819" s="7">
        <f t="shared" si="5"/>
        <v>23000</v>
      </c>
      <c r="N819" s="7">
        <f t="shared" si="6"/>
        <v>22000</v>
      </c>
    </row>
    <row r="820">
      <c r="A820" s="5" t="s">
        <v>1609</v>
      </c>
      <c r="B820" s="5" t="s">
        <v>1610</v>
      </c>
      <c r="C820" s="5" t="s">
        <v>1611</v>
      </c>
      <c r="D820" s="5" t="s">
        <v>1668</v>
      </c>
      <c r="E820" s="5" t="s">
        <v>1669</v>
      </c>
      <c r="F820" s="5" t="s">
        <v>1670</v>
      </c>
      <c r="G820" s="8">
        <v>31000.0</v>
      </c>
      <c r="H820" s="5" t="s">
        <v>22</v>
      </c>
      <c r="I820" s="7">
        <f t="shared" si="1"/>
        <v>46500</v>
      </c>
      <c r="J820" s="7">
        <f t="shared" si="7"/>
        <v>40300</v>
      </c>
      <c r="K820" s="7">
        <f t="shared" si="3"/>
        <v>40300</v>
      </c>
      <c r="L820" s="7">
        <f t="shared" si="4"/>
        <v>37200</v>
      </c>
      <c r="M820" s="7">
        <f t="shared" si="5"/>
        <v>35650</v>
      </c>
      <c r="N820" s="7">
        <f t="shared" si="6"/>
        <v>34100</v>
      </c>
    </row>
    <row r="821">
      <c r="A821" s="5" t="s">
        <v>1609</v>
      </c>
      <c r="B821" s="5" t="s">
        <v>1610</v>
      </c>
      <c r="C821" s="5" t="s">
        <v>1611</v>
      </c>
      <c r="D821" s="5" t="s">
        <v>1671</v>
      </c>
      <c r="E821" s="5" t="s">
        <v>1672</v>
      </c>
      <c r="F821" s="5" t="s">
        <v>1673</v>
      </c>
      <c r="G821" s="8">
        <v>33500.0</v>
      </c>
      <c r="H821" s="5" t="s">
        <v>22</v>
      </c>
      <c r="I821" s="7">
        <f t="shared" si="1"/>
        <v>50250</v>
      </c>
      <c r="J821" s="7">
        <f t="shared" si="7"/>
        <v>43550</v>
      </c>
      <c r="K821" s="7">
        <f t="shared" si="3"/>
        <v>43550</v>
      </c>
      <c r="L821" s="7">
        <f t="shared" si="4"/>
        <v>40200</v>
      </c>
      <c r="M821" s="7">
        <f t="shared" si="5"/>
        <v>38525</v>
      </c>
      <c r="N821" s="7">
        <f t="shared" si="6"/>
        <v>36850</v>
      </c>
    </row>
    <row r="822">
      <c r="A822" s="5" t="s">
        <v>1609</v>
      </c>
      <c r="B822" s="5" t="s">
        <v>1610</v>
      </c>
      <c r="C822" s="5" t="s">
        <v>1611</v>
      </c>
      <c r="D822" s="5" t="s">
        <v>1674</v>
      </c>
      <c r="E822" s="5" t="s">
        <v>1675</v>
      </c>
      <c r="F822" s="5" t="s">
        <v>1676</v>
      </c>
      <c r="G822" s="8">
        <v>19800.0</v>
      </c>
      <c r="H822" s="5" t="s">
        <v>22</v>
      </c>
      <c r="I822" s="7">
        <f t="shared" si="1"/>
        <v>29700</v>
      </c>
      <c r="J822" s="7">
        <f t="shared" si="7"/>
        <v>25740</v>
      </c>
      <c r="K822" s="7">
        <f t="shared" si="3"/>
        <v>25740</v>
      </c>
      <c r="L822" s="7">
        <f t="shared" si="4"/>
        <v>23760</v>
      </c>
      <c r="M822" s="7">
        <f t="shared" si="5"/>
        <v>22770</v>
      </c>
      <c r="N822" s="7">
        <f t="shared" si="6"/>
        <v>21780</v>
      </c>
    </row>
    <row r="823">
      <c r="A823" s="5" t="s">
        <v>1609</v>
      </c>
      <c r="B823" s="5" t="s">
        <v>1610</v>
      </c>
      <c r="C823" s="5" t="s">
        <v>1611</v>
      </c>
      <c r="D823" s="5" t="s">
        <v>1677</v>
      </c>
      <c r="E823" s="5" t="s">
        <v>1675</v>
      </c>
      <c r="F823" s="5" t="s">
        <v>1678</v>
      </c>
      <c r="G823" s="8">
        <v>142000.0</v>
      </c>
      <c r="H823" s="5" t="s">
        <v>22</v>
      </c>
      <c r="I823" s="7">
        <f t="shared" si="1"/>
        <v>213000</v>
      </c>
      <c r="J823" s="7">
        <f t="shared" si="7"/>
        <v>184600</v>
      </c>
      <c r="K823" s="7">
        <f t="shared" si="3"/>
        <v>184600</v>
      </c>
      <c r="L823" s="7">
        <f t="shared" si="4"/>
        <v>170400</v>
      </c>
      <c r="M823" s="7">
        <f t="shared" si="5"/>
        <v>163300</v>
      </c>
      <c r="N823" s="7">
        <f t="shared" si="6"/>
        <v>156200</v>
      </c>
    </row>
    <row r="824">
      <c r="A824" s="5" t="s">
        <v>1609</v>
      </c>
      <c r="B824" s="5" t="s">
        <v>1610</v>
      </c>
      <c r="C824" s="5" t="s">
        <v>1611</v>
      </c>
      <c r="D824" s="5" t="s">
        <v>1679</v>
      </c>
      <c r="E824" s="5" t="s">
        <v>1675</v>
      </c>
      <c r="F824" s="5" t="s">
        <v>1680</v>
      </c>
      <c r="G824" s="8">
        <v>126500.0</v>
      </c>
      <c r="H824" s="5" t="s">
        <v>22</v>
      </c>
      <c r="I824" s="7">
        <f t="shared" si="1"/>
        <v>189750</v>
      </c>
      <c r="J824" s="7">
        <f t="shared" si="7"/>
        <v>164450</v>
      </c>
      <c r="K824" s="7">
        <f t="shared" si="3"/>
        <v>164450</v>
      </c>
      <c r="L824" s="7">
        <f t="shared" si="4"/>
        <v>151800</v>
      </c>
      <c r="M824" s="7">
        <f t="shared" si="5"/>
        <v>145475</v>
      </c>
      <c r="N824" s="7">
        <f t="shared" si="6"/>
        <v>139150</v>
      </c>
    </row>
    <row r="825">
      <c r="A825" s="5" t="s">
        <v>1609</v>
      </c>
      <c r="B825" s="5" t="s">
        <v>1610</v>
      </c>
      <c r="C825" s="5" t="s">
        <v>1611</v>
      </c>
      <c r="D825" s="5" t="s">
        <v>1681</v>
      </c>
      <c r="E825" s="5" t="s">
        <v>1675</v>
      </c>
      <c r="F825" s="5" t="s">
        <v>1682</v>
      </c>
      <c r="G825" s="8">
        <v>110500.0</v>
      </c>
      <c r="H825" s="5" t="s">
        <v>22</v>
      </c>
      <c r="I825" s="7">
        <f t="shared" si="1"/>
        <v>165750</v>
      </c>
      <c r="J825" s="7">
        <f t="shared" si="7"/>
        <v>143650</v>
      </c>
      <c r="K825" s="7">
        <f t="shared" si="3"/>
        <v>143650</v>
      </c>
      <c r="L825" s="7">
        <f t="shared" si="4"/>
        <v>132600</v>
      </c>
      <c r="M825" s="7">
        <f t="shared" si="5"/>
        <v>127075</v>
      </c>
      <c r="N825" s="7">
        <f t="shared" si="6"/>
        <v>121550</v>
      </c>
    </row>
    <row r="826">
      <c r="A826" s="5" t="s">
        <v>1609</v>
      </c>
      <c r="B826" s="5" t="s">
        <v>1610</v>
      </c>
      <c r="C826" s="5" t="s">
        <v>1611</v>
      </c>
      <c r="D826" s="5" t="s">
        <v>1683</v>
      </c>
      <c r="E826" s="5" t="s">
        <v>1684</v>
      </c>
      <c r="F826" s="5" t="s">
        <v>1685</v>
      </c>
      <c r="G826" s="8">
        <v>14200.0</v>
      </c>
      <c r="H826" s="5" t="s">
        <v>22</v>
      </c>
      <c r="I826" s="7">
        <f t="shared" si="1"/>
        <v>21300</v>
      </c>
      <c r="J826" s="7">
        <f t="shared" si="7"/>
        <v>18460</v>
      </c>
      <c r="K826" s="7">
        <f t="shared" si="3"/>
        <v>18460</v>
      </c>
      <c r="L826" s="7">
        <f t="shared" si="4"/>
        <v>17040</v>
      </c>
      <c r="M826" s="7">
        <f t="shared" si="5"/>
        <v>16330</v>
      </c>
      <c r="N826" s="7">
        <f t="shared" si="6"/>
        <v>15620</v>
      </c>
    </row>
    <row r="827">
      <c r="A827" s="5" t="s">
        <v>1609</v>
      </c>
      <c r="B827" s="5" t="s">
        <v>1610</v>
      </c>
      <c r="C827" s="5" t="s">
        <v>1611</v>
      </c>
      <c r="D827" s="5" t="s">
        <v>1686</v>
      </c>
      <c r="E827" s="5" t="s">
        <v>1687</v>
      </c>
      <c r="F827" s="5" t="s">
        <v>1688</v>
      </c>
      <c r="G827" s="8">
        <v>20500.0</v>
      </c>
      <c r="H827" s="5" t="s">
        <v>22</v>
      </c>
      <c r="I827" s="7">
        <f t="shared" si="1"/>
        <v>30750</v>
      </c>
      <c r="J827" s="7">
        <f t="shared" si="7"/>
        <v>26650</v>
      </c>
      <c r="K827" s="7">
        <f t="shared" si="3"/>
        <v>26650</v>
      </c>
      <c r="L827" s="7">
        <f t="shared" si="4"/>
        <v>24600</v>
      </c>
      <c r="M827" s="7">
        <f t="shared" si="5"/>
        <v>23575</v>
      </c>
      <c r="N827" s="7">
        <f t="shared" si="6"/>
        <v>22550</v>
      </c>
    </row>
    <row r="828">
      <c r="A828" s="5" t="s">
        <v>1609</v>
      </c>
      <c r="B828" s="5" t="s">
        <v>1610</v>
      </c>
      <c r="C828" s="5" t="s">
        <v>1611</v>
      </c>
      <c r="D828" s="5" t="s">
        <v>1689</v>
      </c>
      <c r="E828" s="5" t="s">
        <v>1690</v>
      </c>
      <c r="F828" s="5" t="s">
        <v>1691</v>
      </c>
      <c r="G828" s="8">
        <v>42000.0</v>
      </c>
      <c r="H828" s="5" t="s">
        <v>22</v>
      </c>
      <c r="I828" s="7">
        <f t="shared" si="1"/>
        <v>63000</v>
      </c>
      <c r="J828" s="7">
        <f t="shared" si="7"/>
        <v>54600</v>
      </c>
      <c r="K828" s="7">
        <f t="shared" si="3"/>
        <v>54600</v>
      </c>
      <c r="L828" s="7">
        <f t="shared" si="4"/>
        <v>50400</v>
      </c>
      <c r="M828" s="7">
        <f t="shared" si="5"/>
        <v>48300</v>
      </c>
      <c r="N828" s="7">
        <f t="shared" si="6"/>
        <v>46200</v>
      </c>
    </row>
    <row r="829">
      <c r="A829" s="5" t="s">
        <v>1609</v>
      </c>
      <c r="B829" s="5" t="s">
        <v>1610</v>
      </c>
      <c r="C829" s="5" t="s">
        <v>1611</v>
      </c>
      <c r="D829" s="5" t="s">
        <v>1692</v>
      </c>
      <c r="E829" s="5" t="s">
        <v>1690</v>
      </c>
      <c r="F829" s="5" t="s">
        <v>1693</v>
      </c>
      <c r="G829" s="8">
        <v>83200.0</v>
      </c>
      <c r="H829" s="5" t="s">
        <v>22</v>
      </c>
      <c r="I829" s="7">
        <f t="shared" si="1"/>
        <v>124800</v>
      </c>
      <c r="J829" s="7">
        <f t="shared" si="7"/>
        <v>108160</v>
      </c>
      <c r="K829" s="7">
        <f t="shared" si="3"/>
        <v>108160</v>
      </c>
      <c r="L829" s="7">
        <f t="shared" si="4"/>
        <v>99840</v>
      </c>
      <c r="M829" s="7">
        <f t="shared" si="5"/>
        <v>95680</v>
      </c>
      <c r="N829" s="7">
        <f t="shared" si="6"/>
        <v>91520</v>
      </c>
    </row>
    <row r="830">
      <c r="A830" s="5" t="s">
        <v>1609</v>
      </c>
      <c r="B830" s="5" t="s">
        <v>1610</v>
      </c>
      <c r="C830" s="5" t="s">
        <v>1611</v>
      </c>
      <c r="D830" s="5" t="s">
        <v>1694</v>
      </c>
      <c r="E830" s="5" t="s">
        <v>1690</v>
      </c>
      <c r="F830" s="5" t="s">
        <v>1695</v>
      </c>
      <c r="G830" s="8">
        <v>124000.0</v>
      </c>
      <c r="H830" s="5" t="s">
        <v>22</v>
      </c>
      <c r="I830" s="7">
        <f t="shared" si="1"/>
        <v>186000</v>
      </c>
      <c r="J830" s="7">
        <f t="shared" si="7"/>
        <v>161200</v>
      </c>
      <c r="K830" s="7">
        <f t="shared" si="3"/>
        <v>161200</v>
      </c>
      <c r="L830" s="7">
        <f t="shared" si="4"/>
        <v>148800</v>
      </c>
      <c r="M830" s="7">
        <f t="shared" si="5"/>
        <v>142600</v>
      </c>
      <c r="N830" s="7">
        <f t="shared" si="6"/>
        <v>136400</v>
      </c>
    </row>
    <row r="831">
      <c r="A831" s="5" t="s">
        <v>1609</v>
      </c>
      <c r="B831" s="5" t="s">
        <v>1610</v>
      </c>
      <c r="C831" s="5" t="s">
        <v>1611</v>
      </c>
      <c r="D831" s="5" t="s">
        <v>1696</v>
      </c>
      <c r="E831" s="5" t="s">
        <v>1690</v>
      </c>
      <c r="F831" s="5" t="s">
        <v>1697</v>
      </c>
      <c r="G831" s="8">
        <v>165000.0</v>
      </c>
      <c r="H831" s="5" t="s">
        <v>22</v>
      </c>
      <c r="I831" s="7">
        <f t="shared" si="1"/>
        <v>247500</v>
      </c>
      <c r="J831" s="7">
        <f t="shared" si="7"/>
        <v>214500</v>
      </c>
      <c r="K831" s="7">
        <f t="shared" si="3"/>
        <v>214500</v>
      </c>
      <c r="L831" s="7">
        <f t="shared" si="4"/>
        <v>198000</v>
      </c>
      <c r="M831" s="7">
        <f t="shared" si="5"/>
        <v>189750</v>
      </c>
      <c r="N831" s="7">
        <f t="shared" si="6"/>
        <v>181500</v>
      </c>
    </row>
    <row r="832">
      <c r="A832" s="5" t="s">
        <v>1609</v>
      </c>
      <c r="B832" s="5" t="s">
        <v>1610</v>
      </c>
      <c r="C832" s="5" t="s">
        <v>1611</v>
      </c>
      <c r="D832" s="5" t="s">
        <v>1698</v>
      </c>
      <c r="E832" s="5" t="s">
        <v>1699</v>
      </c>
      <c r="F832" s="5" t="s">
        <v>1700</v>
      </c>
      <c r="G832" s="8">
        <v>39500.0</v>
      </c>
      <c r="H832" s="5" t="s">
        <v>22</v>
      </c>
      <c r="I832" s="7">
        <f t="shared" si="1"/>
        <v>59250</v>
      </c>
      <c r="J832" s="7">
        <f t="shared" si="7"/>
        <v>51350</v>
      </c>
      <c r="K832" s="7">
        <f t="shared" si="3"/>
        <v>51350</v>
      </c>
      <c r="L832" s="7">
        <f t="shared" si="4"/>
        <v>47400</v>
      </c>
      <c r="M832" s="7">
        <f t="shared" si="5"/>
        <v>45425</v>
      </c>
      <c r="N832" s="7">
        <f t="shared" si="6"/>
        <v>43450</v>
      </c>
    </row>
    <row r="833">
      <c r="A833" s="5" t="s">
        <v>1609</v>
      </c>
      <c r="B833" s="5" t="s">
        <v>1610</v>
      </c>
      <c r="C833" s="5" t="s">
        <v>1701</v>
      </c>
      <c r="D833" s="5" t="s">
        <v>1702</v>
      </c>
      <c r="E833" s="5" t="s">
        <v>1703</v>
      </c>
      <c r="F833" s="5" t="s">
        <v>1704</v>
      </c>
      <c r="G833" s="8">
        <v>3380.0</v>
      </c>
      <c r="H833" s="5" t="s">
        <v>22</v>
      </c>
      <c r="I833" s="7">
        <f t="shared" si="1"/>
        <v>5070</v>
      </c>
      <c r="J833" s="7">
        <f t="shared" si="7"/>
        <v>4394</v>
      </c>
      <c r="K833" s="7">
        <f t="shared" si="3"/>
        <v>4394</v>
      </c>
      <c r="L833" s="7">
        <f t="shared" si="4"/>
        <v>4056</v>
      </c>
      <c r="M833" s="7">
        <f t="shared" si="5"/>
        <v>3887</v>
      </c>
      <c r="N833" s="7">
        <f t="shared" si="6"/>
        <v>3718</v>
      </c>
    </row>
    <row r="834">
      <c r="A834" s="5" t="s">
        <v>1609</v>
      </c>
      <c r="B834" s="5" t="s">
        <v>1610</v>
      </c>
      <c r="C834" s="5" t="s">
        <v>1701</v>
      </c>
      <c r="D834" s="5" t="s">
        <v>1705</v>
      </c>
      <c r="E834" s="5" t="s">
        <v>1706</v>
      </c>
      <c r="F834" s="5" t="s">
        <v>1707</v>
      </c>
      <c r="G834" s="8">
        <v>2800.0</v>
      </c>
      <c r="H834" s="5" t="s">
        <v>22</v>
      </c>
      <c r="I834" s="7">
        <f t="shared" si="1"/>
        <v>4200</v>
      </c>
      <c r="J834" s="7">
        <f t="shared" si="7"/>
        <v>3640</v>
      </c>
      <c r="K834" s="7">
        <f t="shared" si="3"/>
        <v>3640</v>
      </c>
      <c r="L834" s="7">
        <f t="shared" si="4"/>
        <v>3360</v>
      </c>
      <c r="M834" s="7">
        <f t="shared" si="5"/>
        <v>3220</v>
      </c>
      <c r="N834" s="7">
        <f t="shared" si="6"/>
        <v>3080</v>
      </c>
    </row>
    <row r="835">
      <c r="A835" s="5" t="s">
        <v>1609</v>
      </c>
      <c r="B835" s="5" t="s">
        <v>1610</v>
      </c>
      <c r="C835" s="5" t="s">
        <v>1701</v>
      </c>
      <c r="D835" s="5" t="s">
        <v>1708</v>
      </c>
      <c r="E835" s="5" t="s">
        <v>1709</v>
      </c>
      <c r="F835" s="5" t="s">
        <v>1710</v>
      </c>
      <c r="G835" s="8">
        <v>2500.0</v>
      </c>
      <c r="H835" s="5" t="s">
        <v>22</v>
      </c>
      <c r="I835" s="7">
        <f t="shared" si="1"/>
        <v>3750</v>
      </c>
      <c r="J835" s="7">
        <f t="shared" si="7"/>
        <v>3250</v>
      </c>
      <c r="K835" s="7">
        <f t="shared" si="3"/>
        <v>3250</v>
      </c>
      <c r="L835" s="7">
        <f t="shared" si="4"/>
        <v>3000</v>
      </c>
      <c r="M835" s="7">
        <f t="shared" si="5"/>
        <v>2875</v>
      </c>
      <c r="N835" s="7">
        <f t="shared" si="6"/>
        <v>2750</v>
      </c>
    </row>
    <row r="836">
      <c r="A836" s="5" t="s">
        <v>1609</v>
      </c>
      <c r="B836" s="5" t="s">
        <v>1610</v>
      </c>
      <c r="C836" s="5" t="s">
        <v>1701</v>
      </c>
      <c r="D836" s="5" t="s">
        <v>1711</v>
      </c>
      <c r="E836" s="5" t="s">
        <v>1712</v>
      </c>
      <c r="F836" s="5" t="s">
        <v>1713</v>
      </c>
      <c r="G836" s="5">
        <v>300.0</v>
      </c>
      <c r="H836" s="5" t="s">
        <v>22</v>
      </c>
      <c r="I836" s="7">
        <f t="shared" si="1"/>
        <v>450</v>
      </c>
      <c r="J836" s="7">
        <f t="shared" si="7"/>
        <v>390</v>
      </c>
      <c r="K836" s="7">
        <f t="shared" si="3"/>
        <v>390</v>
      </c>
      <c r="L836" s="7">
        <f t="shared" si="4"/>
        <v>360</v>
      </c>
      <c r="M836" s="7">
        <f t="shared" si="5"/>
        <v>345</v>
      </c>
      <c r="N836" s="7">
        <f t="shared" si="6"/>
        <v>330</v>
      </c>
    </row>
    <row r="837">
      <c r="A837" s="5" t="s">
        <v>1609</v>
      </c>
      <c r="B837" s="5" t="s">
        <v>1610</v>
      </c>
      <c r="C837" s="5" t="s">
        <v>1701</v>
      </c>
      <c r="D837" s="5" t="s">
        <v>1714</v>
      </c>
      <c r="E837" s="5" t="s">
        <v>1715</v>
      </c>
      <c r="F837" s="5" t="s">
        <v>1716</v>
      </c>
      <c r="G837" s="5">
        <v>500.0</v>
      </c>
      <c r="H837" s="5" t="s">
        <v>22</v>
      </c>
      <c r="I837" s="7">
        <f t="shared" si="1"/>
        <v>750</v>
      </c>
      <c r="J837" s="7">
        <f t="shared" si="7"/>
        <v>650</v>
      </c>
      <c r="K837" s="7">
        <f t="shared" si="3"/>
        <v>650</v>
      </c>
      <c r="L837" s="7">
        <f t="shared" si="4"/>
        <v>600</v>
      </c>
      <c r="M837" s="7">
        <f t="shared" si="5"/>
        <v>575</v>
      </c>
      <c r="N837" s="7">
        <f t="shared" si="6"/>
        <v>550</v>
      </c>
    </row>
    <row r="838">
      <c r="A838" s="5" t="s">
        <v>1609</v>
      </c>
      <c r="B838" s="5" t="s">
        <v>1610</v>
      </c>
      <c r="C838" s="5" t="s">
        <v>1701</v>
      </c>
      <c r="D838" s="5" t="s">
        <v>1717</v>
      </c>
      <c r="E838" s="5" t="s">
        <v>1718</v>
      </c>
      <c r="F838" s="5" t="s">
        <v>1719</v>
      </c>
      <c r="G838" s="8">
        <v>15800.0</v>
      </c>
      <c r="H838" s="5" t="s">
        <v>22</v>
      </c>
      <c r="I838" s="7">
        <f t="shared" si="1"/>
        <v>23700</v>
      </c>
      <c r="J838" s="7">
        <f t="shared" si="7"/>
        <v>20540</v>
      </c>
      <c r="K838" s="7">
        <f t="shared" si="3"/>
        <v>20540</v>
      </c>
      <c r="L838" s="7">
        <f t="shared" si="4"/>
        <v>18960</v>
      </c>
      <c r="M838" s="7">
        <f t="shared" si="5"/>
        <v>18170</v>
      </c>
      <c r="N838" s="7">
        <f t="shared" si="6"/>
        <v>17380</v>
      </c>
    </row>
    <row r="839">
      <c r="A839" s="5" t="s">
        <v>1609</v>
      </c>
      <c r="B839" s="5" t="s">
        <v>1610</v>
      </c>
      <c r="C839" s="5" t="s">
        <v>1701</v>
      </c>
      <c r="D839" s="5" t="s">
        <v>1720</v>
      </c>
      <c r="E839" s="5" t="s">
        <v>1721</v>
      </c>
      <c r="F839" s="5" t="s">
        <v>1722</v>
      </c>
      <c r="G839" s="8">
        <v>5000.0</v>
      </c>
      <c r="H839" s="5" t="s">
        <v>22</v>
      </c>
      <c r="I839" s="7">
        <f t="shared" si="1"/>
        <v>7500</v>
      </c>
      <c r="J839" s="7">
        <f t="shared" si="7"/>
        <v>6500</v>
      </c>
      <c r="K839" s="7">
        <f t="shared" si="3"/>
        <v>6500</v>
      </c>
      <c r="L839" s="7">
        <f t="shared" si="4"/>
        <v>6000</v>
      </c>
      <c r="M839" s="7">
        <f t="shared" si="5"/>
        <v>5750</v>
      </c>
      <c r="N839" s="7">
        <f t="shared" si="6"/>
        <v>5500</v>
      </c>
    </row>
    <row r="840">
      <c r="A840" s="5" t="s">
        <v>1609</v>
      </c>
      <c r="B840" s="5" t="s">
        <v>1610</v>
      </c>
      <c r="C840" s="5" t="s">
        <v>1701</v>
      </c>
      <c r="D840" s="5" t="s">
        <v>1723</v>
      </c>
      <c r="E840" s="5" t="s">
        <v>1712</v>
      </c>
      <c r="F840" s="5" t="s">
        <v>1724</v>
      </c>
      <c r="G840" s="5">
        <v>250.0</v>
      </c>
      <c r="H840" s="5" t="s">
        <v>22</v>
      </c>
      <c r="I840" s="7">
        <f t="shared" si="1"/>
        <v>375</v>
      </c>
      <c r="J840" s="7">
        <f t="shared" si="7"/>
        <v>325</v>
      </c>
      <c r="K840" s="7">
        <f t="shared" si="3"/>
        <v>325</v>
      </c>
      <c r="L840" s="7">
        <f t="shared" si="4"/>
        <v>300</v>
      </c>
      <c r="M840" s="7">
        <f t="shared" si="5"/>
        <v>287.5</v>
      </c>
      <c r="N840" s="7">
        <f t="shared" si="6"/>
        <v>275</v>
      </c>
    </row>
    <row r="841">
      <c r="A841" s="5" t="s">
        <v>1609</v>
      </c>
      <c r="B841" s="5" t="s">
        <v>1610</v>
      </c>
      <c r="C841" s="5" t="s">
        <v>1701</v>
      </c>
      <c r="D841" s="5" t="s">
        <v>1725</v>
      </c>
      <c r="E841" s="5" t="s">
        <v>1726</v>
      </c>
      <c r="F841" s="5" t="s">
        <v>1727</v>
      </c>
      <c r="G841" s="8">
        <v>24000.0</v>
      </c>
      <c r="H841" s="5" t="s">
        <v>22</v>
      </c>
      <c r="I841" s="7">
        <f t="shared" si="1"/>
        <v>36000</v>
      </c>
      <c r="J841" s="7">
        <f t="shared" si="7"/>
        <v>31200</v>
      </c>
      <c r="K841" s="7">
        <f t="shared" si="3"/>
        <v>31200</v>
      </c>
      <c r="L841" s="7">
        <f t="shared" si="4"/>
        <v>28800</v>
      </c>
      <c r="M841" s="7">
        <f t="shared" si="5"/>
        <v>27600</v>
      </c>
      <c r="N841" s="7">
        <f t="shared" si="6"/>
        <v>26400</v>
      </c>
    </row>
    <row r="842">
      <c r="A842" s="5" t="s">
        <v>1609</v>
      </c>
      <c r="B842" s="5" t="s">
        <v>1610</v>
      </c>
      <c r="C842" s="5" t="s">
        <v>1701</v>
      </c>
      <c r="D842" s="5" t="s">
        <v>1728</v>
      </c>
      <c r="E842" s="5" t="s">
        <v>1729</v>
      </c>
      <c r="F842" s="5" t="s">
        <v>1730</v>
      </c>
      <c r="G842" s="8">
        <v>26000.0</v>
      </c>
      <c r="H842" s="5" t="s">
        <v>22</v>
      </c>
      <c r="I842" s="7">
        <f t="shared" si="1"/>
        <v>39000</v>
      </c>
      <c r="J842" s="7">
        <f t="shared" si="7"/>
        <v>33800</v>
      </c>
      <c r="K842" s="7">
        <f t="shared" si="3"/>
        <v>33800</v>
      </c>
      <c r="L842" s="7">
        <f t="shared" si="4"/>
        <v>31200</v>
      </c>
      <c r="M842" s="7">
        <f t="shared" si="5"/>
        <v>29900</v>
      </c>
      <c r="N842" s="7">
        <f t="shared" si="6"/>
        <v>28600</v>
      </c>
    </row>
    <row r="843">
      <c r="A843" s="5" t="s">
        <v>1609</v>
      </c>
      <c r="B843" s="5" t="s">
        <v>1610</v>
      </c>
      <c r="C843" s="5" t="s">
        <v>1701</v>
      </c>
      <c r="D843" s="5" t="s">
        <v>1731</v>
      </c>
      <c r="E843" s="5" t="s">
        <v>1732</v>
      </c>
      <c r="F843" s="5" t="s">
        <v>1733</v>
      </c>
      <c r="G843" s="8">
        <v>1050.0</v>
      </c>
      <c r="H843" s="5" t="s">
        <v>22</v>
      </c>
      <c r="I843" s="7">
        <f t="shared" si="1"/>
        <v>1575</v>
      </c>
      <c r="J843" s="7">
        <f t="shared" si="7"/>
        <v>1365</v>
      </c>
      <c r="K843" s="7">
        <f t="shared" si="3"/>
        <v>1365</v>
      </c>
      <c r="L843" s="7">
        <f t="shared" si="4"/>
        <v>1260</v>
      </c>
      <c r="M843" s="7">
        <f t="shared" si="5"/>
        <v>1207.5</v>
      </c>
      <c r="N843" s="7">
        <f t="shared" si="6"/>
        <v>1155</v>
      </c>
    </row>
    <row r="844">
      <c r="A844" s="5" t="s">
        <v>1609</v>
      </c>
      <c r="B844" s="5" t="s">
        <v>1610</v>
      </c>
      <c r="C844" s="5" t="s">
        <v>1701</v>
      </c>
      <c r="D844" s="5" t="s">
        <v>1734</v>
      </c>
      <c r="E844" s="5" t="s">
        <v>1735</v>
      </c>
      <c r="F844" s="5" t="s">
        <v>1736</v>
      </c>
      <c r="G844" s="5">
        <v>280.0</v>
      </c>
      <c r="H844" s="5" t="s">
        <v>22</v>
      </c>
      <c r="I844" s="7">
        <f t="shared" si="1"/>
        <v>420</v>
      </c>
      <c r="J844" s="7">
        <f t="shared" si="7"/>
        <v>364</v>
      </c>
      <c r="K844" s="7">
        <f t="shared" si="3"/>
        <v>364</v>
      </c>
      <c r="L844" s="7">
        <f t="shared" si="4"/>
        <v>336</v>
      </c>
      <c r="M844" s="7">
        <f t="shared" si="5"/>
        <v>322</v>
      </c>
      <c r="N844" s="7">
        <f t="shared" si="6"/>
        <v>308</v>
      </c>
    </row>
    <row r="845">
      <c r="A845" s="5" t="s">
        <v>1609</v>
      </c>
      <c r="B845" s="5" t="s">
        <v>1610</v>
      </c>
      <c r="C845" s="5" t="s">
        <v>1701</v>
      </c>
      <c r="D845" s="5" t="s">
        <v>1737</v>
      </c>
      <c r="E845" s="5" t="s">
        <v>1738</v>
      </c>
      <c r="F845" s="5" t="s">
        <v>1739</v>
      </c>
      <c r="G845" s="8">
        <v>8000.0</v>
      </c>
      <c r="H845" s="5" t="s">
        <v>22</v>
      </c>
      <c r="I845" s="7">
        <f t="shared" si="1"/>
        <v>12000</v>
      </c>
      <c r="J845" s="7">
        <f t="shared" si="7"/>
        <v>10400</v>
      </c>
      <c r="K845" s="7">
        <f t="shared" si="3"/>
        <v>10400</v>
      </c>
      <c r="L845" s="7">
        <f t="shared" si="4"/>
        <v>9600</v>
      </c>
      <c r="M845" s="7">
        <f t="shared" si="5"/>
        <v>9200</v>
      </c>
      <c r="N845" s="7">
        <f t="shared" si="6"/>
        <v>8800</v>
      </c>
    </row>
    <row r="846">
      <c r="A846" s="5" t="s">
        <v>1609</v>
      </c>
      <c r="B846" s="5" t="s">
        <v>1610</v>
      </c>
      <c r="C846" s="5" t="s">
        <v>1701</v>
      </c>
      <c r="D846" s="5" t="s">
        <v>1740</v>
      </c>
      <c r="E846" s="5" t="s">
        <v>1741</v>
      </c>
      <c r="F846" s="5" t="s">
        <v>1742</v>
      </c>
      <c r="G846" s="8">
        <v>7800.0</v>
      </c>
      <c r="H846" s="5" t="s">
        <v>22</v>
      </c>
      <c r="I846" s="7">
        <f t="shared" si="1"/>
        <v>11700</v>
      </c>
      <c r="J846" s="7">
        <f t="shared" si="7"/>
        <v>10140</v>
      </c>
      <c r="K846" s="7">
        <f t="shared" si="3"/>
        <v>10140</v>
      </c>
      <c r="L846" s="7">
        <f t="shared" si="4"/>
        <v>9360</v>
      </c>
      <c r="M846" s="7">
        <f t="shared" si="5"/>
        <v>8970</v>
      </c>
      <c r="N846" s="7">
        <f t="shared" si="6"/>
        <v>8580</v>
      </c>
    </row>
    <row r="847">
      <c r="A847" s="5" t="s">
        <v>1609</v>
      </c>
      <c r="B847" s="5" t="s">
        <v>1610</v>
      </c>
      <c r="C847" s="5" t="s">
        <v>1701</v>
      </c>
      <c r="D847" s="5" t="s">
        <v>1743</v>
      </c>
      <c r="E847" s="5" t="s">
        <v>1744</v>
      </c>
      <c r="F847" s="5" t="s">
        <v>1745</v>
      </c>
      <c r="G847" s="8">
        <v>16500.0</v>
      </c>
      <c r="H847" s="5" t="s">
        <v>22</v>
      </c>
      <c r="I847" s="7">
        <f t="shared" si="1"/>
        <v>24750</v>
      </c>
      <c r="J847" s="7">
        <f t="shared" si="7"/>
        <v>21450</v>
      </c>
      <c r="K847" s="7">
        <f t="shared" si="3"/>
        <v>21450</v>
      </c>
      <c r="L847" s="7">
        <f t="shared" si="4"/>
        <v>19800</v>
      </c>
      <c r="M847" s="7">
        <f t="shared" si="5"/>
        <v>18975</v>
      </c>
      <c r="N847" s="7">
        <f t="shared" si="6"/>
        <v>18150</v>
      </c>
    </row>
    <row r="848">
      <c r="A848" s="5" t="s">
        <v>1609</v>
      </c>
      <c r="B848" s="5" t="s">
        <v>1610</v>
      </c>
      <c r="C848" s="5" t="s">
        <v>1746</v>
      </c>
      <c r="D848" s="5" t="s">
        <v>1747</v>
      </c>
      <c r="E848" s="5" t="s">
        <v>1748</v>
      </c>
      <c r="F848" s="5" t="s">
        <v>1749</v>
      </c>
      <c r="G848" s="8">
        <v>3250.0</v>
      </c>
      <c r="H848" s="5" t="s">
        <v>22</v>
      </c>
      <c r="I848" s="7">
        <f t="shared" si="1"/>
        <v>4875</v>
      </c>
      <c r="J848" s="7">
        <f t="shared" si="7"/>
        <v>4225</v>
      </c>
      <c r="K848" s="7">
        <f t="shared" si="3"/>
        <v>4225</v>
      </c>
      <c r="L848" s="7">
        <f t="shared" si="4"/>
        <v>3900</v>
      </c>
      <c r="M848" s="7">
        <f t="shared" si="5"/>
        <v>3737.5</v>
      </c>
      <c r="N848" s="7">
        <f t="shared" si="6"/>
        <v>3575</v>
      </c>
    </row>
    <row r="849">
      <c r="A849" s="5" t="s">
        <v>1609</v>
      </c>
      <c r="B849" s="5" t="s">
        <v>1610</v>
      </c>
      <c r="C849" s="5" t="s">
        <v>1746</v>
      </c>
      <c r="D849" s="5" t="s">
        <v>1750</v>
      </c>
      <c r="E849" s="5" t="s">
        <v>1751</v>
      </c>
      <c r="F849" s="5" t="s">
        <v>1752</v>
      </c>
      <c r="G849" s="5">
        <v>180.0</v>
      </c>
      <c r="H849" s="5" t="s">
        <v>22</v>
      </c>
      <c r="I849" s="7">
        <f t="shared" si="1"/>
        <v>270</v>
      </c>
      <c r="J849" s="7">
        <f t="shared" si="7"/>
        <v>234</v>
      </c>
      <c r="K849" s="7">
        <f t="shared" si="3"/>
        <v>234</v>
      </c>
      <c r="L849" s="7">
        <f t="shared" si="4"/>
        <v>216</v>
      </c>
      <c r="M849" s="7">
        <f t="shared" si="5"/>
        <v>207</v>
      </c>
      <c r="N849" s="7">
        <f t="shared" si="6"/>
        <v>198</v>
      </c>
    </row>
    <row r="850">
      <c r="A850" s="5" t="s">
        <v>1609</v>
      </c>
      <c r="B850" s="5" t="s">
        <v>1610</v>
      </c>
      <c r="C850" s="5" t="s">
        <v>1746</v>
      </c>
      <c r="D850" s="5" t="s">
        <v>1753</v>
      </c>
      <c r="E850" s="5" t="s">
        <v>1754</v>
      </c>
      <c r="F850" s="5" t="s">
        <v>1755</v>
      </c>
      <c r="G850" s="8">
        <v>3350.0</v>
      </c>
      <c r="H850" s="5" t="s">
        <v>22</v>
      </c>
      <c r="I850" s="7">
        <f t="shared" si="1"/>
        <v>5025</v>
      </c>
      <c r="J850" s="7">
        <f t="shared" si="7"/>
        <v>4355</v>
      </c>
      <c r="K850" s="7">
        <f t="shared" si="3"/>
        <v>4355</v>
      </c>
      <c r="L850" s="7">
        <f t="shared" si="4"/>
        <v>4020</v>
      </c>
      <c r="M850" s="7">
        <f t="shared" si="5"/>
        <v>3852.5</v>
      </c>
      <c r="N850" s="7">
        <f t="shared" si="6"/>
        <v>3685</v>
      </c>
    </row>
    <row r="851">
      <c r="A851" s="5" t="s">
        <v>1609</v>
      </c>
      <c r="B851" s="5" t="s">
        <v>1610</v>
      </c>
      <c r="C851" s="5" t="s">
        <v>1756</v>
      </c>
      <c r="D851" s="5" t="s">
        <v>1757</v>
      </c>
      <c r="E851" s="5" t="s">
        <v>1758</v>
      </c>
      <c r="F851" s="5" t="s">
        <v>1759</v>
      </c>
      <c r="G851" s="8">
        <v>4800.0</v>
      </c>
      <c r="H851" s="5" t="s">
        <v>22</v>
      </c>
      <c r="I851" s="7">
        <f t="shared" si="1"/>
        <v>7200</v>
      </c>
      <c r="J851" s="7">
        <f t="shared" si="7"/>
        <v>6240</v>
      </c>
      <c r="K851" s="7">
        <f t="shared" si="3"/>
        <v>6240</v>
      </c>
      <c r="L851" s="7">
        <f t="shared" si="4"/>
        <v>5760</v>
      </c>
      <c r="M851" s="7">
        <f t="shared" si="5"/>
        <v>5520</v>
      </c>
      <c r="N851" s="7">
        <f t="shared" si="6"/>
        <v>5280</v>
      </c>
    </row>
    <row r="852">
      <c r="A852" s="5" t="s">
        <v>1609</v>
      </c>
      <c r="B852" s="5" t="s">
        <v>1610</v>
      </c>
      <c r="C852" s="5" t="s">
        <v>1756</v>
      </c>
      <c r="D852" s="5" t="s">
        <v>1760</v>
      </c>
      <c r="E852" s="5" t="s">
        <v>1761</v>
      </c>
      <c r="F852" s="5" t="s">
        <v>1762</v>
      </c>
      <c r="G852" s="8">
        <v>4800.0</v>
      </c>
      <c r="H852" s="5" t="s">
        <v>22</v>
      </c>
      <c r="I852" s="7">
        <f t="shared" si="1"/>
        <v>7200</v>
      </c>
      <c r="J852" s="7">
        <f t="shared" si="7"/>
        <v>6240</v>
      </c>
      <c r="K852" s="7">
        <f t="shared" si="3"/>
        <v>6240</v>
      </c>
      <c r="L852" s="7">
        <f t="shared" si="4"/>
        <v>5760</v>
      </c>
      <c r="M852" s="7">
        <f t="shared" si="5"/>
        <v>5520</v>
      </c>
      <c r="N852" s="7">
        <f t="shared" si="6"/>
        <v>5280</v>
      </c>
    </row>
    <row r="853">
      <c r="A853" s="5" t="s">
        <v>1609</v>
      </c>
      <c r="B853" s="5" t="s">
        <v>1610</v>
      </c>
      <c r="C853" s="5" t="s">
        <v>1756</v>
      </c>
      <c r="D853" s="5" t="s">
        <v>1763</v>
      </c>
      <c r="E853" s="5" t="s">
        <v>1764</v>
      </c>
      <c r="F853" s="5" t="s">
        <v>1765</v>
      </c>
      <c r="G853" s="8">
        <v>4400.0</v>
      </c>
      <c r="H853" s="5" t="s">
        <v>22</v>
      </c>
      <c r="I853" s="7">
        <f t="shared" si="1"/>
        <v>6600</v>
      </c>
      <c r="J853" s="7">
        <f t="shared" si="7"/>
        <v>5720</v>
      </c>
      <c r="K853" s="7">
        <f t="shared" si="3"/>
        <v>5720</v>
      </c>
      <c r="L853" s="7">
        <f t="shared" si="4"/>
        <v>5280</v>
      </c>
      <c r="M853" s="7">
        <f t="shared" si="5"/>
        <v>5060</v>
      </c>
      <c r="N853" s="7">
        <f t="shared" si="6"/>
        <v>4840</v>
      </c>
    </row>
    <row r="854">
      <c r="A854" s="5" t="s">
        <v>1609</v>
      </c>
      <c r="B854" s="5" t="s">
        <v>1610</v>
      </c>
      <c r="C854" s="5" t="s">
        <v>1756</v>
      </c>
      <c r="D854" s="5" t="s">
        <v>1766</v>
      </c>
      <c r="E854" s="5" t="s">
        <v>1767</v>
      </c>
      <c r="F854" s="5" t="s">
        <v>1768</v>
      </c>
      <c r="G854" s="5">
        <v>700.0</v>
      </c>
      <c r="H854" s="5" t="s">
        <v>22</v>
      </c>
      <c r="I854" s="7">
        <f t="shared" si="1"/>
        <v>1050</v>
      </c>
      <c r="J854" s="7">
        <f t="shared" si="7"/>
        <v>910</v>
      </c>
      <c r="K854" s="7">
        <f t="shared" si="3"/>
        <v>910</v>
      </c>
      <c r="L854" s="7">
        <f t="shared" si="4"/>
        <v>840</v>
      </c>
      <c r="M854" s="7">
        <f t="shared" si="5"/>
        <v>805</v>
      </c>
      <c r="N854" s="7">
        <f t="shared" si="6"/>
        <v>770</v>
      </c>
    </row>
    <row r="855">
      <c r="A855" s="5" t="s">
        <v>1609</v>
      </c>
      <c r="B855" s="5" t="s">
        <v>1610</v>
      </c>
      <c r="C855" s="5" t="s">
        <v>1756</v>
      </c>
      <c r="D855" s="5" t="s">
        <v>1769</v>
      </c>
      <c r="E855" s="5" t="s">
        <v>1770</v>
      </c>
      <c r="F855" s="5" t="s">
        <v>1771</v>
      </c>
      <c r="G855" s="8">
        <v>4800.0</v>
      </c>
      <c r="H855" s="5" t="s">
        <v>22</v>
      </c>
      <c r="I855" s="7">
        <f t="shared" si="1"/>
        <v>7200</v>
      </c>
      <c r="J855" s="7">
        <f t="shared" si="7"/>
        <v>6240</v>
      </c>
      <c r="K855" s="7">
        <f t="shared" si="3"/>
        <v>6240</v>
      </c>
      <c r="L855" s="7">
        <f t="shared" si="4"/>
        <v>5760</v>
      </c>
      <c r="M855" s="7">
        <f t="shared" si="5"/>
        <v>5520</v>
      </c>
      <c r="N855" s="7">
        <f t="shared" si="6"/>
        <v>5280</v>
      </c>
    </row>
    <row r="856">
      <c r="A856" s="5" t="s">
        <v>1609</v>
      </c>
      <c r="B856" s="5" t="s">
        <v>1610</v>
      </c>
      <c r="C856" s="5" t="s">
        <v>1756</v>
      </c>
      <c r="D856" s="5" t="s">
        <v>1772</v>
      </c>
      <c r="E856" s="5" t="s">
        <v>1773</v>
      </c>
      <c r="F856" s="5" t="s">
        <v>1774</v>
      </c>
      <c r="G856" s="8">
        <v>6000.0</v>
      </c>
      <c r="H856" s="5" t="s">
        <v>22</v>
      </c>
      <c r="I856" s="7">
        <f t="shared" si="1"/>
        <v>9000</v>
      </c>
      <c r="J856" s="7">
        <f t="shared" si="7"/>
        <v>7800</v>
      </c>
      <c r="K856" s="7">
        <f t="shared" si="3"/>
        <v>7800</v>
      </c>
      <c r="L856" s="7">
        <f t="shared" si="4"/>
        <v>7200</v>
      </c>
      <c r="M856" s="7">
        <f t="shared" si="5"/>
        <v>6900</v>
      </c>
      <c r="N856" s="7">
        <f t="shared" si="6"/>
        <v>6600</v>
      </c>
    </row>
    <row r="857">
      <c r="A857" s="5" t="s">
        <v>1609</v>
      </c>
      <c r="B857" s="5" t="s">
        <v>1610</v>
      </c>
      <c r="C857" s="5" t="s">
        <v>1775</v>
      </c>
      <c r="D857" s="5" t="s">
        <v>1776</v>
      </c>
      <c r="E857" s="5" t="s">
        <v>1777</v>
      </c>
      <c r="F857" s="5" t="s">
        <v>1778</v>
      </c>
      <c r="G857" s="8">
        <v>17000.0</v>
      </c>
      <c r="H857" s="5" t="s">
        <v>22</v>
      </c>
      <c r="I857" s="7">
        <f t="shared" si="1"/>
        <v>25500</v>
      </c>
      <c r="J857" s="7">
        <f t="shared" si="7"/>
        <v>22100</v>
      </c>
      <c r="K857" s="7">
        <f t="shared" si="3"/>
        <v>22100</v>
      </c>
      <c r="L857" s="7">
        <f t="shared" si="4"/>
        <v>20400</v>
      </c>
      <c r="M857" s="7">
        <f t="shared" si="5"/>
        <v>19550</v>
      </c>
      <c r="N857" s="7">
        <f t="shared" si="6"/>
        <v>18700</v>
      </c>
    </row>
    <row r="858">
      <c r="A858" s="5" t="s">
        <v>1609</v>
      </c>
      <c r="B858" s="5" t="s">
        <v>1610</v>
      </c>
      <c r="C858" s="5" t="s">
        <v>1775</v>
      </c>
      <c r="D858" s="5" t="s">
        <v>1779</v>
      </c>
      <c r="E858" s="5" t="s">
        <v>1780</v>
      </c>
      <c r="F858" s="5" t="s">
        <v>1781</v>
      </c>
      <c r="G858" s="8">
        <v>1500.0</v>
      </c>
      <c r="H858" s="5" t="s">
        <v>22</v>
      </c>
      <c r="I858" s="7">
        <f t="shared" si="1"/>
        <v>2250</v>
      </c>
      <c r="J858" s="7">
        <f t="shared" si="7"/>
        <v>1950</v>
      </c>
      <c r="K858" s="7">
        <f t="shared" si="3"/>
        <v>1950</v>
      </c>
      <c r="L858" s="7">
        <f t="shared" si="4"/>
        <v>1800</v>
      </c>
      <c r="M858" s="7">
        <f t="shared" si="5"/>
        <v>1725</v>
      </c>
      <c r="N858" s="7">
        <f t="shared" si="6"/>
        <v>1650</v>
      </c>
    </row>
    <row r="859">
      <c r="A859" s="5" t="s">
        <v>1609</v>
      </c>
      <c r="B859" s="5" t="s">
        <v>1610</v>
      </c>
      <c r="C859" s="5" t="s">
        <v>1775</v>
      </c>
      <c r="D859" s="5" t="s">
        <v>1782</v>
      </c>
      <c r="E859" s="5" t="s">
        <v>1783</v>
      </c>
      <c r="F859" s="5" t="s">
        <v>1784</v>
      </c>
      <c r="G859" s="8">
        <v>3500.0</v>
      </c>
      <c r="H859" s="5" t="s">
        <v>22</v>
      </c>
      <c r="I859" s="7">
        <f t="shared" si="1"/>
        <v>5250</v>
      </c>
      <c r="J859" s="7">
        <f t="shared" si="7"/>
        <v>4550</v>
      </c>
      <c r="K859" s="7">
        <f t="shared" si="3"/>
        <v>4550</v>
      </c>
      <c r="L859" s="7">
        <f t="shared" si="4"/>
        <v>4200</v>
      </c>
      <c r="M859" s="7">
        <f t="shared" si="5"/>
        <v>4025</v>
      </c>
      <c r="N859" s="7">
        <f t="shared" si="6"/>
        <v>3850</v>
      </c>
    </row>
    <row r="860">
      <c r="A860" s="5" t="s">
        <v>1609</v>
      </c>
      <c r="B860" s="5" t="s">
        <v>1610</v>
      </c>
      <c r="C860" s="5" t="s">
        <v>1775</v>
      </c>
      <c r="D860" s="5" t="s">
        <v>1785</v>
      </c>
      <c r="E860" s="5" t="s">
        <v>1786</v>
      </c>
      <c r="F860" s="5" t="s">
        <v>1787</v>
      </c>
      <c r="G860" s="8">
        <v>3100.0</v>
      </c>
      <c r="H860" s="5" t="s">
        <v>22</v>
      </c>
      <c r="I860" s="7">
        <f t="shared" si="1"/>
        <v>4650</v>
      </c>
      <c r="J860" s="7">
        <f t="shared" si="7"/>
        <v>4030</v>
      </c>
      <c r="K860" s="7">
        <f t="shared" si="3"/>
        <v>4030</v>
      </c>
      <c r="L860" s="7">
        <f t="shared" si="4"/>
        <v>3720</v>
      </c>
      <c r="M860" s="7">
        <f t="shared" si="5"/>
        <v>3565</v>
      </c>
      <c r="N860" s="7">
        <f t="shared" si="6"/>
        <v>3410</v>
      </c>
    </row>
    <row r="861">
      <c r="A861" s="5" t="s">
        <v>1609</v>
      </c>
      <c r="B861" s="5" t="s">
        <v>1610</v>
      </c>
      <c r="C861" s="5" t="s">
        <v>1775</v>
      </c>
      <c r="D861" s="5" t="s">
        <v>1788</v>
      </c>
      <c r="E861" s="5" t="s">
        <v>1789</v>
      </c>
      <c r="F861" s="5" t="s">
        <v>1790</v>
      </c>
      <c r="G861" s="8">
        <v>4500.0</v>
      </c>
      <c r="H861" s="5" t="s">
        <v>22</v>
      </c>
      <c r="I861" s="7">
        <f t="shared" si="1"/>
        <v>6750</v>
      </c>
      <c r="J861" s="7">
        <f t="shared" si="7"/>
        <v>5850</v>
      </c>
      <c r="K861" s="7">
        <f t="shared" si="3"/>
        <v>5850</v>
      </c>
      <c r="L861" s="7">
        <f t="shared" si="4"/>
        <v>5400</v>
      </c>
      <c r="M861" s="7">
        <f t="shared" si="5"/>
        <v>5175</v>
      </c>
      <c r="N861" s="7">
        <f t="shared" si="6"/>
        <v>4950</v>
      </c>
    </row>
    <row r="862">
      <c r="A862" s="5" t="s">
        <v>1609</v>
      </c>
      <c r="B862" s="6"/>
      <c r="C862" s="6"/>
      <c r="D862" s="5" t="s">
        <v>1791</v>
      </c>
      <c r="E862" s="5" t="s">
        <v>1792</v>
      </c>
      <c r="F862" s="5" t="s">
        <v>1793</v>
      </c>
      <c r="G862" s="8">
        <v>6800.0</v>
      </c>
      <c r="H862" s="5" t="s">
        <v>22</v>
      </c>
      <c r="I862" s="7">
        <f t="shared" si="1"/>
        <v>10200</v>
      </c>
      <c r="J862" s="7">
        <f t="shared" si="7"/>
        <v>8840</v>
      </c>
      <c r="K862" s="7">
        <f t="shared" si="3"/>
        <v>8840</v>
      </c>
      <c r="L862" s="7">
        <f t="shared" si="4"/>
        <v>8160</v>
      </c>
      <c r="M862" s="7">
        <f t="shared" si="5"/>
        <v>7820</v>
      </c>
      <c r="N862" s="7">
        <f t="shared" si="6"/>
        <v>7480</v>
      </c>
    </row>
    <row r="863">
      <c r="A863" s="5" t="s">
        <v>1609</v>
      </c>
      <c r="B863" s="5" t="s">
        <v>1610</v>
      </c>
      <c r="C863" s="5" t="s">
        <v>1775</v>
      </c>
      <c r="D863" s="5" t="s">
        <v>1794</v>
      </c>
      <c r="E863" s="5" t="s">
        <v>1795</v>
      </c>
      <c r="F863" s="5" t="s">
        <v>1796</v>
      </c>
      <c r="G863" s="8">
        <v>3850.0</v>
      </c>
      <c r="H863" s="5" t="s">
        <v>22</v>
      </c>
      <c r="I863" s="7">
        <f t="shared" si="1"/>
        <v>5775</v>
      </c>
      <c r="J863" s="7">
        <f t="shared" si="7"/>
        <v>5005</v>
      </c>
      <c r="K863" s="7">
        <f t="shared" si="3"/>
        <v>5005</v>
      </c>
      <c r="L863" s="7">
        <f t="shared" si="4"/>
        <v>4620</v>
      </c>
      <c r="M863" s="7">
        <f t="shared" si="5"/>
        <v>4427.5</v>
      </c>
      <c r="N863" s="7">
        <f t="shared" si="6"/>
        <v>4235</v>
      </c>
    </row>
    <row r="864">
      <c r="A864" s="5" t="s">
        <v>1609</v>
      </c>
      <c r="B864" s="5" t="s">
        <v>1610</v>
      </c>
      <c r="C864" s="5" t="s">
        <v>1775</v>
      </c>
      <c r="D864" s="5" t="s">
        <v>1797</v>
      </c>
      <c r="E864" s="5" t="s">
        <v>1798</v>
      </c>
      <c r="F864" s="5" t="s">
        <v>1799</v>
      </c>
      <c r="G864" s="8">
        <v>3900.0</v>
      </c>
      <c r="H864" s="5" t="s">
        <v>22</v>
      </c>
      <c r="I864" s="7">
        <f t="shared" si="1"/>
        <v>5850</v>
      </c>
      <c r="J864" s="7">
        <f t="shared" si="7"/>
        <v>5070</v>
      </c>
      <c r="K864" s="7">
        <f t="shared" si="3"/>
        <v>5070</v>
      </c>
      <c r="L864" s="7">
        <f t="shared" si="4"/>
        <v>4680</v>
      </c>
      <c r="M864" s="7">
        <f t="shared" si="5"/>
        <v>4485</v>
      </c>
      <c r="N864" s="7">
        <f t="shared" si="6"/>
        <v>4290</v>
      </c>
    </row>
    <row r="865">
      <c r="A865" s="5" t="s">
        <v>1609</v>
      </c>
      <c r="B865" s="5" t="s">
        <v>1610</v>
      </c>
      <c r="C865" s="5" t="s">
        <v>1775</v>
      </c>
      <c r="D865" s="5" t="s">
        <v>1800</v>
      </c>
      <c r="E865" s="5" t="s">
        <v>1801</v>
      </c>
      <c r="F865" s="5" t="s">
        <v>1802</v>
      </c>
      <c r="G865" s="8">
        <v>1900.0</v>
      </c>
      <c r="H865" s="5" t="s">
        <v>22</v>
      </c>
      <c r="I865" s="7">
        <f t="shared" si="1"/>
        <v>2850</v>
      </c>
      <c r="J865" s="7">
        <f t="shared" si="7"/>
        <v>2470</v>
      </c>
      <c r="K865" s="7">
        <f t="shared" si="3"/>
        <v>2470</v>
      </c>
      <c r="L865" s="7">
        <f t="shared" si="4"/>
        <v>2280</v>
      </c>
      <c r="M865" s="7">
        <f t="shared" si="5"/>
        <v>2185</v>
      </c>
      <c r="N865" s="7">
        <f t="shared" si="6"/>
        <v>2090</v>
      </c>
    </row>
    <row r="866">
      <c r="A866" s="5" t="s">
        <v>1609</v>
      </c>
      <c r="B866" s="5" t="s">
        <v>1610</v>
      </c>
      <c r="C866" s="5" t="s">
        <v>1775</v>
      </c>
      <c r="D866" s="5" t="s">
        <v>1803</v>
      </c>
      <c r="E866" s="5" t="s">
        <v>1804</v>
      </c>
      <c r="F866" s="5" t="s">
        <v>1805</v>
      </c>
      <c r="G866" s="8">
        <v>8400.0</v>
      </c>
      <c r="H866" s="5" t="s">
        <v>22</v>
      </c>
      <c r="I866" s="7">
        <f t="shared" si="1"/>
        <v>12600</v>
      </c>
      <c r="J866" s="7">
        <f t="shared" si="7"/>
        <v>10920</v>
      </c>
      <c r="K866" s="7">
        <f t="shared" si="3"/>
        <v>10920</v>
      </c>
      <c r="L866" s="7">
        <f t="shared" si="4"/>
        <v>10080</v>
      </c>
      <c r="M866" s="7">
        <f t="shared" si="5"/>
        <v>9660</v>
      </c>
      <c r="N866" s="7">
        <f t="shared" si="6"/>
        <v>9240</v>
      </c>
    </row>
    <row r="867">
      <c r="A867" s="5" t="s">
        <v>1609</v>
      </c>
      <c r="B867" s="5" t="s">
        <v>1610</v>
      </c>
      <c r="C867" s="5" t="s">
        <v>1775</v>
      </c>
      <c r="D867" s="5" t="s">
        <v>1806</v>
      </c>
      <c r="E867" s="5" t="s">
        <v>1804</v>
      </c>
      <c r="F867" s="5" t="s">
        <v>1807</v>
      </c>
      <c r="G867" s="8">
        <v>11700.0</v>
      </c>
      <c r="H867" s="5" t="s">
        <v>22</v>
      </c>
      <c r="I867" s="7">
        <f t="shared" si="1"/>
        <v>17550</v>
      </c>
      <c r="J867" s="7">
        <f t="shared" si="7"/>
        <v>15210</v>
      </c>
      <c r="K867" s="7">
        <f t="shared" si="3"/>
        <v>15210</v>
      </c>
      <c r="L867" s="7">
        <f t="shared" si="4"/>
        <v>14040</v>
      </c>
      <c r="M867" s="7">
        <f t="shared" si="5"/>
        <v>13455</v>
      </c>
      <c r="N867" s="7">
        <f t="shared" si="6"/>
        <v>12870</v>
      </c>
    </row>
    <row r="868">
      <c r="A868" s="5" t="s">
        <v>1609</v>
      </c>
      <c r="B868" s="5" t="s">
        <v>1610</v>
      </c>
      <c r="C868" s="5" t="s">
        <v>1775</v>
      </c>
      <c r="D868" s="5" t="s">
        <v>1808</v>
      </c>
      <c r="E868" s="5" t="s">
        <v>1809</v>
      </c>
      <c r="F868" s="5" t="s">
        <v>1810</v>
      </c>
      <c r="G868" s="5">
        <v>120.0</v>
      </c>
      <c r="H868" s="5" t="s">
        <v>22</v>
      </c>
      <c r="I868" s="7">
        <f t="shared" si="1"/>
        <v>180</v>
      </c>
      <c r="J868" s="7">
        <f t="shared" si="7"/>
        <v>156</v>
      </c>
      <c r="K868" s="7">
        <f t="shared" si="3"/>
        <v>156</v>
      </c>
      <c r="L868" s="7">
        <f t="shared" si="4"/>
        <v>144</v>
      </c>
      <c r="M868" s="7">
        <f t="shared" si="5"/>
        <v>138</v>
      </c>
      <c r="N868" s="7">
        <f t="shared" si="6"/>
        <v>132</v>
      </c>
    </row>
    <row r="869">
      <c r="A869" s="5" t="s">
        <v>1609</v>
      </c>
      <c r="B869" s="5" t="s">
        <v>1610</v>
      </c>
      <c r="C869" s="5" t="s">
        <v>1775</v>
      </c>
      <c r="D869" s="5" t="s">
        <v>1811</v>
      </c>
      <c r="E869" s="5" t="s">
        <v>1812</v>
      </c>
      <c r="F869" s="5" t="s">
        <v>1813</v>
      </c>
      <c r="G869" s="5">
        <v>130.0</v>
      </c>
      <c r="H869" s="5" t="s">
        <v>22</v>
      </c>
      <c r="I869" s="7">
        <f t="shared" si="1"/>
        <v>195</v>
      </c>
      <c r="J869" s="7">
        <f t="shared" si="7"/>
        <v>169</v>
      </c>
      <c r="K869" s="7">
        <f t="shared" si="3"/>
        <v>169</v>
      </c>
      <c r="L869" s="7">
        <f t="shared" si="4"/>
        <v>156</v>
      </c>
      <c r="M869" s="7">
        <f t="shared" si="5"/>
        <v>149.5</v>
      </c>
      <c r="N869" s="7">
        <f t="shared" si="6"/>
        <v>143</v>
      </c>
    </row>
    <row r="870">
      <c r="A870" s="5" t="s">
        <v>1609</v>
      </c>
      <c r="B870" s="5" t="s">
        <v>1610</v>
      </c>
      <c r="C870" s="5" t="s">
        <v>1775</v>
      </c>
      <c r="D870" s="5" t="s">
        <v>1814</v>
      </c>
      <c r="E870" s="5" t="s">
        <v>1815</v>
      </c>
      <c r="F870" s="5" t="s">
        <v>1816</v>
      </c>
      <c r="G870" s="5">
        <v>310.0</v>
      </c>
      <c r="H870" s="5" t="s">
        <v>22</v>
      </c>
      <c r="I870" s="7">
        <f t="shared" si="1"/>
        <v>465</v>
      </c>
      <c r="J870" s="7">
        <f t="shared" si="7"/>
        <v>403</v>
      </c>
      <c r="K870" s="7">
        <f t="shared" si="3"/>
        <v>403</v>
      </c>
      <c r="L870" s="7">
        <f t="shared" si="4"/>
        <v>372</v>
      </c>
      <c r="M870" s="7">
        <f t="shared" si="5"/>
        <v>356.5</v>
      </c>
      <c r="N870" s="7">
        <f t="shared" si="6"/>
        <v>341</v>
      </c>
    </row>
    <row r="871">
      <c r="A871" s="5" t="s">
        <v>1609</v>
      </c>
      <c r="B871" s="5" t="s">
        <v>1610</v>
      </c>
      <c r="C871" s="5" t="s">
        <v>1775</v>
      </c>
      <c r="D871" s="5" t="s">
        <v>1817</v>
      </c>
      <c r="E871" s="5" t="s">
        <v>1818</v>
      </c>
      <c r="F871" s="5" t="s">
        <v>1819</v>
      </c>
      <c r="G871" s="8">
        <v>3700.0</v>
      </c>
      <c r="H871" s="5" t="s">
        <v>22</v>
      </c>
      <c r="I871" s="7">
        <f t="shared" si="1"/>
        <v>5550</v>
      </c>
      <c r="J871" s="7">
        <f t="shared" si="7"/>
        <v>4810</v>
      </c>
      <c r="K871" s="7">
        <f t="shared" si="3"/>
        <v>4810</v>
      </c>
      <c r="L871" s="7">
        <f t="shared" si="4"/>
        <v>4440</v>
      </c>
      <c r="M871" s="7">
        <f t="shared" si="5"/>
        <v>4255</v>
      </c>
      <c r="N871" s="7">
        <f t="shared" si="6"/>
        <v>4070</v>
      </c>
    </row>
    <row r="872">
      <c r="A872" s="5" t="s">
        <v>1609</v>
      </c>
      <c r="B872" s="5" t="s">
        <v>1610</v>
      </c>
      <c r="C872" s="5" t="s">
        <v>1775</v>
      </c>
      <c r="D872" s="5" t="s">
        <v>1820</v>
      </c>
      <c r="E872" s="5" t="s">
        <v>1821</v>
      </c>
      <c r="F872" s="5" t="s">
        <v>1822</v>
      </c>
      <c r="G872" s="5">
        <v>700.0</v>
      </c>
      <c r="H872" s="5" t="s">
        <v>22</v>
      </c>
      <c r="I872" s="7">
        <f t="shared" si="1"/>
        <v>1050</v>
      </c>
      <c r="J872" s="7">
        <f t="shared" si="7"/>
        <v>910</v>
      </c>
      <c r="K872" s="7">
        <f t="shared" si="3"/>
        <v>910</v>
      </c>
      <c r="L872" s="7">
        <f t="shared" si="4"/>
        <v>840</v>
      </c>
      <c r="M872" s="7">
        <f t="shared" si="5"/>
        <v>805</v>
      </c>
      <c r="N872" s="7">
        <f t="shared" si="6"/>
        <v>770</v>
      </c>
    </row>
    <row r="873">
      <c r="A873" s="5" t="s">
        <v>1609</v>
      </c>
      <c r="B873" s="5" t="s">
        <v>1610</v>
      </c>
      <c r="C873" s="5" t="s">
        <v>1823</v>
      </c>
      <c r="D873" s="5" t="s">
        <v>1824</v>
      </c>
      <c r="E873" s="5" t="s">
        <v>1825</v>
      </c>
      <c r="F873" s="5" t="s">
        <v>1826</v>
      </c>
      <c r="G873" s="8">
        <v>111800.0</v>
      </c>
      <c r="H873" s="5" t="s">
        <v>22</v>
      </c>
      <c r="I873" s="7">
        <f t="shared" si="1"/>
        <v>167700</v>
      </c>
      <c r="J873" s="7">
        <f t="shared" si="7"/>
        <v>145340</v>
      </c>
      <c r="K873" s="7">
        <f t="shared" si="3"/>
        <v>145340</v>
      </c>
      <c r="L873" s="7">
        <f t="shared" si="4"/>
        <v>134160</v>
      </c>
      <c r="M873" s="7">
        <f t="shared" si="5"/>
        <v>128570</v>
      </c>
      <c r="N873" s="7">
        <f t="shared" si="6"/>
        <v>122980</v>
      </c>
    </row>
    <row r="874">
      <c r="A874" s="5" t="s">
        <v>1609</v>
      </c>
      <c r="B874" s="5" t="s">
        <v>1610</v>
      </c>
      <c r="C874" s="5" t="s">
        <v>1823</v>
      </c>
      <c r="D874" s="5" t="s">
        <v>1827</v>
      </c>
      <c r="E874" s="5" t="s">
        <v>1828</v>
      </c>
      <c r="F874" s="5" t="s">
        <v>1829</v>
      </c>
      <c r="G874" s="8">
        <v>84000.0</v>
      </c>
      <c r="H874" s="5" t="s">
        <v>22</v>
      </c>
      <c r="I874" s="7">
        <f t="shared" si="1"/>
        <v>126000</v>
      </c>
      <c r="J874" s="7">
        <f t="shared" si="7"/>
        <v>109200</v>
      </c>
      <c r="K874" s="7">
        <f t="shared" si="3"/>
        <v>109200</v>
      </c>
      <c r="L874" s="7">
        <f t="shared" si="4"/>
        <v>100800</v>
      </c>
      <c r="M874" s="7">
        <f t="shared" si="5"/>
        <v>96600</v>
      </c>
      <c r="N874" s="7">
        <f t="shared" si="6"/>
        <v>92400</v>
      </c>
    </row>
    <row r="875">
      <c r="A875" s="5" t="s">
        <v>1609</v>
      </c>
      <c r="B875" s="5" t="s">
        <v>1610</v>
      </c>
      <c r="C875" s="5" t="s">
        <v>1823</v>
      </c>
      <c r="D875" s="5" t="s">
        <v>1830</v>
      </c>
      <c r="E875" s="5" t="s">
        <v>1828</v>
      </c>
      <c r="F875" s="5" t="s">
        <v>1831</v>
      </c>
      <c r="G875" s="8">
        <v>90500.0</v>
      </c>
      <c r="H875" s="5" t="s">
        <v>22</v>
      </c>
      <c r="I875" s="7">
        <f t="shared" si="1"/>
        <v>135750</v>
      </c>
      <c r="J875" s="7">
        <f t="shared" si="7"/>
        <v>117650</v>
      </c>
      <c r="K875" s="7">
        <f t="shared" si="3"/>
        <v>117650</v>
      </c>
      <c r="L875" s="7">
        <f t="shared" si="4"/>
        <v>108600</v>
      </c>
      <c r="M875" s="7">
        <f t="shared" si="5"/>
        <v>104075</v>
      </c>
      <c r="N875" s="7">
        <f t="shared" si="6"/>
        <v>99550</v>
      </c>
    </row>
    <row r="876">
      <c r="A876" s="5" t="s">
        <v>1609</v>
      </c>
      <c r="B876" s="5" t="s">
        <v>1610</v>
      </c>
      <c r="C876" s="5" t="s">
        <v>1832</v>
      </c>
      <c r="D876" s="5" t="s">
        <v>1833</v>
      </c>
      <c r="E876" s="5" t="s">
        <v>1834</v>
      </c>
      <c r="F876" s="5" t="s">
        <v>1835</v>
      </c>
      <c r="G876" s="8">
        <v>19800.0</v>
      </c>
      <c r="H876" s="5" t="s">
        <v>22</v>
      </c>
      <c r="I876" s="7">
        <f t="shared" si="1"/>
        <v>29700</v>
      </c>
      <c r="J876" s="7">
        <f t="shared" si="7"/>
        <v>25740</v>
      </c>
      <c r="K876" s="7">
        <f t="shared" si="3"/>
        <v>25740</v>
      </c>
      <c r="L876" s="7">
        <f t="shared" si="4"/>
        <v>23760</v>
      </c>
      <c r="M876" s="7">
        <f t="shared" si="5"/>
        <v>22770</v>
      </c>
      <c r="N876" s="7">
        <f t="shared" si="6"/>
        <v>21780</v>
      </c>
    </row>
    <row r="877">
      <c r="A877" s="5" t="s">
        <v>1609</v>
      </c>
      <c r="B877" s="5" t="s">
        <v>1610</v>
      </c>
      <c r="C877" s="5" t="s">
        <v>1832</v>
      </c>
      <c r="D877" s="5" t="s">
        <v>1836</v>
      </c>
      <c r="E877" s="5" t="s">
        <v>1834</v>
      </c>
      <c r="F877" s="5" t="s">
        <v>1837</v>
      </c>
      <c r="G877" s="8">
        <v>30000.0</v>
      </c>
      <c r="H877" s="5" t="s">
        <v>22</v>
      </c>
      <c r="I877" s="7">
        <f t="shared" si="1"/>
        <v>45000</v>
      </c>
      <c r="J877" s="7">
        <f t="shared" si="7"/>
        <v>39000</v>
      </c>
      <c r="K877" s="7">
        <f t="shared" si="3"/>
        <v>39000</v>
      </c>
      <c r="L877" s="7">
        <f t="shared" si="4"/>
        <v>36000</v>
      </c>
      <c r="M877" s="7">
        <f t="shared" si="5"/>
        <v>34500</v>
      </c>
      <c r="N877" s="7">
        <f t="shared" si="6"/>
        <v>33000</v>
      </c>
    </row>
    <row r="878">
      <c r="A878" s="5" t="s">
        <v>1609</v>
      </c>
      <c r="B878" s="5" t="s">
        <v>1610</v>
      </c>
      <c r="C878" s="5" t="s">
        <v>1832</v>
      </c>
      <c r="D878" s="5" t="s">
        <v>1838</v>
      </c>
      <c r="E878" s="5" t="s">
        <v>1839</v>
      </c>
      <c r="F878" s="5" t="s">
        <v>1840</v>
      </c>
      <c r="G878" s="8">
        <v>3200.0</v>
      </c>
      <c r="H878" s="5" t="s">
        <v>22</v>
      </c>
      <c r="I878" s="7">
        <f t="shared" si="1"/>
        <v>4800</v>
      </c>
      <c r="J878" s="7">
        <f t="shared" si="7"/>
        <v>4160</v>
      </c>
      <c r="K878" s="7">
        <f t="shared" si="3"/>
        <v>4160</v>
      </c>
      <c r="L878" s="7">
        <f t="shared" si="4"/>
        <v>3840</v>
      </c>
      <c r="M878" s="7">
        <f t="shared" si="5"/>
        <v>3680</v>
      </c>
      <c r="N878" s="7">
        <f t="shared" si="6"/>
        <v>3520</v>
      </c>
    </row>
    <row r="879">
      <c r="A879" s="5" t="s">
        <v>1609</v>
      </c>
      <c r="B879" s="5" t="s">
        <v>1610</v>
      </c>
      <c r="C879" s="5" t="s">
        <v>1832</v>
      </c>
      <c r="D879" s="5" t="s">
        <v>1841</v>
      </c>
      <c r="E879" s="5" t="s">
        <v>1834</v>
      </c>
      <c r="F879" s="5" t="s">
        <v>1842</v>
      </c>
      <c r="G879" s="8">
        <v>31500.0</v>
      </c>
      <c r="H879" s="5" t="s">
        <v>22</v>
      </c>
      <c r="I879" s="7">
        <f t="shared" si="1"/>
        <v>47250</v>
      </c>
      <c r="J879" s="7">
        <f t="shared" si="7"/>
        <v>40950</v>
      </c>
      <c r="K879" s="7">
        <f t="shared" si="3"/>
        <v>40950</v>
      </c>
      <c r="L879" s="7">
        <f t="shared" si="4"/>
        <v>37800</v>
      </c>
      <c r="M879" s="7">
        <f t="shared" si="5"/>
        <v>36225</v>
      </c>
      <c r="N879" s="7">
        <f t="shared" si="6"/>
        <v>34650</v>
      </c>
    </row>
    <row r="880">
      <c r="A880" s="5" t="s">
        <v>1609</v>
      </c>
      <c r="B880" s="5" t="s">
        <v>1610</v>
      </c>
      <c r="C880" s="5" t="s">
        <v>1832</v>
      </c>
      <c r="D880" s="5" t="s">
        <v>1843</v>
      </c>
      <c r="E880" s="5" t="s">
        <v>1839</v>
      </c>
      <c r="F880" s="5" t="s">
        <v>1844</v>
      </c>
      <c r="G880" s="8">
        <v>5050.0</v>
      </c>
      <c r="H880" s="5" t="s">
        <v>22</v>
      </c>
      <c r="I880" s="7">
        <f t="shared" si="1"/>
        <v>7575</v>
      </c>
      <c r="J880" s="7">
        <f t="shared" si="7"/>
        <v>6565</v>
      </c>
      <c r="K880" s="7">
        <f t="shared" si="3"/>
        <v>6565</v>
      </c>
      <c r="L880" s="7">
        <f t="shared" si="4"/>
        <v>6060</v>
      </c>
      <c r="M880" s="7">
        <f t="shared" si="5"/>
        <v>5807.5</v>
      </c>
      <c r="N880" s="7">
        <f t="shared" si="6"/>
        <v>5555</v>
      </c>
    </row>
    <row r="881">
      <c r="A881" s="5" t="s">
        <v>1609</v>
      </c>
      <c r="B881" s="5" t="s">
        <v>1610</v>
      </c>
      <c r="C881" s="5" t="s">
        <v>1832</v>
      </c>
      <c r="D881" s="5" t="s">
        <v>1845</v>
      </c>
      <c r="E881" s="5" t="s">
        <v>1834</v>
      </c>
      <c r="F881" s="5" t="s">
        <v>1846</v>
      </c>
      <c r="G881" s="8">
        <v>36550.0</v>
      </c>
      <c r="H881" s="5" t="s">
        <v>22</v>
      </c>
      <c r="I881" s="7">
        <f t="shared" si="1"/>
        <v>54825</v>
      </c>
      <c r="J881" s="7">
        <f t="shared" si="7"/>
        <v>47515</v>
      </c>
      <c r="K881" s="7">
        <f t="shared" si="3"/>
        <v>47515</v>
      </c>
      <c r="L881" s="7">
        <f t="shared" si="4"/>
        <v>43860</v>
      </c>
      <c r="M881" s="7">
        <f t="shared" si="5"/>
        <v>42032.5</v>
      </c>
      <c r="N881" s="7">
        <f t="shared" si="6"/>
        <v>40205</v>
      </c>
    </row>
    <row r="882">
      <c r="A882" s="5" t="s">
        <v>1609</v>
      </c>
      <c r="B882" s="5" t="s">
        <v>1610</v>
      </c>
      <c r="C882" s="5" t="s">
        <v>1832</v>
      </c>
      <c r="D882" s="5" t="s">
        <v>1847</v>
      </c>
      <c r="E882" s="5" t="s">
        <v>1839</v>
      </c>
      <c r="F882" s="5" t="s">
        <v>1848</v>
      </c>
      <c r="G882" s="8">
        <v>8600.0</v>
      </c>
      <c r="H882" s="5" t="s">
        <v>22</v>
      </c>
      <c r="I882" s="7">
        <f t="shared" si="1"/>
        <v>12900</v>
      </c>
      <c r="J882" s="7">
        <f t="shared" si="7"/>
        <v>11180</v>
      </c>
      <c r="K882" s="7">
        <f t="shared" si="3"/>
        <v>11180</v>
      </c>
      <c r="L882" s="7">
        <f t="shared" si="4"/>
        <v>10320</v>
      </c>
      <c r="M882" s="7">
        <f t="shared" si="5"/>
        <v>9890</v>
      </c>
      <c r="N882" s="7">
        <f t="shared" si="6"/>
        <v>9460</v>
      </c>
    </row>
    <row r="883">
      <c r="A883" s="5" t="s">
        <v>1609</v>
      </c>
      <c r="B883" s="5" t="s">
        <v>1610</v>
      </c>
      <c r="C883" s="5" t="s">
        <v>1832</v>
      </c>
      <c r="D883" s="5" t="s">
        <v>1849</v>
      </c>
      <c r="E883" s="5" t="s">
        <v>1834</v>
      </c>
      <c r="F883" s="5" t="s">
        <v>1850</v>
      </c>
      <c r="G883" s="8">
        <v>46800.0</v>
      </c>
      <c r="H883" s="5" t="s">
        <v>22</v>
      </c>
      <c r="I883" s="7">
        <f t="shared" si="1"/>
        <v>70200</v>
      </c>
      <c r="J883" s="7">
        <f t="shared" si="7"/>
        <v>60840</v>
      </c>
      <c r="K883" s="7">
        <f t="shared" si="3"/>
        <v>60840</v>
      </c>
      <c r="L883" s="7">
        <f t="shared" si="4"/>
        <v>56160</v>
      </c>
      <c r="M883" s="7">
        <f t="shared" si="5"/>
        <v>53820</v>
      </c>
      <c r="N883" s="7">
        <f t="shared" si="6"/>
        <v>51480</v>
      </c>
    </row>
    <row r="884">
      <c r="A884" s="5" t="s">
        <v>1609</v>
      </c>
      <c r="B884" s="5" t="s">
        <v>1610</v>
      </c>
      <c r="C884" s="5" t="s">
        <v>1832</v>
      </c>
      <c r="D884" s="5" t="s">
        <v>1851</v>
      </c>
      <c r="E884" s="5" t="s">
        <v>1839</v>
      </c>
      <c r="F884" s="5" t="s">
        <v>1852</v>
      </c>
      <c r="G884" s="8">
        <v>17000.0</v>
      </c>
      <c r="H884" s="5" t="s">
        <v>22</v>
      </c>
      <c r="I884" s="7">
        <f t="shared" si="1"/>
        <v>25500</v>
      </c>
      <c r="J884" s="7">
        <f t="shared" si="7"/>
        <v>22100</v>
      </c>
      <c r="K884" s="7">
        <f t="shared" si="3"/>
        <v>22100</v>
      </c>
      <c r="L884" s="7">
        <f t="shared" si="4"/>
        <v>20400</v>
      </c>
      <c r="M884" s="7">
        <f t="shared" si="5"/>
        <v>19550</v>
      </c>
      <c r="N884" s="7">
        <f t="shared" si="6"/>
        <v>18700</v>
      </c>
    </row>
    <row r="885">
      <c r="A885" s="5" t="s">
        <v>1609</v>
      </c>
      <c r="B885" s="5" t="s">
        <v>1610</v>
      </c>
      <c r="C885" s="5" t="s">
        <v>1832</v>
      </c>
      <c r="D885" s="5" t="s">
        <v>1853</v>
      </c>
      <c r="E885" s="5" t="s">
        <v>1854</v>
      </c>
      <c r="F885" s="5" t="s">
        <v>1855</v>
      </c>
      <c r="G885" s="8">
        <v>17800.0</v>
      </c>
      <c r="H885" s="5" t="s">
        <v>22</v>
      </c>
      <c r="I885" s="7">
        <f t="shared" si="1"/>
        <v>26700</v>
      </c>
      <c r="J885" s="7">
        <f t="shared" si="7"/>
        <v>23140</v>
      </c>
      <c r="K885" s="7">
        <f t="shared" si="3"/>
        <v>23140</v>
      </c>
      <c r="L885" s="7">
        <f t="shared" si="4"/>
        <v>21360</v>
      </c>
      <c r="M885" s="7">
        <f t="shared" si="5"/>
        <v>20470</v>
      </c>
      <c r="N885" s="7">
        <f t="shared" si="6"/>
        <v>19580</v>
      </c>
    </row>
    <row r="886">
      <c r="A886" s="5" t="s">
        <v>1609</v>
      </c>
      <c r="B886" s="5" t="s">
        <v>1610</v>
      </c>
      <c r="C886" s="5" t="s">
        <v>1856</v>
      </c>
      <c r="D886" s="5" t="s">
        <v>1857</v>
      </c>
      <c r="E886" s="5" t="s">
        <v>1858</v>
      </c>
      <c r="F886" s="5" t="s">
        <v>1859</v>
      </c>
      <c r="G886" s="8">
        <v>12500.0</v>
      </c>
      <c r="H886" s="5" t="s">
        <v>22</v>
      </c>
      <c r="I886" s="7">
        <f t="shared" si="1"/>
        <v>18750</v>
      </c>
      <c r="J886" s="7">
        <f t="shared" si="7"/>
        <v>16250</v>
      </c>
      <c r="K886" s="7">
        <f t="shared" si="3"/>
        <v>16250</v>
      </c>
      <c r="L886" s="7">
        <f t="shared" si="4"/>
        <v>15000</v>
      </c>
      <c r="M886" s="7">
        <f t="shared" si="5"/>
        <v>14375</v>
      </c>
      <c r="N886" s="7">
        <f t="shared" si="6"/>
        <v>13750</v>
      </c>
    </row>
    <row r="887">
      <c r="A887" s="5" t="s">
        <v>1609</v>
      </c>
      <c r="B887" s="5" t="s">
        <v>1610</v>
      </c>
      <c r="C887" s="5" t="s">
        <v>1856</v>
      </c>
      <c r="D887" s="5" t="s">
        <v>1723</v>
      </c>
      <c r="E887" s="5" t="s">
        <v>1712</v>
      </c>
      <c r="F887" s="5" t="s">
        <v>1724</v>
      </c>
      <c r="G887" s="5">
        <v>250.0</v>
      </c>
      <c r="H887" s="5" t="s">
        <v>22</v>
      </c>
      <c r="I887" s="7">
        <f t="shared" si="1"/>
        <v>375</v>
      </c>
      <c r="J887" s="7">
        <f t="shared" si="7"/>
        <v>325</v>
      </c>
      <c r="K887" s="7">
        <f t="shared" si="3"/>
        <v>325</v>
      </c>
      <c r="L887" s="7">
        <f t="shared" si="4"/>
        <v>300</v>
      </c>
      <c r="M887" s="7">
        <f t="shared" si="5"/>
        <v>287.5</v>
      </c>
      <c r="N887" s="7">
        <f t="shared" si="6"/>
        <v>275</v>
      </c>
    </row>
    <row r="888">
      <c r="A888" s="5" t="s">
        <v>1609</v>
      </c>
      <c r="B888" s="5" t="s">
        <v>1610</v>
      </c>
      <c r="C888" s="5" t="s">
        <v>1856</v>
      </c>
      <c r="D888" s="5" t="s">
        <v>1860</v>
      </c>
      <c r="E888" s="5" t="s">
        <v>1861</v>
      </c>
      <c r="F888" s="5" t="s">
        <v>1862</v>
      </c>
      <c r="G888" s="8">
        <v>1850.0</v>
      </c>
      <c r="H888" s="5" t="s">
        <v>22</v>
      </c>
      <c r="I888" s="7">
        <f t="shared" si="1"/>
        <v>2775</v>
      </c>
      <c r="J888" s="7">
        <f t="shared" si="7"/>
        <v>2405</v>
      </c>
      <c r="K888" s="7">
        <f t="shared" si="3"/>
        <v>2405</v>
      </c>
      <c r="L888" s="7">
        <f t="shared" si="4"/>
        <v>2220</v>
      </c>
      <c r="M888" s="7">
        <f t="shared" si="5"/>
        <v>2127.5</v>
      </c>
      <c r="N888" s="7">
        <f t="shared" si="6"/>
        <v>2035</v>
      </c>
    </row>
    <row r="889">
      <c r="A889" s="5" t="s">
        <v>1609</v>
      </c>
      <c r="B889" s="6"/>
      <c r="C889" s="6"/>
      <c r="D889" s="5" t="s">
        <v>1863</v>
      </c>
      <c r="E889" s="5" t="s">
        <v>1864</v>
      </c>
      <c r="F889" s="5" t="s">
        <v>1865</v>
      </c>
      <c r="G889" s="8">
        <v>3650.0</v>
      </c>
      <c r="H889" s="5" t="s">
        <v>22</v>
      </c>
      <c r="I889" s="7">
        <f t="shared" si="1"/>
        <v>5475</v>
      </c>
      <c r="J889" s="7">
        <f t="shared" si="7"/>
        <v>4745</v>
      </c>
      <c r="K889" s="7">
        <f t="shared" si="3"/>
        <v>4745</v>
      </c>
      <c r="L889" s="7">
        <f t="shared" si="4"/>
        <v>4380</v>
      </c>
      <c r="M889" s="7">
        <f t="shared" si="5"/>
        <v>4197.5</v>
      </c>
      <c r="N889" s="7">
        <f t="shared" si="6"/>
        <v>4015</v>
      </c>
    </row>
    <row r="890">
      <c r="A890" s="5" t="s">
        <v>1609</v>
      </c>
      <c r="B890" s="5" t="s">
        <v>1610</v>
      </c>
      <c r="C890" s="5" t="s">
        <v>1856</v>
      </c>
      <c r="D890" s="5" t="s">
        <v>1866</v>
      </c>
      <c r="E890" s="5" t="s">
        <v>1867</v>
      </c>
      <c r="F890" s="5" t="s">
        <v>1868</v>
      </c>
      <c r="G890" s="8">
        <v>1400.0</v>
      </c>
      <c r="H890" s="5" t="s">
        <v>22</v>
      </c>
      <c r="I890" s="7">
        <f t="shared" si="1"/>
        <v>2100</v>
      </c>
      <c r="J890" s="7">
        <f t="shared" si="7"/>
        <v>1820</v>
      </c>
      <c r="K890" s="7">
        <f t="shared" si="3"/>
        <v>1820</v>
      </c>
      <c r="L890" s="7">
        <f t="shared" si="4"/>
        <v>1680</v>
      </c>
      <c r="M890" s="7">
        <f t="shared" si="5"/>
        <v>1610</v>
      </c>
      <c r="N890" s="7">
        <f t="shared" si="6"/>
        <v>1540</v>
      </c>
    </row>
    <row r="891">
      <c r="A891" s="5" t="s">
        <v>1609</v>
      </c>
      <c r="B891" s="5" t="s">
        <v>1610</v>
      </c>
      <c r="C891" s="5" t="s">
        <v>1856</v>
      </c>
      <c r="D891" s="5" t="s">
        <v>1869</v>
      </c>
      <c r="E891" s="5" t="s">
        <v>1870</v>
      </c>
      <c r="F891" s="5" t="s">
        <v>1871</v>
      </c>
      <c r="G891" s="8">
        <v>1350.0</v>
      </c>
      <c r="H891" s="5" t="s">
        <v>22</v>
      </c>
      <c r="I891" s="7">
        <f t="shared" si="1"/>
        <v>2025</v>
      </c>
      <c r="J891" s="7">
        <f t="shared" si="7"/>
        <v>1755</v>
      </c>
      <c r="K891" s="7">
        <f t="shared" si="3"/>
        <v>1755</v>
      </c>
      <c r="L891" s="7">
        <f t="shared" si="4"/>
        <v>1620</v>
      </c>
      <c r="M891" s="7">
        <f t="shared" si="5"/>
        <v>1552.5</v>
      </c>
      <c r="N891" s="7">
        <f t="shared" si="6"/>
        <v>1485</v>
      </c>
    </row>
    <row r="892">
      <c r="A892" s="5" t="s">
        <v>1609</v>
      </c>
      <c r="B892" s="5" t="s">
        <v>1610</v>
      </c>
      <c r="C892" s="5" t="s">
        <v>1856</v>
      </c>
      <c r="D892" s="5" t="s">
        <v>1872</v>
      </c>
      <c r="E892" s="5" t="s">
        <v>1873</v>
      </c>
      <c r="F892" s="5" t="s">
        <v>1874</v>
      </c>
      <c r="G892" s="8">
        <v>24800.0</v>
      </c>
      <c r="H892" s="5" t="s">
        <v>22</v>
      </c>
      <c r="I892" s="7">
        <f t="shared" si="1"/>
        <v>37200</v>
      </c>
      <c r="J892" s="7">
        <f t="shared" si="7"/>
        <v>32240</v>
      </c>
      <c r="K892" s="7">
        <f t="shared" si="3"/>
        <v>32240</v>
      </c>
      <c r="L892" s="7">
        <f t="shared" si="4"/>
        <v>29760</v>
      </c>
      <c r="M892" s="7">
        <f t="shared" si="5"/>
        <v>28520</v>
      </c>
      <c r="N892" s="7">
        <f t="shared" si="6"/>
        <v>27280</v>
      </c>
    </row>
    <row r="893">
      <c r="A893" s="5" t="s">
        <v>1609</v>
      </c>
      <c r="B893" s="5" t="s">
        <v>1610</v>
      </c>
      <c r="C893" s="5" t="s">
        <v>1856</v>
      </c>
      <c r="D893" s="5" t="s">
        <v>1711</v>
      </c>
      <c r="E893" s="5" t="s">
        <v>1712</v>
      </c>
      <c r="F893" s="5" t="s">
        <v>1713</v>
      </c>
      <c r="G893" s="5">
        <v>300.0</v>
      </c>
      <c r="H893" s="5" t="s">
        <v>22</v>
      </c>
      <c r="I893" s="7">
        <f t="shared" si="1"/>
        <v>450</v>
      </c>
      <c r="J893" s="7">
        <f t="shared" si="7"/>
        <v>390</v>
      </c>
      <c r="K893" s="7">
        <f t="shared" si="3"/>
        <v>390</v>
      </c>
      <c r="L893" s="7">
        <f t="shared" si="4"/>
        <v>360</v>
      </c>
      <c r="M893" s="7">
        <f t="shared" si="5"/>
        <v>345</v>
      </c>
      <c r="N893" s="7">
        <f t="shared" si="6"/>
        <v>330</v>
      </c>
    </row>
    <row r="894">
      <c r="A894" s="5" t="s">
        <v>1609</v>
      </c>
      <c r="B894" s="5" t="s">
        <v>1610</v>
      </c>
      <c r="C894" s="5" t="s">
        <v>1856</v>
      </c>
      <c r="D894" s="5" t="s">
        <v>1875</v>
      </c>
      <c r="E894" s="5" t="s">
        <v>1876</v>
      </c>
      <c r="F894" s="5" t="s">
        <v>1877</v>
      </c>
      <c r="G894" s="5">
        <v>300.0</v>
      </c>
      <c r="H894" s="5" t="s">
        <v>22</v>
      </c>
      <c r="I894" s="7">
        <f t="shared" si="1"/>
        <v>450</v>
      </c>
      <c r="J894" s="7">
        <f t="shared" si="7"/>
        <v>390</v>
      </c>
      <c r="K894" s="7">
        <f t="shared" si="3"/>
        <v>390</v>
      </c>
      <c r="L894" s="7">
        <f t="shared" si="4"/>
        <v>360</v>
      </c>
      <c r="M894" s="7">
        <f t="shared" si="5"/>
        <v>345</v>
      </c>
      <c r="N894" s="7">
        <f t="shared" si="6"/>
        <v>330</v>
      </c>
    </row>
    <row r="895">
      <c r="A895" s="5" t="s">
        <v>1609</v>
      </c>
      <c r="B895" s="5" t="s">
        <v>1610</v>
      </c>
      <c r="C895" s="5" t="s">
        <v>1856</v>
      </c>
      <c r="D895" s="5" t="s">
        <v>1878</v>
      </c>
      <c r="E895" s="5" t="s">
        <v>1879</v>
      </c>
      <c r="F895" s="5" t="s">
        <v>1880</v>
      </c>
      <c r="G895" s="8">
        <v>1350.0</v>
      </c>
      <c r="H895" s="5" t="s">
        <v>22</v>
      </c>
      <c r="I895" s="7">
        <f t="shared" si="1"/>
        <v>2025</v>
      </c>
      <c r="J895" s="7">
        <f t="shared" si="7"/>
        <v>1755</v>
      </c>
      <c r="K895" s="7">
        <f t="shared" si="3"/>
        <v>1755</v>
      </c>
      <c r="L895" s="7">
        <f t="shared" si="4"/>
        <v>1620</v>
      </c>
      <c r="M895" s="7">
        <f t="shared" si="5"/>
        <v>1552.5</v>
      </c>
      <c r="N895" s="7">
        <f t="shared" si="6"/>
        <v>1485</v>
      </c>
    </row>
    <row r="896">
      <c r="A896" s="5" t="s">
        <v>1609</v>
      </c>
      <c r="B896" s="5" t="s">
        <v>1610</v>
      </c>
      <c r="C896" s="5" t="s">
        <v>1856</v>
      </c>
      <c r="D896" s="5" t="s">
        <v>1881</v>
      </c>
      <c r="E896" s="5" t="s">
        <v>1882</v>
      </c>
      <c r="F896" s="5" t="s">
        <v>1883</v>
      </c>
      <c r="G896" s="8">
        <v>6600.0</v>
      </c>
      <c r="H896" s="5" t="s">
        <v>22</v>
      </c>
      <c r="I896" s="7">
        <f t="shared" si="1"/>
        <v>9900</v>
      </c>
      <c r="J896" s="7">
        <f t="shared" si="7"/>
        <v>8580</v>
      </c>
      <c r="K896" s="7">
        <f t="shared" si="3"/>
        <v>8580</v>
      </c>
      <c r="L896" s="7">
        <f t="shared" si="4"/>
        <v>7920</v>
      </c>
      <c r="M896" s="7">
        <f t="shared" si="5"/>
        <v>7590</v>
      </c>
      <c r="N896" s="7">
        <f t="shared" si="6"/>
        <v>7260</v>
      </c>
    </row>
    <row r="897">
      <c r="A897" s="5" t="s">
        <v>1609</v>
      </c>
      <c r="B897" s="5" t="s">
        <v>1610</v>
      </c>
      <c r="C897" s="5" t="s">
        <v>1856</v>
      </c>
      <c r="D897" s="5" t="s">
        <v>1884</v>
      </c>
      <c r="E897" s="5" t="s">
        <v>1885</v>
      </c>
      <c r="F897" s="5" t="s">
        <v>1886</v>
      </c>
      <c r="G897" s="8">
        <v>6500.0</v>
      </c>
      <c r="H897" s="5" t="s">
        <v>22</v>
      </c>
      <c r="I897" s="7">
        <f t="shared" si="1"/>
        <v>9750</v>
      </c>
      <c r="J897" s="7">
        <f t="shared" si="7"/>
        <v>8450</v>
      </c>
      <c r="K897" s="7">
        <f t="shared" si="3"/>
        <v>8450</v>
      </c>
      <c r="L897" s="7">
        <f t="shared" si="4"/>
        <v>7800</v>
      </c>
      <c r="M897" s="7">
        <f t="shared" si="5"/>
        <v>7475</v>
      </c>
      <c r="N897" s="7">
        <f t="shared" si="6"/>
        <v>7150</v>
      </c>
    </row>
    <row r="898">
      <c r="A898" s="5" t="s">
        <v>1609</v>
      </c>
      <c r="B898" s="5" t="s">
        <v>1610</v>
      </c>
      <c r="C898" s="5" t="s">
        <v>1856</v>
      </c>
      <c r="D898" s="5" t="s">
        <v>1887</v>
      </c>
      <c r="E898" s="5" t="s">
        <v>1888</v>
      </c>
      <c r="F898" s="5" t="s">
        <v>1889</v>
      </c>
      <c r="G898" s="8">
        <v>1550.0</v>
      </c>
      <c r="H898" s="5" t="s">
        <v>22</v>
      </c>
      <c r="I898" s="7">
        <f t="shared" si="1"/>
        <v>2325</v>
      </c>
      <c r="J898" s="7">
        <f t="shared" si="7"/>
        <v>2015</v>
      </c>
      <c r="K898" s="7">
        <f t="shared" si="3"/>
        <v>2015</v>
      </c>
      <c r="L898" s="7">
        <f t="shared" si="4"/>
        <v>1860</v>
      </c>
      <c r="M898" s="7">
        <f t="shared" si="5"/>
        <v>1782.5</v>
      </c>
      <c r="N898" s="7">
        <f t="shared" si="6"/>
        <v>1705</v>
      </c>
    </row>
    <row r="899">
      <c r="A899" s="5" t="s">
        <v>1609</v>
      </c>
      <c r="B899" s="5" t="s">
        <v>1610</v>
      </c>
      <c r="C899" s="5" t="s">
        <v>1856</v>
      </c>
      <c r="D899" s="5" t="s">
        <v>1890</v>
      </c>
      <c r="E899" s="5" t="s">
        <v>1891</v>
      </c>
      <c r="F899" s="5" t="s">
        <v>1892</v>
      </c>
      <c r="G899" s="8">
        <v>1550.0</v>
      </c>
      <c r="H899" s="5" t="s">
        <v>22</v>
      </c>
      <c r="I899" s="7">
        <f t="shared" si="1"/>
        <v>2325</v>
      </c>
      <c r="J899" s="7">
        <f t="shared" si="7"/>
        <v>2015</v>
      </c>
      <c r="K899" s="7">
        <f t="shared" si="3"/>
        <v>2015</v>
      </c>
      <c r="L899" s="7">
        <f t="shared" si="4"/>
        <v>1860</v>
      </c>
      <c r="M899" s="7">
        <f t="shared" si="5"/>
        <v>1782.5</v>
      </c>
      <c r="N899" s="7">
        <f t="shared" si="6"/>
        <v>1705</v>
      </c>
    </row>
    <row r="900">
      <c r="A900" s="5" t="s">
        <v>1609</v>
      </c>
      <c r="B900" s="5" t="s">
        <v>1610</v>
      </c>
      <c r="C900" s="5" t="s">
        <v>1856</v>
      </c>
      <c r="D900" s="5" t="s">
        <v>1893</v>
      </c>
      <c r="E900" s="5" t="s">
        <v>1894</v>
      </c>
      <c r="F900" s="5" t="s">
        <v>1895</v>
      </c>
      <c r="G900" s="8">
        <v>1650.0</v>
      </c>
      <c r="H900" s="5" t="s">
        <v>22</v>
      </c>
      <c r="I900" s="7">
        <f t="shared" si="1"/>
        <v>2475</v>
      </c>
      <c r="J900" s="7">
        <f t="shared" si="7"/>
        <v>2145</v>
      </c>
      <c r="K900" s="7">
        <f t="shared" si="3"/>
        <v>2145</v>
      </c>
      <c r="L900" s="7">
        <f t="shared" si="4"/>
        <v>1980</v>
      </c>
      <c r="M900" s="7">
        <f t="shared" si="5"/>
        <v>1897.5</v>
      </c>
      <c r="N900" s="7">
        <f t="shared" si="6"/>
        <v>1815</v>
      </c>
    </row>
    <row r="901">
      <c r="A901" s="5" t="s">
        <v>1609</v>
      </c>
      <c r="B901" s="5" t="s">
        <v>1610</v>
      </c>
      <c r="C901" s="5" t="s">
        <v>1856</v>
      </c>
      <c r="D901" s="5" t="s">
        <v>1896</v>
      </c>
      <c r="E901" s="5" t="s">
        <v>1894</v>
      </c>
      <c r="F901" s="5" t="s">
        <v>1897</v>
      </c>
      <c r="G901" s="8">
        <v>1700.0</v>
      </c>
      <c r="H901" s="5" t="s">
        <v>22</v>
      </c>
      <c r="I901" s="7">
        <f t="shared" si="1"/>
        <v>2550</v>
      </c>
      <c r="J901" s="7">
        <f t="shared" si="7"/>
        <v>2210</v>
      </c>
      <c r="K901" s="7">
        <f t="shared" si="3"/>
        <v>2210</v>
      </c>
      <c r="L901" s="7">
        <f t="shared" si="4"/>
        <v>2040</v>
      </c>
      <c r="M901" s="7">
        <f t="shared" si="5"/>
        <v>1955</v>
      </c>
      <c r="N901" s="7">
        <f t="shared" si="6"/>
        <v>1870</v>
      </c>
    </row>
    <row r="902">
      <c r="A902" s="5" t="s">
        <v>1609</v>
      </c>
      <c r="B902" s="5" t="s">
        <v>1610</v>
      </c>
      <c r="C902" s="5" t="s">
        <v>1898</v>
      </c>
      <c r="D902" s="5" t="s">
        <v>1899</v>
      </c>
      <c r="E902" s="5" t="s">
        <v>1900</v>
      </c>
      <c r="F902" s="5" t="s">
        <v>1901</v>
      </c>
      <c r="G902" s="8">
        <v>1600.0</v>
      </c>
      <c r="H902" s="5" t="s">
        <v>22</v>
      </c>
      <c r="I902" s="7">
        <f t="shared" si="1"/>
        <v>2400</v>
      </c>
      <c r="J902" s="7">
        <f t="shared" si="7"/>
        <v>2080</v>
      </c>
      <c r="K902" s="7">
        <f t="shared" si="3"/>
        <v>2080</v>
      </c>
      <c r="L902" s="7">
        <f t="shared" si="4"/>
        <v>1920</v>
      </c>
      <c r="M902" s="7">
        <f t="shared" si="5"/>
        <v>1840</v>
      </c>
      <c r="N902" s="7">
        <f t="shared" si="6"/>
        <v>1760</v>
      </c>
    </row>
    <row r="903">
      <c r="A903" s="5" t="s">
        <v>1609</v>
      </c>
      <c r="B903" s="5" t="s">
        <v>1610</v>
      </c>
      <c r="C903" s="5" t="s">
        <v>1902</v>
      </c>
      <c r="D903" s="5" t="s">
        <v>1903</v>
      </c>
      <c r="E903" s="5" t="s">
        <v>1904</v>
      </c>
      <c r="F903" s="5" t="s">
        <v>1905</v>
      </c>
      <c r="G903" s="8">
        <v>2650.0</v>
      </c>
      <c r="H903" s="5" t="s">
        <v>22</v>
      </c>
      <c r="I903" s="7">
        <f t="shared" si="1"/>
        <v>3975</v>
      </c>
      <c r="J903" s="7">
        <f t="shared" si="7"/>
        <v>3445</v>
      </c>
      <c r="K903" s="7">
        <f t="shared" si="3"/>
        <v>3445</v>
      </c>
      <c r="L903" s="7">
        <f t="shared" si="4"/>
        <v>3180</v>
      </c>
      <c r="M903" s="7">
        <f t="shared" si="5"/>
        <v>3047.5</v>
      </c>
      <c r="N903" s="7">
        <f t="shared" si="6"/>
        <v>2915</v>
      </c>
    </row>
    <row r="904">
      <c r="A904" s="5" t="s">
        <v>1609</v>
      </c>
      <c r="B904" s="5" t="s">
        <v>1610</v>
      </c>
      <c r="C904" s="5" t="s">
        <v>1902</v>
      </c>
      <c r="D904" s="5" t="s">
        <v>1906</v>
      </c>
      <c r="E904" s="5" t="s">
        <v>1907</v>
      </c>
      <c r="F904" s="5" t="s">
        <v>1908</v>
      </c>
      <c r="G904" s="8">
        <v>2700.0</v>
      </c>
      <c r="H904" s="5" t="s">
        <v>22</v>
      </c>
      <c r="I904" s="7">
        <f t="shared" si="1"/>
        <v>4050</v>
      </c>
      <c r="J904" s="7">
        <f t="shared" si="7"/>
        <v>3510</v>
      </c>
      <c r="K904" s="7">
        <f t="shared" si="3"/>
        <v>3510</v>
      </c>
      <c r="L904" s="7">
        <f t="shared" si="4"/>
        <v>3240</v>
      </c>
      <c r="M904" s="7">
        <f t="shared" si="5"/>
        <v>3105</v>
      </c>
      <c r="N904" s="7">
        <f t="shared" si="6"/>
        <v>2970</v>
      </c>
    </row>
    <row r="905">
      <c r="A905" s="5" t="s">
        <v>1609</v>
      </c>
      <c r="B905" s="5" t="s">
        <v>1610</v>
      </c>
      <c r="C905" s="5" t="s">
        <v>1902</v>
      </c>
      <c r="D905" s="5" t="s">
        <v>1909</v>
      </c>
      <c r="E905" s="5" t="s">
        <v>1910</v>
      </c>
      <c r="F905" s="5" t="s">
        <v>1911</v>
      </c>
      <c r="G905" s="8">
        <v>2350.0</v>
      </c>
      <c r="H905" s="5" t="s">
        <v>22</v>
      </c>
      <c r="I905" s="7">
        <f t="shared" si="1"/>
        <v>3525</v>
      </c>
      <c r="J905" s="7">
        <f t="shared" si="7"/>
        <v>3055</v>
      </c>
      <c r="K905" s="7">
        <f t="shared" si="3"/>
        <v>3055</v>
      </c>
      <c r="L905" s="7">
        <f t="shared" si="4"/>
        <v>2820</v>
      </c>
      <c r="M905" s="7">
        <f t="shared" si="5"/>
        <v>2702.5</v>
      </c>
      <c r="N905" s="7">
        <f t="shared" si="6"/>
        <v>2585</v>
      </c>
    </row>
    <row r="906">
      <c r="A906" s="5" t="s">
        <v>1609</v>
      </c>
      <c r="B906" s="5" t="s">
        <v>1610</v>
      </c>
      <c r="C906" s="5" t="s">
        <v>1902</v>
      </c>
      <c r="D906" s="5" t="s">
        <v>1912</v>
      </c>
      <c r="E906" s="5" t="s">
        <v>1913</v>
      </c>
      <c r="F906" s="5" t="s">
        <v>1914</v>
      </c>
      <c r="G906" s="8">
        <v>1500.0</v>
      </c>
      <c r="H906" s="5" t="s">
        <v>22</v>
      </c>
      <c r="I906" s="7">
        <f t="shared" si="1"/>
        <v>2250</v>
      </c>
      <c r="J906" s="7">
        <f t="shared" si="7"/>
        <v>1950</v>
      </c>
      <c r="K906" s="7">
        <f t="shared" si="3"/>
        <v>1950</v>
      </c>
      <c r="L906" s="7">
        <f t="shared" si="4"/>
        <v>1800</v>
      </c>
      <c r="M906" s="7">
        <f t="shared" si="5"/>
        <v>1725</v>
      </c>
      <c r="N906" s="7">
        <f t="shared" si="6"/>
        <v>1650</v>
      </c>
    </row>
    <row r="907">
      <c r="A907" s="5" t="s">
        <v>1609</v>
      </c>
      <c r="B907" s="5" t="s">
        <v>1610</v>
      </c>
      <c r="C907" s="5" t="s">
        <v>1915</v>
      </c>
      <c r="D907" s="5" t="s">
        <v>1916</v>
      </c>
      <c r="E907" s="5" t="s">
        <v>1917</v>
      </c>
      <c r="F907" s="5" t="s">
        <v>1918</v>
      </c>
      <c r="G907" s="8">
        <v>37500.0</v>
      </c>
      <c r="H907" s="5" t="s">
        <v>22</v>
      </c>
      <c r="I907" s="7">
        <f t="shared" si="1"/>
        <v>56250</v>
      </c>
      <c r="J907" s="7">
        <f t="shared" si="7"/>
        <v>48750</v>
      </c>
      <c r="K907" s="7">
        <f t="shared" si="3"/>
        <v>48750</v>
      </c>
      <c r="L907" s="7">
        <f t="shared" si="4"/>
        <v>45000</v>
      </c>
      <c r="M907" s="7">
        <f t="shared" si="5"/>
        <v>43125</v>
      </c>
      <c r="N907" s="7">
        <f t="shared" si="6"/>
        <v>41250</v>
      </c>
    </row>
    <row r="908">
      <c r="A908" s="5" t="s">
        <v>1609</v>
      </c>
      <c r="B908" s="5" t="s">
        <v>1610</v>
      </c>
      <c r="C908" s="5" t="s">
        <v>1915</v>
      </c>
      <c r="D908" s="5" t="s">
        <v>1919</v>
      </c>
      <c r="E908" s="5" t="s">
        <v>1917</v>
      </c>
      <c r="F908" s="5" t="s">
        <v>1920</v>
      </c>
      <c r="G908" s="8">
        <v>58000.0</v>
      </c>
      <c r="H908" s="5" t="s">
        <v>22</v>
      </c>
      <c r="I908" s="7">
        <f t="shared" si="1"/>
        <v>87000</v>
      </c>
      <c r="J908" s="7">
        <f t="shared" si="7"/>
        <v>75400</v>
      </c>
      <c r="K908" s="7">
        <f t="shared" si="3"/>
        <v>75400</v>
      </c>
      <c r="L908" s="7">
        <f t="shared" si="4"/>
        <v>69600</v>
      </c>
      <c r="M908" s="7">
        <f t="shared" si="5"/>
        <v>66700</v>
      </c>
      <c r="N908" s="7">
        <f t="shared" si="6"/>
        <v>63800</v>
      </c>
    </row>
    <row r="909">
      <c r="A909" s="5" t="s">
        <v>1609</v>
      </c>
      <c r="B909" s="5" t="s">
        <v>1610</v>
      </c>
      <c r="C909" s="5" t="s">
        <v>1915</v>
      </c>
      <c r="D909" s="5" t="s">
        <v>1921</v>
      </c>
      <c r="E909" s="5" t="s">
        <v>1917</v>
      </c>
      <c r="F909" s="5" t="s">
        <v>1922</v>
      </c>
      <c r="G909" s="8">
        <v>80800.0</v>
      </c>
      <c r="H909" s="5" t="s">
        <v>22</v>
      </c>
      <c r="I909" s="7">
        <f t="shared" si="1"/>
        <v>121200</v>
      </c>
      <c r="J909" s="7">
        <f t="shared" si="7"/>
        <v>105040</v>
      </c>
      <c r="K909" s="7">
        <f t="shared" si="3"/>
        <v>105040</v>
      </c>
      <c r="L909" s="7">
        <f t="shared" si="4"/>
        <v>96960</v>
      </c>
      <c r="M909" s="7">
        <f t="shared" si="5"/>
        <v>92920</v>
      </c>
      <c r="N909" s="7">
        <f t="shared" si="6"/>
        <v>88880</v>
      </c>
    </row>
    <row r="910">
      <c r="A910" s="5" t="s">
        <v>1609</v>
      </c>
      <c r="B910" s="5" t="s">
        <v>1610</v>
      </c>
      <c r="C910" s="5" t="s">
        <v>1915</v>
      </c>
      <c r="D910" s="5" t="s">
        <v>1923</v>
      </c>
      <c r="E910" s="5" t="s">
        <v>1924</v>
      </c>
      <c r="F910" s="5" t="s">
        <v>1925</v>
      </c>
      <c r="G910" s="8">
        <v>3200.0</v>
      </c>
      <c r="H910" s="5" t="s">
        <v>22</v>
      </c>
      <c r="I910" s="7">
        <f t="shared" si="1"/>
        <v>4800</v>
      </c>
      <c r="J910" s="7">
        <f t="shared" si="7"/>
        <v>4160</v>
      </c>
      <c r="K910" s="7">
        <f t="shared" si="3"/>
        <v>4160</v>
      </c>
      <c r="L910" s="7">
        <f t="shared" si="4"/>
        <v>3840</v>
      </c>
      <c r="M910" s="7">
        <f t="shared" si="5"/>
        <v>3680</v>
      </c>
      <c r="N910" s="7">
        <f t="shared" si="6"/>
        <v>3520</v>
      </c>
    </row>
    <row r="911">
      <c r="A911" s="5" t="s">
        <v>1609</v>
      </c>
      <c r="B911" s="5" t="s">
        <v>1610</v>
      </c>
      <c r="C911" s="5" t="s">
        <v>1915</v>
      </c>
      <c r="D911" s="5" t="s">
        <v>1926</v>
      </c>
      <c r="E911" s="5" t="s">
        <v>1927</v>
      </c>
      <c r="F911" s="5" t="s">
        <v>1928</v>
      </c>
      <c r="G911" s="8">
        <v>6050.0</v>
      </c>
      <c r="H911" s="5" t="s">
        <v>22</v>
      </c>
      <c r="I911" s="7">
        <f t="shared" si="1"/>
        <v>9075</v>
      </c>
      <c r="J911" s="7">
        <f t="shared" si="7"/>
        <v>7865</v>
      </c>
      <c r="K911" s="7">
        <f t="shared" si="3"/>
        <v>7865</v>
      </c>
      <c r="L911" s="7">
        <f t="shared" si="4"/>
        <v>7260</v>
      </c>
      <c r="M911" s="7">
        <f t="shared" si="5"/>
        <v>6957.5</v>
      </c>
      <c r="N911" s="7">
        <f t="shared" si="6"/>
        <v>6655</v>
      </c>
    </row>
    <row r="912">
      <c r="A912" s="5" t="s">
        <v>1609</v>
      </c>
      <c r="B912" s="5" t="s">
        <v>1610</v>
      </c>
      <c r="C912" s="5" t="s">
        <v>1915</v>
      </c>
      <c r="D912" s="5" t="s">
        <v>1929</v>
      </c>
      <c r="E912" s="5" t="s">
        <v>1930</v>
      </c>
      <c r="F912" s="5" t="s">
        <v>1931</v>
      </c>
      <c r="G912" s="8">
        <v>3400.0</v>
      </c>
      <c r="H912" s="5" t="s">
        <v>22</v>
      </c>
      <c r="I912" s="7">
        <f t="shared" si="1"/>
        <v>5100</v>
      </c>
      <c r="J912" s="7">
        <f t="shared" si="7"/>
        <v>4420</v>
      </c>
      <c r="K912" s="7">
        <f t="shared" si="3"/>
        <v>4420</v>
      </c>
      <c r="L912" s="7">
        <f t="shared" si="4"/>
        <v>4080</v>
      </c>
      <c r="M912" s="7">
        <f t="shared" si="5"/>
        <v>3910</v>
      </c>
      <c r="N912" s="7">
        <f t="shared" si="6"/>
        <v>3740</v>
      </c>
    </row>
    <row r="913">
      <c r="A913" s="5" t="s">
        <v>1609</v>
      </c>
      <c r="B913" s="5" t="s">
        <v>1610</v>
      </c>
      <c r="C913" s="5" t="s">
        <v>1932</v>
      </c>
      <c r="D913" s="5" t="s">
        <v>1933</v>
      </c>
      <c r="E913" s="5" t="s">
        <v>1934</v>
      </c>
      <c r="F913" s="5" t="s">
        <v>1935</v>
      </c>
      <c r="G913" s="8">
        <v>81500.0</v>
      </c>
      <c r="H913" s="5" t="s">
        <v>22</v>
      </c>
      <c r="I913" s="7">
        <f t="shared" si="1"/>
        <v>122250</v>
      </c>
      <c r="J913" s="7">
        <f t="shared" si="7"/>
        <v>105950</v>
      </c>
      <c r="K913" s="7">
        <f t="shared" si="3"/>
        <v>105950</v>
      </c>
      <c r="L913" s="7">
        <f t="shared" si="4"/>
        <v>97800</v>
      </c>
      <c r="M913" s="7">
        <f t="shared" si="5"/>
        <v>93725</v>
      </c>
      <c r="N913" s="7">
        <f t="shared" si="6"/>
        <v>89650</v>
      </c>
    </row>
    <row r="914">
      <c r="A914" s="5" t="s">
        <v>1609</v>
      </c>
      <c r="B914" s="5" t="s">
        <v>1610</v>
      </c>
      <c r="C914" s="5" t="s">
        <v>1932</v>
      </c>
      <c r="D914" s="5" t="s">
        <v>1936</v>
      </c>
      <c r="E914" s="5" t="s">
        <v>1937</v>
      </c>
      <c r="F914" s="5" t="s">
        <v>1938</v>
      </c>
      <c r="G914" s="8">
        <v>60000.0</v>
      </c>
      <c r="H914" s="5" t="s">
        <v>22</v>
      </c>
      <c r="I914" s="7">
        <f t="shared" si="1"/>
        <v>90000</v>
      </c>
      <c r="J914" s="7">
        <f t="shared" si="7"/>
        <v>78000</v>
      </c>
      <c r="K914" s="7">
        <f t="shared" si="3"/>
        <v>78000</v>
      </c>
      <c r="L914" s="7">
        <f t="shared" si="4"/>
        <v>72000</v>
      </c>
      <c r="M914" s="7">
        <f t="shared" si="5"/>
        <v>69000</v>
      </c>
      <c r="N914" s="7">
        <f t="shared" si="6"/>
        <v>66000</v>
      </c>
    </row>
    <row r="915">
      <c r="A915" s="5" t="s">
        <v>1609</v>
      </c>
      <c r="B915" s="5" t="s">
        <v>1610</v>
      </c>
      <c r="C915" s="5" t="s">
        <v>1932</v>
      </c>
      <c r="D915" s="5" t="s">
        <v>1939</v>
      </c>
      <c r="E915" s="5" t="s">
        <v>1940</v>
      </c>
      <c r="F915" s="5" t="s">
        <v>1941</v>
      </c>
      <c r="G915" s="8">
        <v>198000.0</v>
      </c>
      <c r="H915" s="5" t="s">
        <v>22</v>
      </c>
      <c r="I915" s="7">
        <f t="shared" si="1"/>
        <v>297000</v>
      </c>
      <c r="J915" s="7">
        <f t="shared" si="7"/>
        <v>257400</v>
      </c>
      <c r="K915" s="7">
        <f t="shared" si="3"/>
        <v>257400</v>
      </c>
      <c r="L915" s="7">
        <f t="shared" si="4"/>
        <v>237600</v>
      </c>
      <c r="M915" s="7">
        <f t="shared" si="5"/>
        <v>227700</v>
      </c>
      <c r="N915" s="7">
        <f t="shared" si="6"/>
        <v>217800</v>
      </c>
    </row>
    <row r="916">
      <c r="A916" s="5" t="s">
        <v>1609</v>
      </c>
      <c r="B916" s="5" t="s">
        <v>1610</v>
      </c>
      <c r="C916" s="5" t="s">
        <v>1932</v>
      </c>
      <c r="D916" s="5" t="s">
        <v>1942</v>
      </c>
      <c r="E916" s="5" t="s">
        <v>1943</v>
      </c>
      <c r="F916" s="5" t="s">
        <v>1938</v>
      </c>
      <c r="G916" s="8">
        <v>205000.0</v>
      </c>
      <c r="H916" s="5" t="s">
        <v>22</v>
      </c>
      <c r="I916" s="7">
        <f t="shared" si="1"/>
        <v>307500</v>
      </c>
      <c r="J916" s="7">
        <f t="shared" si="7"/>
        <v>266500</v>
      </c>
      <c r="K916" s="7">
        <f t="shared" si="3"/>
        <v>266500</v>
      </c>
      <c r="L916" s="7">
        <f t="shared" si="4"/>
        <v>246000</v>
      </c>
      <c r="M916" s="7">
        <f t="shared" si="5"/>
        <v>235750</v>
      </c>
      <c r="N916" s="7">
        <f t="shared" si="6"/>
        <v>225500</v>
      </c>
    </row>
    <row r="917">
      <c r="A917" s="5" t="s">
        <v>1609</v>
      </c>
      <c r="B917" s="5" t="s">
        <v>1610</v>
      </c>
      <c r="C917" s="5" t="s">
        <v>1944</v>
      </c>
      <c r="D917" s="5" t="s">
        <v>1945</v>
      </c>
      <c r="E917" s="5" t="s">
        <v>1946</v>
      </c>
      <c r="F917" s="5" t="s">
        <v>1947</v>
      </c>
      <c r="G917" s="8">
        <v>8350.0</v>
      </c>
      <c r="H917" s="5" t="s">
        <v>22</v>
      </c>
      <c r="I917" s="7">
        <f t="shared" si="1"/>
        <v>12525</v>
      </c>
      <c r="J917" s="7">
        <f t="shared" si="7"/>
        <v>10855</v>
      </c>
      <c r="K917" s="7">
        <f t="shared" si="3"/>
        <v>10855</v>
      </c>
      <c r="L917" s="7">
        <f t="shared" si="4"/>
        <v>10020</v>
      </c>
      <c r="M917" s="7">
        <f t="shared" si="5"/>
        <v>9602.5</v>
      </c>
      <c r="N917" s="7">
        <f t="shared" si="6"/>
        <v>9185</v>
      </c>
    </row>
    <row r="918">
      <c r="A918" s="5" t="s">
        <v>1609</v>
      </c>
      <c r="B918" s="5" t="s">
        <v>1610</v>
      </c>
      <c r="C918" s="5" t="s">
        <v>1944</v>
      </c>
      <c r="D918" s="5" t="s">
        <v>1948</v>
      </c>
      <c r="E918" s="5" t="s">
        <v>1949</v>
      </c>
      <c r="F918" s="5" t="s">
        <v>1950</v>
      </c>
      <c r="G918" s="8">
        <v>6950.0</v>
      </c>
      <c r="H918" s="5" t="s">
        <v>22</v>
      </c>
      <c r="I918" s="7">
        <f t="shared" si="1"/>
        <v>10425</v>
      </c>
      <c r="J918" s="7">
        <f t="shared" si="7"/>
        <v>9035</v>
      </c>
      <c r="K918" s="7">
        <f t="shared" si="3"/>
        <v>9035</v>
      </c>
      <c r="L918" s="7">
        <f t="shared" si="4"/>
        <v>8340</v>
      </c>
      <c r="M918" s="7">
        <f t="shared" si="5"/>
        <v>7992.5</v>
      </c>
      <c r="N918" s="7">
        <f t="shared" si="6"/>
        <v>7645</v>
      </c>
    </row>
    <row r="919">
      <c r="A919" s="5" t="s">
        <v>1609</v>
      </c>
      <c r="B919" s="5" t="s">
        <v>1610</v>
      </c>
      <c r="C919" s="5" t="s">
        <v>1944</v>
      </c>
      <c r="D919" s="5" t="s">
        <v>1951</v>
      </c>
      <c r="E919" s="5" t="s">
        <v>1952</v>
      </c>
      <c r="F919" s="5" t="s">
        <v>1953</v>
      </c>
      <c r="G919" s="8">
        <v>6750.0</v>
      </c>
      <c r="H919" s="5" t="s">
        <v>22</v>
      </c>
      <c r="I919" s="7">
        <f t="shared" si="1"/>
        <v>10125</v>
      </c>
      <c r="J919" s="7">
        <f t="shared" si="7"/>
        <v>8775</v>
      </c>
      <c r="K919" s="7">
        <f t="shared" si="3"/>
        <v>8775</v>
      </c>
      <c r="L919" s="7">
        <f t="shared" si="4"/>
        <v>8100</v>
      </c>
      <c r="M919" s="7">
        <f t="shared" si="5"/>
        <v>7762.5</v>
      </c>
      <c r="N919" s="7">
        <f t="shared" si="6"/>
        <v>7425</v>
      </c>
    </row>
    <row r="920">
      <c r="A920" s="5" t="s">
        <v>1609</v>
      </c>
      <c r="B920" s="5" t="s">
        <v>1610</v>
      </c>
      <c r="C920" s="5" t="s">
        <v>1944</v>
      </c>
      <c r="D920" s="5" t="s">
        <v>1954</v>
      </c>
      <c r="E920" s="5" t="s">
        <v>1955</v>
      </c>
      <c r="F920" s="5" t="s">
        <v>1955</v>
      </c>
      <c r="G920" s="5">
        <v>750.0</v>
      </c>
      <c r="H920" s="5" t="s">
        <v>22</v>
      </c>
      <c r="I920" s="7">
        <f t="shared" si="1"/>
        <v>1125</v>
      </c>
      <c r="J920" s="7">
        <f t="shared" si="7"/>
        <v>975</v>
      </c>
      <c r="K920" s="7">
        <f t="shared" si="3"/>
        <v>975</v>
      </c>
      <c r="L920" s="7">
        <f t="shared" si="4"/>
        <v>900</v>
      </c>
      <c r="M920" s="7">
        <f t="shared" si="5"/>
        <v>862.5</v>
      </c>
      <c r="N920" s="7">
        <f t="shared" si="6"/>
        <v>825</v>
      </c>
    </row>
    <row r="921">
      <c r="A921" s="5" t="s">
        <v>1609</v>
      </c>
      <c r="B921" s="5" t="s">
        <v>1610</v>
      </c>
      <c r="C921" s="5" t="s">
        <v>1944</v>
      </c>
      <c r="D921" s="5" t="s">
        <v>1956</v>
      </c>
      <c r="E921" s="5" t="s">
        <v>1957</v>
      </c>
      <c r="F921" s="5" t="s">
        <v>1958</v>
      </c>
      <c r="G921" s="8">
        <v>5350.0</v>
      </c>
      <c r="H921" s="5" t="s">
        <v>22</v>
      </c>
      <c r="I921" s="7">
        <f t="shared" si="1"/>
        <v>8025</v>
      </c>
      <c r="J921" s="7">
        <f t="shared" si="7"/>
        <v>6955</v>
      </c>
      <c r="K921" s="7">
        <f t="shared" si="3"/>
        <v>6955</v>
      </c>
      <c r="L921" s="7">
        <f t="shared" si="4"/>
        <v>6420</v>
      </c>
      <c r="M921" s="7">
        <f t="shared" si="5"/>
        <v>6152.5</v>
      </c>
      <c r="N921" s="7">
        <f t="shared" si="6"/>
        <v>5885</v>
      </c>
    </row>
    <row r="922">
      <c r="A922" s="5" t="s">
        <v>1609</v>
      </c>
      <c r="B922" s="5" t="s">
        <v>1610</v>
      </c>
      <c r="C922" s="5" t="s">
        <v>1944</v>
      </c>
      <c r="D922" s="5" t="s">
        <v>1959</v>
      </c>
      <c r="E922" s="5" t="s">
        <v>1960</v>
      </c>
      <c r="F922" s="5" t="s">
        <v>1960</v>
      </c>
      <c r="G922" s="8">
        <v>8400.0</v>
      </c>
      <c r="H922" s="5" t="s">
        <v>22</v>
      </c>
      <c r="I922" s="7">
        <f t="shared" si="1"/>
        <v>12600</v>
      </c>
      <c r="J922" s="7">
        <f t="shared" si="7"/>
        <v>10920</v>
      </c>
      <c r="K922" s="7">
        <f t="shared" si="3"/>
        <v>10920</v>
      </c>
      <c r="L922" s="7">
        <f t="shared" si="4"/>
        <v>10080</v>
      </c>
      <c r="M922" s="7">
        <f t="shared" si="5"/>
        <v>9660</v>
      </c>
      <c r="N922" s="7">
        <f t="shared" si="6"/>
        <v>9240</v>
      </c>
    </row>
    <row r="923">
      <c r="A923" s="5" t="s">
        <v>1609</v>
      </c>
      <c r="B923" s="5" t="s">
        <v>1610</v>
      </c>
      <c r="C923" s="5" t="s">
        <v>1944</v>
      </c>
      <c r="D923" s="5" t="s">
        <v>1961</v>
      </c>
      <c r="E923" s="5" t="s">
        <v>1962</v>
      </c>
      <c r="F923" s="5" t="s">
        <v>1962</v>
      </c>
      <c r="G923" s="8">
        <v>7650.0</v>
      </c>
      <c r="H923" s="5" t="s">
        <v>22</v>
      </c>
      <c r="I923" s="7">
        <f t="shared" si="1"/>
        <v>11475</v>
      </c>
      <c r="J923" s="7">
        <f t="shared" si="7"/>
        <v>9945</v>
      </c>
      <c r="K923" s="7">
        <f t="shared" si="3"/>
        <v>9945</v>
      </c>
      <c r="L923" s="7">
        <f t="shared" si="4"/>
        <v>9180</v>
      </c>
      <c r="M923" s="7">
        <f t="shared" si="5"/>
        <v>8797.5</v>
      </c>
      <c r="N923" s="7">
        <f t="shared" si="6"/>
        <v>8415</v>
      </c>
    </row>
    <row r="924">
      <c r="A924" s="5" t="s">
        <v>1609</v>
      </c>
      <c r="B924" s="5" t="s">
        <v>1610</v>
      </c>
      <c r="C924" s="5" t="s">
        <v>1963</v>
      </c>
      <c r="D924" s="5" t="s">
        <v>1964</v>
      </c>
      <c r="E924" s="5" t="s">
        <v>1965</v>
      </c>
      <c r="F924" s="5" t="s">
        <v>1966</v>
      </c>
      <c r="G924" s="8">
        <v>15550.0</v>
      </c>
      <c r="H924" s="5" t="s">
        <v>22</v>
      </c>
      <c r="I924" s="7">
        <f t="shared" si="1"/>
        <v>23325</v>
      </c>
      <c r="J924" s="7">
        <f t="shared" si="7"/>
        <v>20215</v>
      </c>
      <c r="K924" s="7">
        <f t="shared" si="3"/>
        <v>20215</v>
      </c>
      <c r="L924" s="7">
        <f t="shared" si="4"/>
        <v>18660</v>
      </c>
      <c r="M924" s="7">
        <f t="shared" si="5"/>
        <v>17882.5</v>
      </c>
      <c r="N924" s="7">
        <f t="shared" si="6"/>
        <v>17105</v>
      </c>
    </row>
    <row r="925">
      <c r="A925" s="5" t="s">
        <v>1609</v>
      </c>
      <c r="B925" s="5" t="s">
        <v>1610</v>
      </c>
      <c r="C925" s="5" t="s">
        <v>1963</v>
      </c>
      <c r="D925" s="5" t="s">
        <v>1967</v>
      </c>
      <c r="E925" s="5" t="s">
        <v>1968</v>
      </c>
      <c r="F925" s="5" t="s">
        <v>1969</v>
      </c>
      <c r="G925" s="8">
        <v>10500.0</v>
      </c>
      <c r="H925" s="5" t="s">
        <v>22</v>
      </c>
      <c r="I925" s="7">
        <f t="shared" si="1"/>
        <v>15750</v>
      </c>
      <c r="J925" s="7">
        <f t="shared" si="7"/>
        <v>13650</v>
      </c>
      <c r="K925" s="7">
        <f t="shared" si="3"/>
        <v>13650</v>
      </c>
      <c r="L925" s="7">
        <f t="shared" si="4"/>
        <v>12600</v>
      </c>
      <c r="M925" s="7">
        <f t="shared" si="5"/>
        <v>12075</v>
      </c>
      <c r="N925" s="7">
        <f t="shared" si="6"/>
        <v>11550</v>
      </c>
    </row>
    <row r="926">
      <c r="A926" s="5" t="s">
        <v>1609</v>
      </c>
      <c r="B926" s="5" t="s">
        <v>1610</v>
      </c>
      <c r="C926" s="5" t="s">
        <v>1963</v>
      </c>
      <c r="D926" s="5" t="s">
        <v>1970</v>
      </c>
      <c r="E926" s="5" t="s">
        <v>1971</v>
      </c>
      <c r="F926" s="5" t="s">
        <v>1972</v>
      </c>
      <c r="G926" s="8">
        <v>4550.0</v>
      </c>
      <c r="H926" s="5" t="s">
        <v>22</v>
      </c>
      <c r="I926" s="7">
        <f t="shared" si="1"/>
        <v>6825</v>
      </c>
      <c r="J926" s="7">
        <f t="shared" si="7"/>
        <v>5915</v>
      </c>
      <c r="K926" s="7">
        <f t="shared" si="3"/>
        <v>5915</v>
      </c>
      <c r="L926" s="7">
        <f t="shared" si="4"/>
        <v>5460</v>
      </c>
      <c r="M926" s="7">
        <f t="shared" si="5"/>
        <v>5232.5</v>
      </c>
      <c r="N926" s="7">
        <f t="shared" si="6"/>
        <v>5005</v>
      </c>
    </row>
    <row r="927">
      <c r="A927" s="5" t="s">
        <v>1609</v>
      </c>
      <c r="B927" s="5" t="s">
        <v>1610</v>
      </c>
      <c r="C927" s="5" t="s">
        <v>1963</v>
      </c>
      <c r="D927" s="5" t="s">
        <v>1973</v>
      </c>
      <c r="E927" s="5" t="s">
        <v>1971</v>
      </c>
      <c r="F927" s="5" t="s">
        <v>1974</v>
      </c>
      <c r="G927" s="8">
        <v>6550.0</v>
      </c>
      <c r="H927" s="5" t="s">
        <v>22</v>
      </c>
      <c r="I927" s="7">
        <f t="shared" si="1"/>
        <v>9825</v>
      </c>
      <c r="J927" s="7">
        <f t="shared" si="7"/>
        <v>8515</v>
      </c>
      <c r="K927" s="7">
        <f t="shared" si="3"/>
        <v>8515</v>
      </c>
      <c r="L927" s="7">
        <f t="shared" si="4"/>
        <v>7860</v>
      </c>
      <c r="M927" s="7">
        <f t="shared" si="5"/>
        <v>7532.5</v>
      </c>
      <c r="N927" s="7">
        <f t="shared" si="6"/>
        <v>7205</v>
      </c>
    </row>
    <row r="928">
      <c r="A928" s="5" t="s">
        <v>1609</v>
      </c>
      <c r="B928" s="5" t="s">
        <v>1610</v>
      </c>
      <c r="C928" s="5" t="s">
        <v>1975</v>
      </c>
      <c r="D928" s="5" t="s">
        <v>1976</v>
      </c>
      <c r="E928" s="5" t="s">
        <v>1977</v>
      </c>
      <c r="F928" s="5" t="s">
        <v>1978</v>
      </c>
      <c r="G928" s="8">
        <v>40500.0</v>
      </c>
      <c r="H928" s="5" t="s">
        <v>22</v>
      </c>
      <c r="I928" s="7">
        <f t="shared" si="1"/>
        <v>60750</v>
      </c>
      <c r="J928" s="7">
        <f t="shared" si="7"/>
        <v>52650</v>
      </c>
      <c r="K928" s="7">
        <f t="shared" si="3"/>
        <v>52650</v>
      </c>
      <c r="L928" s="7">
        <f t="shared" si="4"/>
        <v>48600</v>
      </c>
      <c r="M928" s="7">
        <f t="shared" si="5"/>
        <v>46575</v>
      </c>
      <c r="N928" s="7">
        <f t="shared" si="6"/>
        <v>44550</v>
      </c>
    </row>
    <row r="929">
      <c r="A929" s="5" t="s">
        <v>1609</v>
      </c>
      <c r="B929" s="5" t="s">
        <v>1610</v>
      </c>
      <c r="C929" s="5" t="s">
        <v>1975</v>
      </c>
      <c r="D929" s="5" t="s">
        <v>1979</v>
      </c>
      <c r="E929" s="5" t="s">
        <v>1980</v>
      </c>
      <c r="F929" s="5" t="s">
        <v>1981</v>
      </c>
      <c r="G929" s="8">
        <v>51000.0</v>
      </c>
      <c r="H929" s="5" t="s">
        <v>22</v>
      </c>
      <c r="I929" s="7">
        <f t="shared" si="1"/>
        <v>76500</v>
      </c>
      <c r="J929" s="7">
        <f t="shared" si="7"/>
        <v>66300</v>
      </c>
      <c r="K929" s="7">
        <f t="shared" si="3"/>
        <v>66300</v>
      </c>
      <c r="L929" s="7">
        <f t="shared" si="4"/>
        <v>61200</v>
      </c>
      <c r="M929" s="7">
        <f t="shared" si="5"/>
        <v>58650</v>
      </c>
      <c r="N929" s="7">
        <f t="shared" si="6"/>
        <v>56100</v>
      </c>
    </row>
    <row r="930">
      <c r="A930" s="5" t="s">
        <v>1609</v>
      </c>
      <c r="B930" s="5" t="s">
        <v>1610</v>
      </c>
      <c r="C930" s="5" t="s">
        <v>1975</v>
      </c>
      <c r="D930" s="5" t="s">
        <v>1982</v>
      </c>
      <c r="E930" s="5" t="s">
        <v>1977</v>
      </c>
      <c r="F930" s="5" t="s">
        <v>1983</v>
      </c>
      <c r="G930" s="8">
        <v>55000.0</v>
      </c>
      <c r="H930" s="5" t="s">
        <v>22</v>
      </c>
      <c r="I930" s="7">
        <f t="shared" si="1"/>
        <v>82500</v>
      </c>
      <c r="J930" s="7">
        <f t="shared" si="7"/>
        <v>71500</v>
      </c>
      <c r="K930" s="7">
        <f t="shared" si="3"/>
        <v>71500</v>
      </c>
      <c r="L930" s="7">
        <f t="shared" si="4"/>
        <v>66000</v>
      </c>
      <c r="M930" s="7">
        <f t="shared" si="5"/>
        <v>63250</v>
      </c>
      <c r="N930" s="7">
        <f t="shared" si="6"/>
        <v>60500</v>
      </c>
    </row>
    <row r="931">
      <c r="A931" s="5" t="s">
        <v>1609</v>
      </c>
      <c r="B931" s="5" t="s">
        <v>1610</v>
      </c>
      <c r="C931" s="5" t="s">
        <v>1975</v>
      </c>
      <c r="D931" s="5" t="s">
        <v>1984</v>
      </c>
      <c r="E931" s="5" t="s">
        <v>1980</v>
      </c>
      <c r="F931" s="5" t="s">
        <v>1985</v>
      </c>
      <c r="G931" s="8">
        <v>65500.0</v>
      </c>
      <c r="H931" s="5" t="s">
        <v>22</v>
      </c>
      <c r="I931" s="7">
        <f t="shared" si="1"/>
        <v>98250</v>
      </c>
      <c r="J931" s="7">
        <f t="shared" si="7"/>
        <v>85150</v>
      </c>
      <c r="K931" s="7">
        <f t="shared" si="3"/>
        <v>85150</v>
      </c>
      <c r="L931" s="7">
        <f t="shared" si="4"/>
        <v>78600</v>
      </c>
      <c r="M931" s="7">
        <f t="shared" si="5"/>
        <v>75325</v>
      </c>
      <c r="N931" s="7">
        <f t="shared" si="6"/>
        <v>72050</v>
      </c>
    </row>
    <row r="932">
      <c r="A932" s="5" t="s">
        <v>1609</v>
      </c>
      <c r="B932" s="5" t="s">
        <v>1610</v>
      </c>
      <c r="C932" s="5" t="s">
        <v>1986</v>
      </c>
      <c r="D932" s="5" t="s">
        <v>1987</v>
      </c>
      <c r="E932" s="5" t="s">
        <v>1988</v>
      </c>
      <c r="F932" s="5" t="s">
        <v>1989</v>
      </c>
      <c r="G932" s="8">
        <v>57000.0</v>
      </c>
      <c r="H932" s="5" t="s">
        <v>22</v>
      </c>
      <c r="I932" s="7">
        <f t="shared" si="1"/>
        <v>85500</v>
      </c>
      <c r="J932" s="7">
        <f t="shared" si="7"/>
        <v>74100</v>
      </c>
      <c r="K932" s="7">
        <f t="shared" si="3"/>
        <v>74100</v>
      </c>
      <c r="L932" s="7">
        <f t="shared" si="4"/>
        <v>68400</v>
      </c>
      <c r="M932" s="7">
        <f t="shared" si="5"/>
        <v>65550</v>
      </c>
      <c r="N932" s="7">
        <f t="shared" si="6"/>
        <v>62700</v>
      </c>
    </row>
    <row r="933">
      <c r="A933" s="5" t="s">
        <v>1609</v>
      </c>
      <c r="B933" s="5" t="s">
        <v>1610</v>
      </c>
      <c r="C933" s="5" t="s">
        <v>1986</v>
      </c>
      <c r="D933" s="5" t="s">
        <v>1990</v>
      </c>
      <c r="E933" s="5" t="s">
        <v>1988</v>
      </c>
      <c r="F933" s="5" t="s">
        <v>1991</v>
      </c>
      <c r="G933" s="8">
        <v>88000.0</v>
      </c>
      <c r="H933" s="5" t="s">
        <v>22</v>
      </c>
      <c r="I933" s="7">
        <f t="shared" si="1"/>
        <v>132000</v>
      </c>
      <c r="J933" s="7">
        <f t="shared" si="7"/>
        <v>114400</v>
      </c>
      <c r="K933" s="7">
        <f t="shared" si="3"/>
        <v>114400</v>
      </c>
      <c r="L933" s="7">
        <f t="shared" si="4"/>
        <v>105600</v>
      </c>
      <c r="M933" s="7">
        <f t="shared" si="5"/>
        <v>101200</v>
      </c>
      <c r="N933" s="7">
        <f t="shared" si="6"/>
        <v>96800</v>
      </c>
    </row>
    <row r="934">
      <c r="A934" s="5" t="s">
        <v>1609</v>
      </c>
      <c r="B934" s="5" t="s">
        <v>1610</v>
      </c>
      <c r="C934" s="5" t="s">
        <v>1986</v>
      </c>
      <c r="D934" s="5" t="s">
        <v>1992</v>
      </c>
      <c r="E934" s="5" t="s">
        <v>1988</v>
      </c>
      <c r="F934" s="5" t="s">
        <v>1993</v>
      </c>
      <c r="G934" s="8">
        <v>145000.0</v>
      </c>
      <c r="H934" s="5" t="s">
        <v>22</v>
      </c>
      <c r="I934" s="7">
        <f t="shared" si="1"/>
        <v>217500</v>
      </c>
      <c r="J934" s="7">
        <f t="shared" si="7"/>
        <v>188500</v>
      </c>
      <c r="K934" s="7">
        <f t="shared" si="3"/>
        <v>188500</v>
      </c>
      <c r="L934" s="7">
        <f t="shared" si="4"/>
        <v>174000</v>
      </c>
      <c r="M934" s="7">
        <f t="shared" si="5"/>
        <v>166750</v>
      </c>
      <c r="N934" s="7">
        <f t="shared" si="6"/>
        <v>159500</v>
      </c>
    </row>
    <row r="935">
      <c r="A935" s="5" t="s">
        <v>1609</v>
      </c>
      <c r="B935" s="5" t="s">
        <v>1610</v>
      </c>
      <c r="C935" s="5" t="s">
        <v>1986</v>
      </c>
      <c r="D935" s="5" t="s">
        <v>1994</v>
      </c>
      <c r="E935" s="5" t="s">
        <v>1995</v>
      </c>
      <c r="F935" s="5" t="s">
        <v>1995</v>
      </c>
      <c r="G935" s="8">
        <v>6600.0</v>
      </c>
      <c r="H935" s="5" t="s">
        <v>22</v>
      </c>
      <c r="I935" s="7">
        <f t="shared" si="1"/>
        <v>9900</v>
      </c>
      <c r="J935" s="7">
        <f t="shared" si="7"/>
        <v>8580</v>
      </c>
      <c r="K935" s="7">
        <f t="shared" si="3"/>
        <v>8580</v>
      </c>
      <c r="L935" s="7">
        <f t="shared" si="4"/>
        <v>7920</v>
      </c>
      <c r="M935" s="7">
        <f t="shared" si="5"/>
        <v>7590</v>
      </c>
      <c r="N935" s="7">
        <f t="shared" si="6"/>
        <v>7260</v>
      </c>
    </row>
    <row r="936">
      <c r="A936" s="5" t="s">
        <v>1609</v>
      </c>
      <c r="B936" s="5" t="s">
        <v>1610</v>
      </c>
      <c r="C936" s="5" t="s">
        <v>1986</v>
      </c>
      <c r="D936" s="5" t="s">
        <v>1996</v>
      </c>
      <c r="E936" s="5" t="s">
        <v>1997</v>
      </c>
      <c r="F936" s="5" t="s">
        <v>1997</v>
      </c>
      <c r="G936" s="8">
        <v>1850.0</v>
      </c>
      <c r="H936" s="5" t="s">
        <v>22</v>
      </c>
      <c r="I936" s="7">
        <f t="shared" si="1"/>
        <v>2775</v>
      </c>
      <c r="J936" s="7">
        <f t="shared" si="7"/>
        <v>2405</v>
      </c>
      <c r="K936" s="7">
        <f t="shared" si="3"/>
        <v>2405</v>
      </c>
      <c r="L936" s="7">
        <f t="shared" si="4"/>
        <v>2220</v>
      </c>
      <c r="M936" s="7">
        <f t="shared" si="5"/>
        <v>2127.5</v>
      </c>
      <c r="N936" s="7">
        <f t="shared" si="6"/>
        <v>2035</v>
      </c>
    </row>
    <row r="937">
      <c r="A937" s="5" t="s">
        <v>1609</v>
      </c>
      <c r="B937" s="5" t="s">
        <v>1610</v>
      </c>
      <c r="C937" s="5" t="s">
        <v>1986</v>
      </c>
      <c r="D937" s="5" t="s">
        <v>1998</v>
      </c>
      <c r="E937" s="5" t="s">
        <v>1999</v>
      </c>
      <c r="F937" s="5" t="s">
        <v>2000</v>
      </c>
      <c r="G937" s="8">
        <v>6950.0</v>
      </c>
      <c r="H937" s="5" t="s">
        <v>22</v>
      </c>
      <c r="I937" s="7">
        <f t="shared" si="1"/>
        <v>10425</v>
      </c>
      <c r="J937" s="7">
        <f t="shared" si="7"/>
        <v>9035</v>
      </c>
      <c r="K937" s="7">
        <f t="shared" si="3"/>
        <v>9035</v>
      </c>
      <c r="L937" s="7">
        <f t="shared" si="4"/>
        <v>8340</v>
      </c>
      <c r="M937" s="7">
        <f t="shared" si="5"/>
        <v>7992.5</v>
      </c>
      <c r="N937" s="7">
        <f t="shared" si="6"/>
        <v>7645</v>
      </c>
    </row>
    <row r="938">
      <c r="A938" s="5" t="s">
        <v>1609</v>
      </c>
      <c r="B938" s="5" t="s">
        <v>1610</v>
      </c>
      <c r="C938" s="5" t="s">
        <v>1986</v>
      </c>
      <c r="D938" s="5" t="s">
        <v>2001</v>
      </c>
      <c r="E938" s="5" t="s">
        <v>2002</v>
      </c>
      <c r="F938" s="5" t="s">
        <v>2002</v>
      </c>
      <c r="G938" s="8">
        <v>1300.0</v>
      </c>
      <c r="H938" s="5" t="s">
        <v>22</v>
      </c>
      <c r="I938" s="7">
        <f t="shared" si="1"/>
        <v>1950</v>
      </c>
      <c r="J938" s="7">
        <f t="shared" si="7"/>
        <v>1690</v>
      </c>
      <c r="K938" s="7">
        <f t="shared" si="3"/>
        <v>1690</v>
      </c>
      <c r="L938" s="7">
        <f t="shared" si="4"/>
        <v>1560</v>
      </c>
      <c r="M938" s="7">
        <f t="shared" si="5"/>
        <v>1495</v>
      </c>
      <c r="N938" s="7">
        <f t="shared" si="6"/>
        <v>1430</v>
      </c>
    </row>
    <row r="939">
      <c r="A939" s="5" t="s">
        <v>1609</v>
      </c>
      <c r="B939" s="5" t="s">
        <v>1610</v>
      </c>
      <c r="C939" s="5" t="s">
        <v>2003</v>
      </c>
      <c r="D939" s="5" t="s">
        <v>2004</v>
      </c>
      <c r="E939" s="5" t="s">
        <v>2005</v>
      </c>
      <c r="F939" s="5" t="s">
        <v>2006</v>
      </c>
      <c r="G939" s="8">
        <v>58500.0</v>
      </c>
      <c r="H939" s="5" t="s">
        <v>22</v>
      </c>
      <c r="I939" s="7">
        <f t="shared" si="1"/>
        <v>87750</v>
      </c>
      <c r="J939" s="7">
        <f t="shared" si="7"/>
        <v>76050</v>
      </c>
      <c r="K939" s="7">
        <f t="shared" si="3"/>
        <v>76050</v>
      </c>
      <c r="L939" s="7">
        <f t="shared" si="4"/>
        <v>70200</v>
      </c>
      <c r="M939" s="7">
        <f t="shared" si="5"/>
        <v>67275</v>
      </c>
      <c r="N939" s="7">
        <f t="shared" si="6"/>
        <v>64350</v>
      </c>
    </row>
    <row r="940">
      <c r="A940" s="5" t="s">
        <v>1609</v>
      </c>
      <c r="B940" s="5" t="s">
        <v>2007</v>
      </c>
      <c r="C940" s="5" t="s">
        <v>2008</v>
      </c>
      <c r="D940" s="5" t="s">
        <v>2009</v>
      </c>
      <c r="E940" s="5" t="s">
        <v>1619</v>
      </c>
      <c r="F940" s="5" t="s">
        <v>2010</v>
      </c>
      <c r="G940" s="8">
        <v>157500.0</v>
      </c>
      <c r="H940" s="5" t="s">
        <v>22</v>
      </c>
      <c r="I940" s="7">
        <f t="shared" si="1"/>
        <v>236250</v>
      </c>
      <c r="J940" s="7">
        <f t="shared" si="7"/>
        <v>204750</v>
      </c>
      <c r="K940" s="7">
        <f t="shared" si="3"/>
        <v>204750</v>
      </c>
      <c r="L940" s="7">
        <f t="shared" si="4"/>
        <v>189000</v>
      </c>
      <c r="M940" s="7">
        <f t="shared" si="5"/>
        <v>181125</v>
      </c>
      <c r="N940" s="7">
        <f t="shared" si="6"/>
        <v>173250</v>
      </c>
    </row>
    <row r="941">
      <c r="A941" s="5" t="s">
        <v>1609</v>
      </c>
      <c r="B941" s="5" t="s">
        <v>2007</v>
      </c>
      <c r="C941" s="5" t="s">
        <v>2008</v>
      </c>
      <c r="D941" s="5" t="s">
        <v>2011</v>
      </c>
      <c r="E941" s="5" t="s">
        <v>1619</v>
      </c>
      <c r="F941" s="5" t="s">
        <v>2012</v>
      </c>
      <c r="G941" s="8">
        <v>157500.0</v>
      </c>
      <c r="H941" s="5" t="s">
        <v>22</v>
      </c>
      <c r="I941" s="7">
        <f t="shared" si="1"/>
        <v>236250</v>
      </c>
      <c r="J941" s="7">
        <f t="shared" si="7"/>
        <v>204750</v>
      </c>
      <c r="K941" s="7">
        <f t="shared" si="3"/>
        <v>204750</v>
      </c>
      <c r="L941" s="7">
        <f t="shared" si="4"/>
        <v>189000</v>
      </c>
      <c r="M941" s="7">
        <f t="shared" si="5"/>
        <v>181125</v>
      </c>
      <c r="N941" s="7">
        <f t="shared" si="6"/>
        <v>173250</v>
      </c>
    </row>
    <row r="942">
      <c r="A942" s="5" t="s">
        <v>1609</v>
      </c>
      <c r="B942" s="5" t="s">
        <v>2007</v>
      </c>
      <c r="C942" s="5" t="s">
        <v>2008</v>
      </c>
      <c r="D942" s="5" t="s">
        <v>2013</v>
      </c>
      <c r="E942" s="5" t="s">
        <v>1619</v>
      </c>
      <c r="F942" s="5" t="s">
        <v>2014</v>
      </c>
      <c r="G942" s="8">
        <v>154000.0</v>
      </c>
      <c r="H942" s="5" t="s">
        <v>22</v>
      </c>
      <c r="I942" s="7">
        <f t="shared" si="1"/>
        <v>231000</v>
      </c>
      <c r="J942" s="7">
        <f t="shared" si="7"/>
        <v>200200</v>
      </c>
      <c r="K942" s="7">
        <f t="shared" si="3"/>
        <v>200200</v>
      </c>
      <c r="L942" s="7">
        <f t="shared" si="4"/>
        <v>184800</v>
      </c>
      <c r="M942" s="7">
        <f t="shared" si="5"/>
        <v>177100</v>
      </c>
      <c r="N942" s="7">
        <f t="shared" si="6"/>
        <v>169400</v>
      </c>
    </row>
    <row r="943">
      <c r="A943" s="5" t="s">
        <v>1609</v>
      </c>
      <c r="B943" s="6"/>
      <c r="C943" s="6"/>
      <c r="D943" s="5" t="s">
        <v>2015</v>
      </c>
      <c r="E943" s="5" t="s">
        <v>2016</v>
      </c>
      <c r="F943" s="5" t="s">
        <v>2017</v>
      </c>
      <c r="G943" s="8">
        <v>154000.0</v>
      </c>
      <c r="H943" s="5" t="s">
        <v>22</v>
      </c>
      <c r="I943" s="7">
        <f t="shared" si="1"/>
        <v>231000</v>
      </c>
      <c r="J943" s="7">
        <f t="shared" si="7"/>
        <v>200200</v>
      </c>
      <c r="K943" s="7">
        <f t="shared" si="3"/>
        <v>200200</v>
      </c>
      <c r="L943" s="7">
        <f t="shared" si="4"/>
        <v>184800</v>
      </c>
      <c r="M943" s="7">
        <f t="shared" si="5"/>
        <v>177100</v>
      </c>
      <c r="N943" s="7">
        <f t="shared" si="6"/>
        <v>169400</v>
      </c>
    </row>
    <row r="944">
      <c r="A944" s="5" t="s">
        <v>1609</v>
      </c>
      <c r="B944" s="5" t="s">
        <v>2007</v>
      </c>
      <c r="C944" s="5" t="s">
        <v>2008</v>
      </c>
      <c r="D944" s="5" t="s">
        <v>2018</v>
      </c>
      <c r="E944" s="5" t="s">
        <v>2019</v>
      </c>
      <c r="F944" s="5" t="s">
        <v>2020</v>
      </c>
      <c r="G944" s="8">
        <v>21500.0</v>
      </c>
      <c r="H944" s="5" t="s">
        <v>22</v>
      </c>
      <c r="I944" s="7">
        <f t="shared" si="1"/>
        <v>32250</v>
      </c>
      <c r="J944" s="7">
        <f t="shared" si="7"/>
        <v>27950</v>
      </c>
      <c r="K944" s="7">
        <f t="shared" si="3"/>
        <v>27950</v>
      </c>
      <c r="L944" s="7">
        <f t="shared" si="4"/>
        <v>25800</v>
      </c>
      <c r="M944" s="7">
        <f t="shared" si="5"/>
        <v>24725</v>
      </c>
      <c r="N944" s="7">
        <f t="shared" si="6"/>
        <v>23650</v>
      </c>
    </row>
    <row r="945">
      <c r="A945" s="5" t="s">
        <v>1609</v>
      </c>
      <c r="B945" s="6"/>
      <c r="C945" s="6"/>
      <c r="D945" s="5" t="s">
        <v>2021</v>
      </c>
      <c r="E945" s="5" t="s">
        <v>2022</v>
      </c>
      <c r="F945" s="5" t="s">
        <v>2022</v>
      </c>
      <c r="G945" s="8">
        <v>21500.0</v>
      </c>
      <c r="H945" s="5" t="s">
        <v>22</v>
      </c>
      <c r="I945" s="7">
        <f t="shared" si="1"/>
        <v>32250</v>
      </c>
      <c r="J945" s="7">
        <f t="shared" si="7"/>
        <v>27950</v>
      </c>
      <c r="K945" s="7">
        <f t="shared" si="3"/>
        <v>27950</v>
      </c>
      <c r="L945" s="7">
        <f t="shared" si="4"/>
        <v>25800</v>
      </c>
      <c r="M945" s="7">
        <f t="shared" si="5"/>
        <v>24725</v>
      </c>
      <c r="N945" s="7">
        <f t="shared" si="6"/>
        <v>23650</v>
      </c>
    </row>
    <row r="946">
      <c r="A946" s="5" t="s">
        <v>1609</v>
      </c>
      <c r="B946" s="5" t="s">
        <v>2007</v>
      </c>
      <c r="C946" s="5" t="s">
        <v>2008</v>
      </c>
      <c r="D946" s="5" t="s">
        <v>2023</v>
      </c>
      <c r="E946" s="5" t="s">
        <v>2024</v>
      </c>
      <c r="F946" s="5" t="s">
        <v>2025</v>
      </c>
      <c r="G946" s="8">
        <v>36500.0</v>
      </c>
      <c r="H946" s="5" t="s">
        <v>22</v>
      </c>
      <c r="I946" s="7">
        <f t="shared" si="1"/>
        <v>54750</v>
      </c>
      <c r="J946" s="7">
        <f t="shared" si="7"/>
        <v>47450</v>
      </c>
      <c r="K946" s="7">
        <f t="shared" si="3"/>
        <v>47450</v>
      </c>
      <c r="L946" s="7">
        <f t="shared" si="4"/>
        <v>43800</v>
      </c>
      <c r="M946" s="7">
        <f t="shared" si="5"/>
        <v>41975</v>
      </c>
      <c r="N946" s="7">
        <f t="shared" si="6"/>
        <v>40150</v>
      </c>
    </row>
    <row r="947">
      <c r="A947" s="5" t="s">
        <v>1609</v>
      </c>
      <c r="B947" s="5" t="s">
        <v>2007</v>
      </c>
      <c r="C947" s="5" t="s">
        <v>2008</v>
      </c>
      <c r="D947" s="5" t="s">
        <v>2026</v>
      </c>
      <c r="E947" s="5" t="s">
        <v>1624</v>
      </c>
      <c r="F947" s="5" t="s">
        <v>2027</v>
      </c>
      <c r="G947" s="8">
        <v>32000.0</v>
      </c>
      <c r="H947" s="5" t="s">
        <v>22</v>
      </c>
      <c r="I947" s="7">
        <f t="shared" si="1"/>
        <v>48000</v>
      </c>
      <c r="J947" s="7">
        <f t="shared" si="7"/>
        <v>41600</v>
      </c>
      <c r="K947" s="7">
        <f t="shared" si="3"/>
        <v>41600</v>
      </c>
      <c r="L947" s="7">
        <f t="shared" si="4"/>
        <v>38400</v>
      </c>
      <c r="M947" s="7">
        <f t="shared" si="5"/>
        <v>36800</v>
      </c>
      <c r="N947" s="7">
        <f t="shared" si="6"/>
        <v>35200</v>
      </c>
    </row>
    <row r="948">
      <c r="A948" s="5" t="s">
        <v>1609</v>
      </c>
      <c r="B948" s="5" t="s">
        <v>2007</v>
      </c>
      <c r="C948" s="5" t="s">
        <v>2008</v>
      </c>
      <c r="D948" s="5" t="s">
        <v>2028</v>
      </c>
      <c r="E948" s="5" t="s">
        <v>1651</v>
      </c>
      <c r="F948" s="5" t="s">
        <v>2029</v>
      </c>
      <c r="G948" s="8">
        <v>59500.0</v>
      </c>
      <c r="H948" s="5" t="s">
        <v>22</v>
      </c>
      <c r="I948" s="7">
        <f t="shared" si="1"/>
        <v>89250</v>
      </c>
      <c r="J948" s="7">
        <f t="shared" si="7"/>
        <v>77350</v>
      </c>
      <c r="K948" s="7">
        <f t="shared" si="3"/>
        <v>77350</v>
      </c>
      <c r="L948" s="7">
        <f t="shared" si="4"/>
        <v>71400</v>
      </c>
      <c r="M948" s="7">
        <f t="shared" si="5"/>
        <v>68425</v>
      </c>
      <c r="N948" s="7">
        <f t="shared" si="6"/>
        <v>65450</v>
      </c>
    </row>
    <row r="949">
      <c r="A949" s="5" t="s">
        <v>1609</v>
      </c>
      <c r="B949" s="5" t="s">
        <v>2007</v>
      </c>
      <c r="C949" s="5" t="s">
        <v>2008</v>
      </c>
      <c r="D949" s="5" t="s">
        <v>2030</v>
      </c>
      <c r="E949" s="5" t="s">
        <v>2031</v>
      </c>
      <c r="F949" s="5" t="s">
        <v>2032</v>
      </c>
      <c r="G949" s="8">
        <v>22000.0</v>
      </c>
      <c r="H949" s="5" t="s">
        <v>22</v>
      </c>
      <c r="I949" s="7">
        <f t="shared" si="1"/>
        <v>33000</v>
      </c>
      <c r="J949" s="7">
        <f t="shared" si="7"/>
        <v>28600</v>
      </c>
      <c r="K949" s="7">
        <f t="shared" si="3"/>
        <v>28600</v>
      </c>
      <c r="L949" s="7">
        <f t="shared" si="4"/>
        <v>26400</v>
      </c>
      <c r="M949" s="7">
        <f t="shared" si="5"/>
        <v>25300</v>
      </c>
      <c r="N949" s="7">
        <f t="shared" si="6"/>
        <v>24200</v>
      </c>
    </row>
    <row r="950">
      <c r="A950" s="5" t="s">
        <v>1609</v>
      </c>
      <c r="B950" s="5" t="s">
        <v>2007</v>
      </c>
      <c r="C950" s="5" t="s">
        <v>2008</v>
      </c>
      <c r="D950" s="5" t="s">
        <v>2033</v>
      </c>
      <c r="E950" s="5" t="s">
        <v>2034</v>
      </c>
      <c r="F950" s="5" t="s">
        <v>2035</v>
      </c>
      <c r="G950" s="8">
        <v>42500.0</v>
      </c>
      <c r="H950" s="5" t="s">
        <v>22</v>
      </c>
      <c r="I950" s="7">
        <f t="shared" si="1"/>
        <v>63750</v>
      </c>
      <c r="J950" s="7">
        <f t="shared" si="7"/>
        <v>55250</v>
      </c>
      <c r="K950" s="7">
        <f t="shared" si="3"/>
        <v>55250</v>
      </c>
      <c r="L950" s="7">
        <f t="shared" si="4"/>
        <v>51000</v>
      </c>
      <c r="M950" s="7">
        <f t="shared" si="5"/>
        <v>48875</v>
      </c>
      <c r="N950" s="7">
        <f t="shared" si="6"/>
        <v>46750</v>
      </c>
    </row>
    <row r="951">
      <c r="A951" s="5" t="s">
        <v>1609</v>
      </c>
      <c r="B951" s="5" t="s">
        <v>2007</v>
      </c>
      <c r="C951" s="5" t="s">
        <v>2008</v>
      </c>
      <c r="D951" s="5" t="s">
        <v>2036</v>
      </c>
      <c r="E951" s="5" t="s">
        <v>2037</v>
      </c>
      <c r="F951" s="5" t="s">
        <v>2038</v>
      </c>
      <c r="G951" s="8">
        <v>38000.0</v>
      </c>
      <c r="H951" s="5" t="s">
        <v>22</v>
      </c>
      <c r="I951" s="7">
        <f t="shared" si="1"/>
        <v>57000</v>
      </c>
      <c r="J951" s="7">
        <f t="shared" si="7"/>
        <v>49400</v>
      </c>
      <c r="K951" s="7">
        <f t="shared" si="3"/>
        <v>49400</v>
      </c>
      <c r="L951" s="7">
        <f t="shared" si="4"/>
        <v>45600</v>
      </c>
      <c r="M951" s="7">
        <f t="shared" si="5"/>
        <v>43700</v>
      </c>
      <c r="N951" s="7">
        <f t="shared" si="6"/>
        <v>41800</v>
      </c>
    </row>
    <row r="952">
      <c r="A952" s="5" t="s">
        <v>1609</v>
      </c>
      <c r="B952" s="5" t="s">
        <v>2007</v>
      </c>
      <c r="C952" s="5" t="s">
        <v>2008</v>
      </c>
      <c r="D952" s="5" t="s">
        <v>2039</v>
      </c>
      <c r="E952" s="5" t="s">
        <v>2040</v>
      </c>
      <c r="F952" s="5" t="s">
        <v>2041</v>
      </c>
      <c r="G952" s="8">
        <v>34000.0</v>
      </c>
      <c r="H952" s="5" t="s">
        <v>22</v>
      </c>
      <c r="I952" s="7">
        <f t="shared" si="1"/>
        <v>51000</v>
      </c>
      <c r="J952" s="7">
        <f t="shared" si="7"/>
        <v>44200</v>
      </c>
      <c r="K952" s="7">
        <f t="shared" si="3"/>
        <v>44200</v>
      </c>
      <c r="L952" s="7">
        <f t="shared" si="4"/>
        <v>40800</v>
      </c>
      <c r="M952" s="7">
        <f t="shared" si="5"/>
        <v>39100</v>
      </c>
      <c r="N952" s="7">
        <f t="shared" si="6"/>
        <v>37400</v>
      </c>
    </row>
    <row r="953">
      <c r="A953" s="5" t="s">
        <v>1609</v>
      </c>
      <c r="B953" s="5" t="s">
        <v>2007</v>
      </c>
      <c r="C953" s="5" t="s">
        <v>2008</v>
      </c>
      <c r="D953" s="5" t="s">
        <v>2042</v>
      </c>
      <c r="E953" s="5" t="s">
        <v>2043</v>
      </c>
      <c r="F953" s="5" t="s">
        <v>2044</v>
      </c>
      <c r="G953" s="8">
        <v>9500.0</v>
      </c>
      <c r="H953" s="5" t="s">
        <v>22</v>
      </c>
      <c r="I953" s="7">
        <f t="shared" si="1"/>
        <v>14250</v>
      </c>
      <c r="J953" s="7">
        <f t="shared" si="7"/>
        <v>12350</v>
      </c>
      <c r="K953" s="7">
        <f t="shared" si="3"/>
        <v>12350</v>
      </c>
      <c r="L953" s="7">
        <f t="shared" si="4"/>
        <v>11400</v>
      </c>
      <c r="M953" s="7">
        <f t="shared" si="5"/>
        <v>10925</v>
      </c>
      <c r="N953" s="7">
        <f t="shared" si="6"/>
        <v>10450</v>
      </c>
    </row>
    <row r="954">
      <c r="A954" s="5" t="s">
        <v>1609</v>
      </c>
      <c r="B954" s="5" t="s">
        <v>2007</v>
      </c>
      <c r="C954" s="5" t="s">
        <v>2008</v>
      </c>
      <c r="D954" s="5" t="s">
        <v>2045</v>
      </c>
      <c r="E954" s="5" t="s">
        <v>2043</v>
      </c>
      <c r="F954" s="5" t="s">
        <v>2046</v>
      </c>
      <c r="G954" s="8">
        <v>8600.0</v>
      </c>
      <c r="H954" s="5" t="s">
        <v>22</v>
      </c>
      <c r="I954" s="7">
        <f t="shared" si="1"/>
        <v>12900</v>
      </c>
      <c r="J954" s="7">
        <f t="shared" si="7"/>
        <v>11180</v>
      </c>
      <c r="K954" s="7">
        <f t="shared" si="3"/>
        <v>11180</v>
      </c>
      <c r="L954" s="7">
        <f t="shared" si="4"/>
        <v>10320</v>
      </c>
      <c r="M954" s="7">
        <f t="shared" si="5"/>
        <v>9890</v>
      </c>
      <c r="N954" s="7">
        <f t="shared" si="6"/>
        <v>9460</v>
      </c>
    </row>
    <row r="955">
      <c r="A955" s="5" t="s">
        <v>1609</v>
      </c>
      <c r="B955" s="5" t="s">
        <v>2007</v>
      </c>
      <c r="C955" s="5" t="s">
        <v>2008</v>
      </c>
      <c r="D955" s="5" t="s">
        <v>2047</v>
      </c>
      <c r="E955" s="5" t="s">
        <v>2048</v>
      </c>
      <c r="F955" s="5" t="s">
        <v>2049</v>
      </c>
      <c r="G955" s="8">
        <v>12000.0</v>
      </c>
      <c r="H955" s="5" t="s">
        <v>22</v>
      </c>
      <c r="I955" s="7">
        <f t="shared" si="1"/>
        <v>18000</v>
      </c>
      <c r="J955" s="7">
        <f t="shared" si="7"/>
        <v>15600</v>
      </c>
      <c r="K955" s="7">
        <f t="shared" si="3"/>
        <v>15600</v>
      </c>
      <c r="L955" s="7">
        <f t="shared" si="4"/>
        <v>14400</v>
      </c>
      <c r="M955" s="7">
        <f t="shared" si="5"/>
        <v>13800</v>
      </c>
      <c r="N955" s="7">
        <f t="shared" si="6"/>
        <v>13200</v>
      </c>
    </row>
    <row r="956">
      <c r="A956" s="5" t="s">
        <v>1609</v>
      </c>
      <c r="B956" s="5" t="s">
        <v>2007</v>
      </c>
      <c r="C956" s="5" t="s">
        <v>2008</v>
      </c>
      <c r="D956" s="5" t="s">
        <v>2050</v>
      </c>
      <c r="E956" s="5" t="s">
        <v>2048</v>
      </c>
      <c r="F956" s="5" t="s">
        <v>2051</v>
      </c>
      <c r="G956" s="8">
        <v>9500.0</v>
      </c>
      <c r="H956" s="5" t="s">
        <v>22</v>
      </c>
      <c r="I956" s="7">
        <f t="shared" si="1"/>
        <v>14250</v>
      </c>
      <c r="J956" s="7">
        <f t="shared" si="7"/>
        <v>12350</v>
      </c>
      <c r="K956" s="7">
        <f t="shared" si="3"/>
        <v>12350</v>
      </c>
      <c r="L956" s="7">
        <f t="shared" si="4"/>
        <v>11400</v>
      </c>
      <c r="M956" s="7">
        <f t="shared" si="5"/>
        <v>10925</v>
      </c>
      <c r="N956" s="7">
        <f t="shared" si="6"/>
        <v>10450</v>
      </c>
    </row>
    <row r="957">
      <c r="A957" s="5" t="s">
        <v>1609</v>
      </c>
      <c r="B957" s="5" t="s">
        <v>2007</v>
      </c>
      <c r="C957" s="5" t="s">
        <v>2008</v>
      </c>
      <c r="D957" s="5" t="s">
        <v>2052</v>
      </c>
      <c r="E957" s="5" t="s">
        <v>2053</v>
      </c>
      <c r="F957" s="5" t="s">
        <v>2054</v>
      </c>
      <c r="G957" s="8">
        <v>63500.0</v>
      </c>
      <c r="H957" s="5" t="s">
        <v>22</v>
      </c>
      <c r="I957" s="7">
        <f t="shared" si="1"/>
        <v>95250</v>
      </c>
      <c r="J957" s="7">
        <f t="shared" si="7"/>
        <v>82550</v>
      </c>
      <c r="K957" s="7">
        <f t="shared" si="3"/>
        <v>82550</v>
      </c>
      <c r="L957" s="7">
        <f t="shared" si="4"/>
        <v>76200</v>
      </c>
      <c r="M957" s="7">
        <f t="shared" si="5"/>
        <v>73025</v>
      </c>
      <c r="N957" s="7">
        <f t="shared" si="6"/>
        <v>69850</v>
      </c>
    </row>
    <row r="958">
      <c r="A958" s="5" t="s">
        <v>1609</v>
      </c>
      <c r="B958" s="5" t="s">
        <v>2007</v>
      </c>
      <c r="C958" s="5" t="s">
        <v>2008</v>
      </c>
      <c r="D958" s="5" t="s">
        <v>2055</v>
      </c>
      <c r="E958" s="5" t="s">
        <v>2053</v>
      </c>
      <c r="F958" s="5" t="s">
        <v>2056</v>
      </c>
      <c r="G958" s="8">
        <v>71500.0</v>
      </c>
      <c r="H958" s="5" t="s">
        <v>22</v>
      </c>
      <c r="I958" s="7">
        <f t="shared" si="1"/>
        <v>107250</v>
      </c>
      <c r="J958" s="7">
        <f t="shared" si="7"/>
        <v>92950</v>
      </c>
      <c r="K958" s="7">
        <f t="shared" si="3"/>
        <v>92950</v>
      </c>
      <c r="L958" s="7">
        <f t="shared" si="4"/>
        <v>85800</v>
      </c>
      <c r="M958" s="7">
        <f t="shared" si="5"/>
        <v>82225</v>
      </c>
      <c r="N958" s="7">
        <f t="shared" si="6"/>
        <v>78650</v>
      </c>
    </row>
    <row r="959">
      <c r="A959" s="5" t="s">
        <v>1609</v>
      </c>
      <c r="B959" s="5" t="s">
        <v>2007</v>
      </c>
      <c r="C959" s="5" t="s">
        <v>2008</v>
      </c>
      <c r="D959" s="5" t="s">
        <v>1668</v>
      </c>
      <c r="E959" s="5" t="s">
        <v>1669</v>
      </c>
      <c r="F959" s="5" t="s">
        <v>1670</v>
      </c>
      <c r="G959" s="8">
        <v>31000.0</v>
      </c>
      <c r="H959" s="5" t="s">
        <v>22</v>
      </c>
      <c r="I959" s="7">
        <f t="shared" si="1"/>
        <v>46500</v>
      </c>
      <c r="J959" s="7">
        <f t="shared" si="7"/>
        <v>40300</v>
      </c>
      <c r="K959" s="7">
        <f t="shared" si="3"/>
        <v>40300</v>
      </c>
      <c r="L959" s="7">
        <f t="shared" si="4"/>
        <v>37200</v>
      </c>
      <c r="M959" s="7">
        <f t="shared" si="5"/>
        <v>35650</v>
      </c>
      <c r="N959" s="7">
        <f t="shared" si="6"/>
        <v>34100</v>
      </c>
    </row>
    <row r="960">
      <c r="A960" s="5" t="s">
        <v>1609</v>
      </c>
      <c r="B960" s="5" t="s">
        <v>2007</v>
      </c>
      <c r="C960" s="5" t="s">
        <v>2008</v>
      </c>
      <c r="D960" s="5" t="s">
        <v>1674</v>
      </c>
      <c r="E960" s="5" t="s">
        <v>1675</v>
      </c>
      <c r="F960" s="5" t="s">
        <v>1676</v>
      </c>
      <c r="G960" s="8">
        <v>19800.0</v>
      </c>
      <c r="H960" s="5" t="s">
        <v>22</v>
      </c>
      <c r="I960" s="7">
        <f t="shared" si="1"/>
        <v>29700</v>
      </c>
      <c r="J960" s="7">
        <f t="shared" si="7"/>
        <v>25740</v>
      </c>
      <c r="K960" s="7">
        <f t="shared" si="3"/>
        <v>25740</v>
      </c>
      <c r="L960" s="7">
        <f t="shared" si="4"/>
        <v>23760</v>
      </c>
      <c r="M960" s="7">
        <f t="shared" si="5"/>
        <v>22770</v>
      </c>
      <c r="N960" s="7">
        <f t="shared" si="6"/>
        <v>21780</v>
      </c>
    </row>
    <row r="961">
      <c r="A961" s="5" t="s">
        <v>1609</v>
      </c>
      <c r="B961" s="5" t="s">
        <v>2007</v>
      </c>
      <c r="C961" s="5" t="s">
        <v>2008</v>
      </c>
      <c r="D961" s="5" t="s">
        <v>1677</v>
      </c>
      <c r="E961" s="5" t="s">
        <v>1675</v>
      </c>
      <c r="F961" s="5" t="s">
        <v>1678</v>
      </c>
      <c r="G961" s="8">
        <v>142500.0</v>
      </c>
      <c r="H961" s="5" t="s">
        <v>22</v>
      </c>
      <c r="I961" s="7">
        <f t="shared" si="1"/>
        <v>213750</v>
      </c>
      <c r="J961" s="7">
        <f t="shared" si="7"/>
        <v>185250</v>
      </c>
      <c r="K961" s="7">
        <f t="shared" si="3"/>
        <v>185250</v>
      </c>
      <c r="L961" s="7">
        <f t="shared" si="4"/>
        <v>171000</v>
      </c>
      <c r="M961" s="7">
        <f t="shared" si="5"/>
        <v>163875</v>
      </c>
      <c r="N961" s="7">
        <f t="shared" si="6"/>
        <v>156750</v>
      </c>
    </row>
    <row r="962">
      <c r="A962" s="5" t="s">
        <v>1609</v>
      </c>
      <c r="B962" s="5" t="s">
        <v>2007</v>
      </c>
      <c r="C962" s="5" t="s">
        <v>2008</v>
      </c>
      <c r="D962" s="5" t="s">
        <v>1679</v>
      </c>
      <c r="E962" s="5" t="s">
        <v>1675</v>
      </c>
      <c r="F962" s="5" t="s">
        <v>1680</v>
      </c>
      <c r="G962" s="8">
        <v>126500.0</v>
      </c>
      <c r="H962" s="5" t="s">
        <v>22</v>
      </c>
      <c r="I962" s="7">
        <f t="shared" si="1"/>
        <v>189750</v>
      </c>
      <c r="J962" s="7">
        <f t="shared" si="7"/>
        <v>164450</v>
      </c>
      <c r="K962" s="7">
        <f t="shared" si="3"/>
        <v>164450</v>
      </c>
      <c r="L962" s="7">
        <f t="shared" si="4"/>
        <v>151800</v>
      </c>
      <c r="M962" s="7">
        <f t="shared" si="5"/>
        <v>145475</v>
      </c>
      <c r="N962" s="7">
        <f t="shared" si="6"/>
        <v>139150</v>
      </c>
    </row>
    <row r="963">
      <c r="A963" s="5" t="s">
        <v>1609</v>
      </c>
      <c r="B963" s="5" t="s">
        <v>2007</v>
      </c>
      <c r="C963" s="5" t="s">
        <v>2008</v>
      </c>
      <c r="D963" s="5" t="s">
        <v>1681</v>
      </c>
      <c r="E963" s="5" t="s">
        <v>1675</v>
      </c>
      <c r="F963" s="5" t="s">
        <v>1682</v>
      </c>
      <c r="G963" s="8">
        <v>111000.0</v>
      </c>
      <c r="H963" s="5" t="s">
        <v>22</v>
      </c>
      <c r="I963" s="7">
        <f t="shared" si="1"/>
        <v>166500</v>
      </c>
      <c r="J963" s="7">
        <f t="shared" si="7"/>
        <v>144300</v>
      </c>
      <c r="K963" s="7">
        <f t="shared" si="3"/>
        <v>144300</v>
      </c>
      <c r="L963" s="7">
        <f t="shared" si="4"/>
        <v>133200</v>
      </c>
      <c r="M963" s="7">
        <f t="shared" si="5"/>
        <v>127650</v>
      </c>
      <c r="N963" s="7">
        <f t="shared" si="6"/>
        <v>122100</v>
      </c>
    </row>
    <row r="964">
      <c r="A964" s="5" t="s">
        <v>1609</v>
      </c>
      <c r="B964" s="5" t="s">
        <v>2007</v>
      </c>
      <c r="C964" s="5" t="s">
        <v>2008</v>
      </c>
      <c r="D964" s="5" t="s">
        <v>2057</v>
      </c>
      <c r="E964" s="5" t="s">
        <v>2058</v>
      </c>
      <c r="F964" s="5" t="s">
        <v>2059</v>
      </c>
      <c r="G964" s="8">
        <v>18500.0</v>
      </c>
      <c r="H964" s="5" t="s">
        <v>22</v>
      </c>
      <c r="I964" s="7">
        <f t="shared" si="1"/>
        <v>27750</v>
      </c>
      <c r="J964" s="7">
        <f t="shared" si="7"/>
        <v>24050</v>
      </c>
      <c r="K964" s="7">
        <f t="shared" si="3"/>
        <v>24050</v>
      </c>
      <c r="L964" s="7">
        <f t="shared" si="4"/>
        <v>22200</v>
      </c>
      <c r="M964" s="7">
        <f t="shared" si="5"/>
        <v>21275</v>
      </c>
      <c r="N964" s="7">
        <f t="shared" si="6"/>
        <v>20350</v>
      </c>
    </row>
    <row r="965">
      <c r="A965" s="5" t="s">
        <v>1609</v>
      </c>
      <c r="B965" s="5" t="s">
        <v>2007</v>
      </c>
      <c r="C965" s="5" t="s">
        <v>2008</v>
      </c>
      <c r="D965" s="5" t="s">
        <v>2060</v>
      </c>
      <c r="E965" s="5" t="s">
        <v>2058</v>
      </c>
      <c r="F965" s="5" t="s">
        <v>2061</v>
      </c>
      <c r="G965" s="8">
        <v>18500.0</v>
      </c>
      <c r="H965" s="5" t="s">
        <v>22</v>
      </c>
      <c r="I965" s="7">
        <f t="shared" si="1"/>
        <v>27750</v>
      </c>
      <c r="J965" s="7">
        <f t="shared" si="7"/>
        <v>24050</v>
      </c>
      <c r="K965" s="7">
        <f t="shared" si="3"/>
        <v>24050</v>
      </c>
      <c r="L965" s="7">
        <f t="shared" si="4"/>
        <v>22200</v>
      </c>
      <c r="M965" s="7">
        <f t="shared" si="5"/>
        <v>21275</v>
      </c>
      <c r="N965" s="7">
        <f t="shared" si="6"/>
        <v>20350</v>
      </c>
    </row>
    <row r="966">
      <c r="A966" s="5" t="s">
        <v>1609</v>
      </c>
      <c r="B966" s="5" t="s">
        <v>2007</v>
      </c>
      <c r="C966" s="5" t="s">
        <v>2008</v>
      </c>
      <c r="D966" s="5" t="s">
        <v>2062</v>
      </c>
      <c r="E966" s="5" t="s">
        <v>1619</v>
      </c>
      <c r="F966" s="5" t="s">
        <v>2063</v>
      </c>
      <c r="G966" s="8">
        <v>98500.0</v>
      </c>
      <c r="H966" s="5" t="s">
        <v>22</v>
      </c>
      <c r="I966" s="7">
        <f t="shared" si="1"/>
        <v>147750</v>
      </c>
      <c r="J966" s="7">
        <f t="shared" si="7"/>
        <v>128050</v>
      </c>
      <c r="K966" s="7">
        <f t="shared" si="3"/>
        <v>128050</v>
      </c>
      <c r="L966" s="7">
        <f t="shared" si="4"/>
        <v>118200</v>
      </c>
      <c r="M966" s="7">
        <f t="shared" si="5"/>
        <v>113275</v>
      </c>
      <c r="N966" s="7">
        <f t="shared" si="6"/>
        <v>108350</v>
      </c>
    </row>
    <row r="967">
      <c r="A967" s="5" t="s">
        <v>1609</v>
      </c>
      <c r="B967" s="5" t="s">
        <v>2007</v>
      </c>
      <c r="C967" s="5" t="s">
        <v>2008</v>
      </c>
      <c r="D967" s="5" t="s">
        <v>1623</v>
      </c>
      <c r="E967" s="5" t="s">
        <v>1624</v>
      </c>
      <c r="F967" s="5" t="s">
        <v>1625</v>
      </c>
      <c r="G967" s="8">
        <v>26500.0</v>
      </c>
      <c r="H967" s="5" t="s">
        <v>22</v>
      </c>
      <c r="I967" s="7">
        <f t="shared" si="1"/>
        <v>39750</v>
      </c>
      <c r="J967" s="7">
        <f t="shared" si="7"/>
        <v>34450</v>
      </c>
      <c r="K967" s="7">
        <f t="shared" si="3"/>
        <v>34450</v>
      </c>
      <c r="L967" s="7">
        <f t="shared" si="4"/>
        <v>31800</v>
      </c>
      <c r="M967" s="7">
        <f t="shared" si="5"/>
        <v>30475</v>
      </c>
      <c r="N967" s="7">
        <f t="shared" si="6"/>
        <v>29150</v>
      </c>
    </row>
    <row r="968">
      <c r="A968" s="5" t="s">
        <v>1609</v>
      </c>
      <c r="B968" s="5" t="s">
        <v>2007</v>
      </c>
      <c r="C968" s="5" t="s">
        <v>2008</v>
      </c>
      <c r="D968" s="5" t="s">
        <v>1632</v>
      </c>
      <c r="E968" s="5" t="s">
        <v>1633</v>
      </c>
      <c r="F968" s="5" t="s">
        <v>1634</v>
      </c>
      <c r="G968" s="8">
        <v>7850.0</v>
      </c>
      <c r="H968" s="5" t="s">
        <v>22</v>
      </c>
      <c r="I968" s="7">
        <f t="shared" si="1"/>
        <v>11775</v>
      </c>
      <c r="J968" s="7">
        <f t="shared" si="7"/>
        <v>10205</v>
      </c>
      <c r="K968" s="7">
        <f t="shared" si="3"/>
        <v>10205</v>
      </c>
      <c r="L968" s="7">
        <f t="shared" si="4"/>
        <v>9420</v>
      </c>
      <c r="M968" s="7">
        <f t="shared" si="5"/>
        <v>9027.5</v>
      </c>
      <c r="N968" s="7">
        <f t="shared" si="6"/>
        <v>8635</v>
      </c>
    </row>
    <row r="969">
      <c r="A969" s="5" t="s">
        <v>1609</v>
      </c>
      <c r="B969" s="5" t="s">
        <v>2007</v>
      </c>
      <c r="C969" s="5" t="s">
        <v>2008</v>
      </c>
      <c r="D969" s="5" t="s">
        <v>2064</v>
      </c>
      <c r="E969" s="5" t="s">
        <v>1636</v>
      </c>
      <c r="F969" s="5" t="s">
        <v>2065</v>
      </c>
      <c r="G969" s="8">
        <v>11500.0</v>
      </c>
      <c r="H969" s="5" t="s">
        <v>22</v>
      </c>
      <c r="I969" s="7">
        <f t="shared" si="1"/>
        <v>17250</v>
      </c>
      <c r="J969" s="7">
        <f t="shared" si="7"/>
        <v>14950</v>
      </c>
      <c r="K969" s="7">
        <f t="shared" si="3"/>
        <v>14950</v>
      </c>
      <c r="L969" s="7">
        <f t="shared" si="4"/>
        <v>13800</v>
      </c>
      <c r="M969" s="7">
        <f t="shared" si="5"/>
        <v>13225</v>
      </c>
      <c r="N969" s="7">
        <f t="shared" si="6"/>
        <v>12650</v>
      </c>
    </row>
    <row r="970">
      <c r="A970" s="5" t="s">
        <v>1609</v>
      </c>
      <c r="B970" s="5" t="s">
        <v>2007</v>
      </c>
      <c r="C970" s="5" t="s">
        <v>2008</v>
      </c>
      <c r="D970" s="5" t="s">
        <v>1629</v>
      </c>
      <c r="E970" s="5" t="s">
        <v>1630</v>
      </c>
      <c r="F970" s="5" t="s">
        <v>1631</v>
      </c>
      <c r="G970" s="8">
        <v>19800.0</v>
      </c>
      <c r="H970" s="5" t="s">
        <v>22</v>
      </c>
      <c r="I970" s="7">
        <f t="shared" si="1"/>
        <v>29700</v>
      </c>
      <c r="J970" s="7">
        <f t="shared" si="7"/>
        <v>25740</v>
      </c>
      <c r="K970" s="7">
        <f t="shared" si="3"/>
        <v>25740</v>
      </c>
      <c r="L970" s="7">
        <f t="shared" si="4"/>
        <v>23760</v>
      </c>
      <c r="M970" s="7">
        <f t="shared" si="5"/>
        <v>22770</v>
      </c>
      <c r="N970" s="7">
        <f t="shared" si="6"/>
        <v>21780</v>
      </c>
    </row>
    <row r="971">
      <c r="A971" s="5" t="s">
        <v>1609</v>
      </c>
      <c r="B971" s="6"/>
      <c r="C971" s="6"/>
      <c r="D971" s="5" t="s">
        <v>2066</v>
      </c>
      <c r="E971" s="5" t="s">
        <v>2067</v>
      </c>
      <c r="F971" s="5" t="s">
        <v>2068</v>
      </c>
      <c r="G971" s="8">
        <v>178000.0</v>
      </c>
      <c r="H971" s="5" t="s">
        <v>22</v>
      </c>
      <c r="I971" s="7">
        <f t="shared" si="1"/>
        <v>267000</v>
      </c>
      <c r="J971" s="7">
        <f t="shared" si="7"/>
        <v>231400</v>
      </c>
      <c r="K971" s="7">
        <f t="shared" si="3"/>
        <v>231400</v>
      </c>
      <c r="L971" s="7">
        <f t="shared" si="4"/>
        <v>213600</v>
      </c>
      <c r="M971" s="7">
        <f t="shared" si="5"/>
        <v>204700</v>
      </c>
      <c r="N971" s="7">
        <f t="shared" si="6"/>
        <v>195800</v>
      </c>
    </row>
    <row r="972">
      <c r="A972" s="5" t="s">
        <v>1609</v>
      </c>
      <c r="B972" s="6"/>
      <c r="C972" s="6"/>
      <c r="D972" s="5" t="s">
        <v>2069</v>
      </c>
      <c r="E972" s="5" t="s">
        <v>2067</v>
      </c>
      <c r="F972" s="5" t="s">
        <v>2070</v>
      </c>
      <c r="G972" s="8">
        <v>178000.0</v>
      </c>
      <c r="H972" s="5" t="s">
        <v>22</v>
      </c>
      <c r="I972" s="7">
        <f t="shared" si="1"/>
        <v>267000</v>
      </c>
      <c r="J972" s="7">
        <f t="shared" si="7"/>
        <v>231400</v>
      </c>
      <c r="K972" s="7">
        <f t="shared" si="3"/>
        <v>231400</v>
      </c>
      <c r="L972" s="7">
        <f t="shared" si="4"/>
        <v>213600</v>
      </c>
      <c r="M972" s="7">
        <f t="shared" si="5"/>
        <v>204700</v>
      </c>
      <c r="N972" s="7">
        <f t="shared" si="6"/>
        <v>195800</v>
      </c>
    </row>
    <row r="973">
      <c r="A973" s="5" t="s">
        <v>1609</v>
      </c>
      <c r="B973" s="6"/>
      <c r="C973" s="6"/>
      <c r="D973" s="5" t="s">
        <v>2071</v>
      </c>
      <c r="E973" s="5" t="s">
        <v>2067</v>
      </c>
      <c r="F973" s="5" t="s">
        <v>2072</v>
      </c>
      <c r="G973" s="8">
        <v>190500.0</v>
      </c>
      <c r="H973" s="5" t="s">
        <v>22</v>
      </c>
      <c r="I973" s="7">
        <f t="shared" si="1"/>
        <v>285750</v>
      </c>
      <c r="J973" s="7">
        <f t="shared" si="7"/>
        <v>247650</v>
      </c>
      <c r="K973" s="7">
        <f t="shared" si="3"/>
        <v>247650</v>
      </c>
      <c r="L973" s="7">
        <f t="shared" si="4"/>
        <v>228600</v>
      </c>
      <c r="M973" s="7">
        <f t="shared" si="5"/>
        <v>219075</v>
      </c>
      <c r="N973" s="7">
        <f t="shared" si="6"/>
        <v>209550</v>
      </c>
    </row>
    <row r="974">
      <c r="A974" s="5" t="s">
        <v>1609</v>
      </c>
      <c r="B974" s="6"/>
      <c r="C974" s="6"/>
      <c r="D974" s="5" t="s">
        <v>2073</v>
      </c>
      <c r="E974" s="5" t="s">
        <v>2067</v>
      </c>
      <c r="F974" s="5" t="s">
        <v>2074</v>
      </c>
      <c r="G974" s="8">
        <v>205000.0</v>
      </c>
      <c r="H974" s="5" t="s">
        <v>22</v>
      </c>
      <c r="I974" s="7">
        <f t="shared" si="1"/>
        <v>307500</v>
      </c>
      <c r="J974" s="7">
        <f t="shared" si="7"/>
        <v>266500</v>
      </c>
      <c r="K974" s="7">
        <f t="shared" si="3"/>
        <v>266500</v>
      </c>
      <c r="L974" s="7">
        <f t="shared" si="4"/>
        <v>246000</v>
      </c>
      <c r="M974" s="7">
        <f t="shared" si="5"/>
        <v>235750</v>
      </c>
      <c r="N974" s="7">
        <f t="shared" si="6"/>
        <v>225500</v>
      </c>
    </row>
    <row r="975">
      <c r="A975" s="5" t="s">
        <v>1609</v>
      </c>
      <c r="B975" s="6"/>
      <c r="C975" s="6"/>
      <c r="D975" s="5" t="s">
        <v>1827</v>
      </c>
      <c r="E975" s="5" t="s">
        <v>2075</v>
      </c>
      <c r="F975" s="5" t="s">
        <v>2076</v>
      </c>
      <c r="G975" s="8">
        <v>84500.0</v>
      </c>
      <c r="H975" s="5" t="s">
        <v>22</v>
      </c>
      <c r="I975" s="7">
        <f t="shared" si="1"/>
        <v>126750</v>
      </c>
      <c r="J975" s="7">
        <f t="shared" si="7"/>
        <v>109850</v>
      </c>
      <c r="K975" s="7">
        <f t="shared" si="3"/>
        <v>109850</v>
      </c>
      <c r="L975" s="7">
        <f t="shared" si="4"/>
        <v>101400</v>
      </c>
      <c r="M975" s="7">
        <f t="shared" si="5"/>
        <v>97175</v>
      </c>
      <c r="N975" s="7">
        <f t="shared" si="6"/>
        <v>92950</v>
      </c>
    </row>
    <row r="976">
      <c r="A976" s="5" t="s">
        <v>1609</v>
      </c>
      <c r="B976" s="6"/>
      <c r="C976" s="6"/>
      <c r="D976" s="5" t="s">
        <v>1830</v>
      </c>
      <c r="E976" s="5" t="s">
        <v>2075</v>
      </c>
      <c r="F976" s="5" t="s">
        <v>2077</v>
      </c>
      <c r="G976" s="8">
        <v>90500.0</v>
      </c>
      <c r="H976" s="5" t="s">
        <v>22</v>
      </c>
      <c r="I976" s="7">
        <f t="shared" si="1"/>
        <v>135750</v>
      </c>
      <c r="J976" s="7">
        <f t="shared" si="7"/>
        <v>117650</v>
      </c>
      <c r="K976" s="7">
        <f t="shared" si="3"/>
        <v>117650</v>
      </c>
      <c r="L976" s="7">
        <f t="shared" si="4"/>
        <v>108600</v>
      </c>
      <c r="M976" s="7">
        <f t="shared" si="5"/>
        <v>104075</v>
      </c>
      <c r="N976" s="7">
        <f t="shared" si="6"/>
        <v>99550</v>
      </c>
    </row>
    <row r="977">
      <c r="A977" s="5" t="s">
        <v>1609</v>
      </c>
      <c r="B977" s="6"/>
      <c r="C977" s="6"/>
      <c r="D977" s="5" t="s">
        <v>1743</v>
      </c>
      <c r="E977" s="5" t="s">
        <v>1268</v>
      </c>
      <c r="F977" s="5" t="s">
        <v>2078</v>
      </c>
      <c r="G977" s="8">
        <v>16500.0</v>
      </c>
      <c r="H977" s="5" t="s">
        <v>22</v>
      </c>
      <c r="I977" s="7">
        <f t="shared" si="1"/>
        <v>24750</v>
      </c>
      <c r="J977" s="7">
        <f t="shared" si="7"/>
        <v>21450</v>
      </c>
      <c r="K977" s="7">
        <f t="shared" si="3"/>
        <v>21450</v>
      </c>
      <c r="L977" s="7">
        <f t="shared" si="4"/>
        <v>19800</v>
      </c>
      <c r="M977" s="7">
        <f t="shared" si="5"/>
        <v>18975</v>
      </c>
      <c r="N977" s="7">
        <f t="shared" si="6"/>
        <v>18150</v>
      </c>
    </row>
    <row r="978">
      <c r="A978" s="5" t="s">
        <v>2079</v>
      </c>
      <c r="B978" s="5" t="s">
        <v>197</v>
      </c>
      <c r="C978" s="5" t="s">
        <v>2008</v>
      </c>
      <c r="D978" s="5" t="s">
        <v>2080</v>
      </c>
      <c r="E978" s="5" t="s">
        <v>2081</v>
      </c>
      <c r="F978" s="6"/>
      <c r="G978" s="8">
        <v>7800.0</v>
      </c>
      <c r="H978" s="5" t="s">
        <v>22</v>
      </c>
      <c r="I978" s="7">
        <f t="shared" si="1"/>
        <v>11700</v>
      </c>
      <c r="J978" s="7">
        <f t="shared" si="7"/>
        <v>10140</v>
      </c>
      <c r="K978" s="7">
        <f t="shared" si="3"/>
        <v>10140</v>
      </c>
      <c r="L978" s="7">
        <f t="shared" si="4"/>
        <v>9360</v>
      </c>
      <c r="M978" s="7">
        <f t="shared" si="5"/>
        <v>8970</v>
      </c>
      <c r="N978" s="7">
        <f t="shared" si="6"/>
        <v>8580</v>
      </c>
    </row>
    <row r="979">
      <c r="A979" s="5" t="s">
        <v>2079</v>
      </c>
      <c r="B979" s="5" t="s">
        <v>197</v>
      </c>
      <c r="C979" s="5" t="s">
        <v>2008</v>
      </c>
      <c r="D979" s="5" t="s">
        <v>2082</v>
      </c>
      <c r="E979" s="5" t="s">
        <v>2081</v>
      </c>
      <c r="F979" s="6"/>
      <c r="G979" s="8">
        <v>7200.0</v>
      </c>
      <c r="H979" s="5" t="s">
        <v>22</v>
      </c>
      <c r="I979" s="7">
        <f t="shared" si="1"/>
        <v>10800</v>
      </c>
      <c r="J979" s="7">
        <f t="shared" si="7"/>
        <v>9360</v>
      </c>
      <c r="K979" s="7">
        <f t="shared" si="3"/>
        <v>9360</v>
      </c>
      <c r="L979" s="7">
        <f t="shared" si="4"/>
        <v>8640</v>
      </c>
      <c r="M979" s="7">
        <f t="shared" si="5"/>
        <v>8280</v>
      </c>
      <c r="N979" s="7">
        <f t="shared" si="6"/>
        <v>7920</v>
      </c>
    </row>
    <row r="980">
      <c r="A980" s="5" t="s">
        <v>2079</v>
      </c>
      <c r="B980" s="5" t="s">
        <v>197</v>
      </c>
      <c r="C980" s="5" t="s">
        <v>2008</v>
      </c>
      <c r="D980" s="5" t="s">
        <v>2083</v>
      </c>
      <c r="E980" s="5" t="s">
        <v>2084</v>
      </c>
      <c r="F980" s="6"/>
      <c r="G980" s="8">
        <v>9100.0</v>
      </c>
      <c r="H980" s="5" t="s">
        <v>22</v>
      </c>
      <c r="I980" s="7">
        <f t="shared" si="1"/>
        <v>13650</v>
      </c>
      <c r="J980" s="7">
        <f t="shared" si="7"/>
        <v>11830</v>
      </c>
      <c r="K980" s="7">
        <f t="shared" si="3"/>
        <v>11830</v>
      </c>
      <c r="L980" s="7">
        <f t="shared" si="4"/>
        <v>10920</v>
      </c>
      <c r="M980" s="7">
        <f t="shared" si="5"/>
        <v>10465</v>
      </c>
      <c r="N980" s="7">
        <f t="shared" si="6"/>
        <v>10010</v>
      </c>
    </row>
    <row r="981">
      <c r="A981" s="5" t="s">
        <v>2079</v>
      </c>
      <c r="B981" s="5" t="s">
        <v>197</v>
      </c>
      <c r="C981" s="5" t="s">
        <v>2008</v>
      </c>
      <c r="D981" s="5" t="s">
        <v>2085</v>
      </c>
      <c r="E981" s="5" t="s">
        <v>2086</v>
      </c>
      <c r="F981" s="6"/>
      <c r="G981" s="8">
        <v>12630.0</v>
      </c>
      <c r="H981" s="5" t="s">
        <v>22</v>
      </c>
      <c r="I981" s="7">
        <f t="shared" si="1"/>
        <v>18945</v>
      </c>
      <c r="J981" s="7">
        <f t="shared" si="7"/>
        <v>16419</v>
      </c>
      <c r="K981" s="7">
        <f t="shared" si="3"/>
        <v>16419</v>
      </c>
      <c r="L981" s="7">
        <f t="shared" si="4"/>
        <v>15156</v>
      </c>
      <c r="M981" s="7">
        <f t="shared" si="5"/>
        <v>14524.5</v>
      </c>
      <c r="N981" s="7">
        <f t="shared" si="6"/>
        <v>13893</v>
      </c>
    </row>
    <row r="982">
      <c r="A982" s="5" t="s">
        <v>2079</v>
      </c>
      <c r="B982" s="5" t="s">
        <v>197</v>
      </c>
      <c r="C982" s="5" t="s">
        <v>2008</v>
      </c>
      <c r="D982" s="5" t="s">
        <v>2087</v>
      </c>
      <c r="E982" s="5" t="s">
        <v>2088</v>
      </c>
      <c r="F982" s="6"/>
      <c r="G982" s="8">
        <v>16100.0</v>
      </c>
      <c r="H982" s="5" t="s">
        <v>22</v>
      </c>
      <c r="I982" s="7">
        <f t="shared" si="1"/>
        <v>24150</v>
      </c>
      <c r="J982" s="7">
        <f t="shared" si="7"/>
        <v>20930</v>
      </c>
      <c r="K982" s="7">
        <f t="shared" si="3"/>
        <v>20930</v>
      </c>
      <c r="L982" s="7">
        <f t="shared" si="4"/>
        <v>19320</v>
      </c>
      <c r="M982" s="7">
        <f t="shared" si="5"/>
        <v>18515</v>
      </c>
      <c r="N982" s="7">
        <f t="shared" si="6"/>
        <v>17710</v>
      </c>
    </row>
    <row r="983">
      <c r="A983" s="5" t="s">
        <v>2079</v>
      </c>
      <c r="B983" s="5" t="s">
        <v>197</v>
      </c>
      <c r="C983" s="5" t="s">
        <v>2008</v>
      </c>
      <c r="D983" s="5" t="s">
        <v>2089</v>
      </c>
      <c r="E983" s="5" t="s">
        <v>2090</v>
      </c>
      <c r="F983" s="6"/>
      <c r="G983" s="8">
        <v>17980.0</v>
      </c>
      <c r="H983" s="5" t="s">
        <v>22</v>
      </c>
      <c r="I983" s="7">
        <f t="shared" si="1"/>
        <v>26970</v>
      </c>
      <c r="J983" s="7">
        <f t="shared" si="7"/>
        <v>23374</v>
      </c>
      <c r="K983" s="7">
        <f t="shared" si="3"/>
        <v>23374</v>
      </c>
      <c r="L983" s="7">
        <f t="shared" si="4"/>
        <v>21576</v>
      </c>
      <c r="M983" s="7">
        <f t="shared" si="5"/>
        <v>20677</v>
      </c>
      <c r="N983" s="7">
        <f t="shared" si="6"/>
        <v>19778</v>
      </c>
    </row>
    <row r="984">
      <c r="A984" s="5" t="s">
        <v>2079</v>
      </c>
      <c r="B984" s="5" t="s">
        <v>197</v>
      </c>
      <c r="C984" s="5" t="s">
        <v>2008</v>
      </c>
      <c r="D984" s="5" t="s">
        <v>2091</v>
      </c>
      <c r="E984" s="5" t="s">
        <v>2092</v>
      </c>
      <c r="F984" s="6"/>
      <c r="G984" s="8">
        <v>19770.0</v>
      </c>
      <c r="H984" s="5" t="s">
        <v>22</v>
      </c>
      <c r="I984" s="7">
        <f t="shared" si="1"/>
        <v>29655</v>
      </c>
      <c r="J984" s="7">
        <f t="shared" si="7"/>
        <v>25701</v>
      </c>
      <c r="K984" s="7">
        <f t="shared" si="3"/>
        <v>25701</v>
      </c>
      <c r="L984" s="7">
        <f t="shared" si="4"/>
        <v>23724</v>
      </c>
      <c r="M984" s="7">
        <f t="shared" si="5"/>
        <v>22735.5</v>
      </c>
      <c r="N984" s="7">
        <f t="shared" si="6"/>
        <v>21747</v>
      </c>
    </row>
    <row r="985">
      <c r="A985" s="5" t="s">
        <v>2079</v>
      </c>
      <c r="B985" s="5" t="s">
        <v>197</v>
      </c>
      <c r="C985" s="5" t="s">
        <v>2093</v>
      </c>
      <c r="D985" s="5" t="s">
        <v>2094</v>
      </c>
      <c r="E985" s="5" t="s">
        <v>2095</v>
      </c>
      <c r="F985" s="6"/>
      <c r="G985" s="5">
        <v>600.0</v>
      </c>
      <c r="H985" s="5" t="s">
        <v>22</v>
      </c>
      <c r="I985" s="7">
        <f t="shared" si="1"/>
        <v>900</v>
      </c>
      <c r="J985" s="7">
        <f t="shared" si="7"/>
        <v>780</v>
      </c>
      <c r="K985" s="7">
        <f t="shared" si="3"/>
        <v>780</v>
      </c>
      <c r="L985" s="7">
        <f t="shared" si="4"/>
        <v>720</v>
      </c>
      <c r="M985" s="7">
        <f t="shared" si="5"/>
        <v>690</v>
      </c>
      <c r="N985" s="7">
        <f t="shared" si="6"/>
        <v>660</v>
      </c>
    </row>
    <row r="986">
      <c r="A986" s="5" t="s">
        <v>2079</v>
      </c>
      <c r="B986" s="5" t="s">
        <v>197</v>
      </c>
      <c r="C986" s="5" t="s">
        <v>2093</v>
      </c>
      <c r="D986" s="5" t="s">
        <v>2096</v>
      </c>
      <c r="E986" s="5" t="s">
        <v>2097</v>
      </c>
      <c r="F986" s="6"/>
      <c r="G986" s="5">
        <v>380.0</v>
      </c>
      <c r="H986" s="5" t="s">
        <v>22</v>
      </c>
      <c r="I986" s="7">
        <f t="shared" si="1"/>
        <v>570</v>
      </c>
      <c r="J986" s="7">
        <f t="shared" si="7"/>
        <v>494</v>
      </c>
      <c r="K986" s="7">
        <f t="shared" si="3"/>
        <v>494</v>
      </c>
      <c r="L986" s="7">
        <f t="shared" si="4"/>
        <v>456</v>
      </c>
      <c r="M986" s="7">
        <f t="shared" si="5"/>
        <v>437</v>
      </c>
      <c r="N986" s="7">
        <f t="shared" si="6"/>
        <v>418</v>
      </c>
    </row>
    <row r="987">
      <c r="A987" s="5" t="s">
        <v>2079</v>
      </c>
      <c r="B987" s="5" t="s">
        <v>197</v>
      </c>
      <c r="C987" s="5" t="s">
        <v>2093</v>
      </c>
      <c r="D987" s="5" t="s">
        <v>2098</v>
      </c>
      <c r="E987" s="5" t="s">
        <v>2099</v>
      </c>
      <c r="F987" s="6"/>
      <c r="G987" s="5">
        <v>300.0</v>
      </c>
      <c r="H987" s="5" t="s">
        <v>22</v>
      </c>
      <c r="I987" s="7">
        <f t="shared" si="1"/>
        <v>450</v>
      </c>
      <c r="J987" s="7">
        <f t="shared" si="7"/>
        <v>390</v>
      </c>
      <c r="K987" s="7">
        <f t="shared" si="3"/>
        <v>390</v>
      </c>
      <c r="L987" s="7">
        <f t="shared" si="4"/>
        <v>360</v>
      </c>
      <c r="M987" s="7">
        <f t="shared" si="5"/>
        <v>345</v>
      </c>
      <c r="N987" s="7">
        <f t="shared" si="6"/>
        <v>330</v>
      </c>
    </row>
    <row r="988">
      <c r="A988" s="5" t="s">
        <v>2079</v>
      </c>
      <c r="B988" s="5" t="s">
        <v>197</v>
      </c>
      <c r="C988" s="5" t="s">
        <v>2093</v>
      </c>
      <c r="D988" s="5" t="s">
        <v>2100</v>
      </c>
      <c r="E988" s="5" t="s">
        <v>2101</v>
      </c>
      <c r="F988" s="6"/>
      <c r="G988" s="5">
        <v>450.0</v>
      </c>
      <c r="H988" s="5" t="s">
        <v>22</v>
      </c>
      <c r="I988" s="7">
        <f t="shared" si="1"/>
        <v>675</v>
      </c>
      <c r="J988" s="7">
        <f t="shared" si="7"/>
        <v>585</v>
      </c>
      <c r="K988" s="7">
        <f t="shared" si="3"/>
        <v>585</v>
      </c>
      <c r="L988" s="7">
        <f t="shared" si="4"/>
        <v>540</v>
      </c>
      <c r="M988" s="7">
        <f t="shared" si="5"/>
        <v>517.5</v>
      </c>
      <c r="N988" s="7">
        <f t="shared" si="6"/>
        <v>495</v>
      </c>
    </row>
    <row r="989">
      <c r="A989" s="5" t="s">
        <v>2079</v>
      </c>
      <c r="B989" s="5" t="s">
        <v>197</v>
      </c>
      <c r="C989" s="5" t="s">
        <v>2093</v>
      </c>
      <c r="D989" s="5" t="s">
        <v>2102</v>
      </c>
      <c r="E989" s="5" t="s">
        <v>2103</v>
      </c>
      <c r="F989" s="6"/>
      <c r="G989" s="5">
        <v>300.0</v>
      </c>
      <c r="H989" s="5" t="s">
        <v>22</v>
      </c>
      <c r="I989" s="7">
        <f t="shared" si="1"/>
        <v>450</v>
      </c>
      <c r="J989" s="7">
        <f t="shared" si="7"/>
        <v>390</v>
      </c>
      <c r="K989" s="7">
        <f t="shared" si="3"/>
        <v>390</v>
      </c>
      <c r="L989" s="7">
        <f t="shared" si="4"/>
        <v>360</v>
      </c>
      <c r="M989" s="7">
        <f t="shared" si="5"/>
        <v>345</v>
      </c>
      <c r="N989" s="7">
        <f t="shared" si="6"/>
        <v>330</v>
      </c>
    </row>
    <row r="990">
      <c r="A990" s="5" t="s">
        <v>2079</v>
      </c>
      <c r="B990" s="5" t="s">
        <v>197</v>
      </c>
      <c r="C990" s="5" t="s">
        <v>2093</v>
      </c>
      <c r="D990" s="5" t="s">
        <v>2104</v>
      </c>
      <c r="E990" s="5" t="s">
        <v>2105</v>
      </c>
      <c r="F990" s="6"/>
      <c r="G990" s="5">
        <v>600.0</v>
      </c>
      <c r="H990" s="5" t="s">
        <v>22</v>
      </c>
      <c r="I990" s="7">
        <f t="shared" si="1"/>
        <v>900</v>
      </c>
      <c r="J990" s="7">
        <f t="shared" si="7"/>
        <v>780</v>
      </c>
      <c r="K990" s="7">
        <f t="shared" si="3"/>
        <v>780</v>
      </c>
      <c r="L990" s="7">
        <f t="shared" si="4"/>
        <v>720</v>
      </c>
      <c r="M990" s="7">
        <f t="shared" si="5"/>
        <v>690</v>
      </c>
      <c r="N990" s="7">
        <f t="shared" si="6"/>
        <v>660</v>
      </c>
    </row>
    <row r="991">
      <c r="A991" s="5" t="s">
        <v>2079</v>
      </c>
      <c r="B991" s="5" t="s">
        <v>197</v>
      </c>
      <c r="C991" s="5" t="s">
        <v>2093</v>
      </c>
      <c r="D991" s="5" t="s">
        <v>2106</v>
      </c>
      <c r="E991" s="5" t="s">
        <v>2107</v>
      </c>
      <c r="F991" s="6"/>
      <c r="G991" s="5">
        <v>690.0</v>
      </c>
      <c r="H991" s="5" t="s">
        <v>22</v>
      </c>
      <c r="I991" s="7">
        <f t="shared" si="1"/>
        <v>1035</v>
      </c>
      <c r="J991" s="7">
        <f t="shared" si="7"/>
        <v>897</v>
      </c>
      <c r="K991" s="7">
        <f t="shared" si="3"/>
        <v>897</v>
      </c>
      <c r="L991" s="7">
        <f t="shared" si="4"/>
        <v>828</v>
      </c>
      <c r="M991" s="7">
        <f t="shared" si="5"/>
        <v>793.5</v>
      </c>
      <c r="N991" s="7">
        <f t="shared" si="6"/>
        <v>759</v>
      </c>
    </row>
    <row r="992">
      <c r="A992" s="5" t="s">
        <v>2079</v>
      </c>
      <c r="B992" s="5" t="s">
        <v>197</v>
      </c>
      <c r="C992" s="5" t="s">
        <v>2108</v>
      </c>
      <c r="D992" s="5" t="s">
        <v>2109</v>
      </c>
      <c r="E992" s="5" t="s">
        <v>2110</v>
      </c>
      <c r="F992" s="6"/>
      <c r="G992" s="5">
        <v>360.0</v>
      </c>
      <c r="H992" s="5" t="s">
        <v>22</v>
      </c>
      <c r="I992" s="7">
        <f t="shared" si="1"/>
        <v>540</v>
      </c>
      <c r="J992" s="7">
        <f t="shared" si="7"/>
        <v>468</v>
      </c>
      <c r="K992" s="7">
        <f t="shared" si="3"/>
        <v>468</v>
      </c>
      <c r="L992" s="7">
        <f t="shared" si="4"/>
        <v>432</v>
      </c>
      <c r="M992" s="7">
        <f t="shared" si="5"/>
        <v>414</v>
      </c>
      <c r="N992" s="7">
        <f t="shared" si="6"/>
        <v>396</v>
      </c>
    </row>
    <row r="993">
      <c r="A993" s="5" t="s">
        <v>2079</v>
      </c>
      <c r="B993" s="5" t="s">
        <v>36</v>
      </c>
      <c r="C993" s="5" t="s">
        <v>2008</v>
      </c>
      <c r="D993" s="5" t="s">
        <v>2111</v>
      </c>
      <c r="E993" s="5" t="s">
        <v>2112</v>
      </c>
      <c r="F993" s="6"/>
      <c r="G993" s="8">
        <v>34595.0</v>
      </c>
      <c r="H993" s="5" t="s">
        <v>22</v>
      </c>
      <c r="I993" s="7">
        <f t="shared" si="1"/>
        <v>51892.5</v>
      </c>
      <c r="J993" s="7">
        <f t="shared" si="7"/>
        <v>44973.5</v>
      </c>
      <c r="K993" s="7">
        <f t="shared" si="3"/>
        <v>44973.5</v>
      </c>
      <c r="L993" s="7">
        <f t="shared" si="4"/>
        <v>41514</v>
      </c>
      <c r="M993" s="7">
        <f t="shared" si="5"/>
        <v>39784.25</v>
      </c>
      <c r="N993" s="7">
        <f t="shared" si="6"/>
        <v>38054.5</v>
      </c>
    </row>
    <row r="994">
      <c r="A994" s="5" t="s">
        <v>2079</v>
      </c>
      <c r="B994" s="5" t="s">
        <v>36</v>
      </c>
      <c r="C994" s="5" t="s">
        <v>2093</v>
      </c>
      <c r="D994" s="5" t="s">
        <v>2113</v>
      </c>
      <c r="E994" s="5" t="s">
        <v>2114</v>
      </c>
      <c r="F994" s="6"/>
      <c r="G994" s="8">
        <v>1512.0</v>
      </c>
      <c r="H994" s="5" t="s">
        <v>22</v>
      </c>
      <c r="I994" s="7">
        <f t="shared" si="1"/>
        <v>2268</v>
      </c>
      <c r="J994" s="7">
        <f t="shared" si="7"/>
        <v>1965.6</v>
      </c>
      <c r="K994" s="7">
        <f t="shared" si="3"/>
        <v>1965.6</v>
      </c>
      <c r="L994" s="7">
        <f t="shared" si="4"/>
        <v>1814.4</v>
      </c>
      <c r="M994" s="7">
        <f t="shared" si="5"/>
        <v>1738.8</v>
      </c>
      <c r="N994" s="7">
        <f t="shared" si="6"/>
        <v>1663.2</v>
      </c>
    </row>
    <row r="995">
      <c r="A995" s="5" t="s">
        <v>2079</v>
      </c>
      <c r="B995" s="5" t="s">
        <v>36</v>
      </c>
      <c r="C995" s="5" t="s">
        <v>2093</v>
      </c>
      <c r="D995" s="5" t="s">
        <v>2115</v>
      </c>
      <c r="E995" s="5" t="s">
        <v>2116</v>
      </c>
      <c r="F995" s="6"/>
      <c r="G995" s="8">
        <v>1512.0</v>
      </c>
      <c r="H995" s="5" t="s">
        <v>22</v>
      </c>
      <c r="I995" s="7">
        <f t="shared" si="1"/>
        <v>2268</v>
      </c>
      <c r="J995" s="7">
        <f t="shared" si="7"/>
        <v>1965.6</v>
      </c>
      <c r="K995" s="7">
        <f t="shared" si="3"/>
        <v>1965.6</v>
      </c>
      <c r="L995" s="7">
        <f t="shared" si="4"/>
        <v>1814.4</v>
      </c>
      <c r="M995" s="7">
        <f t="shared" si="5"/>
        <v>1738.8</v>
      </c>
      <c r="N995" s="7">
        <f t="shared" si="6"/>
        <v>1663.2</v>
      </c>
    </row>
    <row r="996">
      <c r="A996" s="5" t="s">
        <v>2079</v>
      </c>
      <c r="B996" s="5" t="s">
        <v>36</v>
      </c>
      <c r="C996" s="5" t="s">
        <v>2093</v>
      </c>
      <c r="D996" s="5" t="s">
        <v>2117</v>
      </c>
      <c r="E996" s="5" t="s">
        <v>2118</v>
      </c>
      <c r="F996" s="6"/>
      <c r="G996" s="8">
        <v>1570.0</v>
      </c>
      <c r="H996" s="5" t="s">
        <v>22</v>
      </c>
      <c r="I996" s="7">
        <f t="shared" si="1"/>
        <v>2355</v>
      </c>
      <c r="J996" s="7">
        <f t="shared" si="7"/>
        <v>2041</v>
      </c>
      <c r="K996" s="7">
        <f t="shared" si="3"/>
        <v>2041</v>
      </c>
      <c r="L996" s="7">
        <f t="shared" si="4"/>
        <v>1884</v>
      </c>
      <c r="M996" s="7">
        <f t="shared" si="5"/>
        <v>1805.5</v>
      </c>
      <c r="N996" s="7">
        <f t="shared" si="6"/>
        <v>1727</v>
      </c>
    </row>
    <row r="997">
      <c r="A997" s="5" t="s">
        <v>2079</v>
      </c>
      <c r="B997" s="5" t="s">
        <v>36</v>
      </c>
      <c r="C997" s="5" t="s">
        <v>2093</v>
      </c>
      <c r="D997" s="5" t="s">
        <v>2119</v>
      </c>
      <c r="E997" s="5" t="s">
        <v>2120</v>
      </c>
      <c r="F997" s="6"/>
      <c r="G997" s="8">
        <v>1570.0</v>
      </c>
      <c r="H997" s="5" t="s">
        <v>22</v>
      </c>
      <c r="I997" s="7">
        <f t="shared" si="1"/>
        <v>2355</v>
      </c>
      <c r="J997" s="7">
        <f t="shared" si="7"/>
        <v>2041</v>
      </c>
      <c r="K997" s="7">
        <f t="shared" si="3"/>
        <v>2041</v>
      </c>
      <c r="L997" s="7">
        <f t="shared" si="4"/>
        <v>1884</v>
      </c>
      <c r="M997" s="7">
        <f t="shared" si="5"/>
        <v>1805.5</v>
      </c>
      <c r="N997" s="7">
        <f t="shared" si="6"/>
        <v>1727</v>
      </c>
    </row>
    <row r="998">
      <c r="A998" s="5" t="s">
        <v>2079</v>
      </c>
      <c r="B998" s="5" t="s">
        <v>36</v>
      </c>
      <c r="C998" s="5" t="s">
        <v>2093</v>
      </c>
      <c r="D998" s="5" t="s">
        <v>2121</v>
      </c>
      <c r="E998" s="5" t="s">
        <v>2122</v>
      </c>
      <c r="F998" s="6"/>
      <c r="G998" s="8">
        <v>1600.0</v>
      </c>
      <c r="H998" s="5" t="s">
        <v>22</v>
      </c>
      <c r="I998" s="7">
        <f t="shared" si="1"/>
        <v>2400</v>
      </c>
      <c r="J998" s="7">
        <f t="shared" si="7"/>
        <v>2080</v>
      </c>
      <c r="K998" s="7">
        <f t="shared" si="3"/>
        <v>2080</v>
      </c>
      <c r="L998" s="7">
        <f t="shared" si="4"/>
        <v>1920</v>
      </c>
      <c r="M998" s="7">
        <f t="shared" si="5"/>
        <v>1840</v>
      </c>
      <c r="N998" s="7">
        <f t="shared" si="6"/>
        <v>1760</v>
      </c>
    </row>
    <row r="999">
      <c r="A999" s="5" t="s">
        <v>2123</v>
      </c>
      <c r="B999" s="5" t="s">
        <v>1455</v>
      </c>
      <c r="C999" s="5" t="s">
        <v>2124</v>
      </c>
      <c r="D999" s="5" t="s">
        <v>2125</v>
      </c>
      <c r="E999" s="5" t="s">
        <v>2126</v>
      </c>
      <c r="F999" s="6"/>
      <c r="G999" s="8">
        <v>35009.0</v>
      </c>
      <c r="H999" s="5" t="s">
        <v>22</v>
      </c>
      <c r="I999" s="7">
        <f t="shared" si="1"/>
        <v>52513.5</v>
      </c>
      <c r="J999" s="7">
        <f t="shared" si="7"/>
        <v>45511.7</v>
      </c>
      <c r="K999" s="7">
        <f t="shared" si="3"/>
        <v>45511.7</v>
      </c>
      <c r="L999" s="7">
        <f t="shared" si="4"/>
        <v>42010.8</v>
      </c>
      <c r="M999" s="7">
        <f t="shared" si="5"/>
        <v>40260.35</v>
      </c>
      <c r="N999" s="7">
        <f t="shared" si="6"/>
        <v>38509.9</v>
      </c>
    </row>
    <row r="1000">
      <c r="A1000" s="5" t="s">
        <v>2123</v>
      </c>
      <c r="B1000" s="5" t="s">
        <v>1455</v>
      </c>
      <c r="C1000" s="5" t="s">
        <v>2124</v>
      </c>
      <c r="D1000" s="5" t="s">
        <v>2127</v>
      </c>
      <c r="E1000" s="5" t="s">
        <v>2128</v>
      </c>
      <c r="F1000" s="6"/>
      <c r="G1000" s="8">
        <v>65103.0</v>
      </c>
      <c r="H1000" s="5" t="s">
        <v>22</v>
      </c>
      <c r="I1000" s="7">
        <f t="shared" si="1"/>
        <v>97654.5</v>
      </c>
      <c r="J1000" s="7">
        <f t="shared" si="7"/>
        <v>84633.9</v>
      </c>
      <c r="K1000" s="7">
        <f t="shared" si="3"/>
        <v>84633.9</v>
      </c>
      <c r="L1000" s="7">
        <f t="shared" si="4"/>
        <v>78123.6</v>
      </c>
      <c r="M1000" s="7">
        <f t="shared" si="5"/>
        <v>74868.45</v>
      </c>
      <c r="N1000" s="7">
        <f t="shared" si="6"/>
        <v>71613.3</v>
      </c>
    </row>
    <row r="1001">
      <c r="A1001" s="5" t="s">
        <v>2123</v>
      </c>
      <c r="B1001" s="5" t="s">
        <v>1455</v>
      </c>
      <c r="C1001" s="5" t="s">
        <v>2124</v>
      </c>
      <c r="D1001" s="5" t="s">
        <v>2129</v>
      </c>
      <c r="E1001" s="5" t="s">
        <v>2130</v>
      </c>
      <c r="F1001" s="6"/>
      <c r="G1001" s="8">
        <v>9571.0</v>
      </c>
      <c r="H1001" s="5" t="s">
        <v>22</v>
      </c>
      <c r="I1001" s="7">
        <f t="shared" si="1"/>
        <v>14356.5</v>
      </c>
      <c r="J1001" s="7">
        <f t="shared" si="7"/>
        <v>12442.3</v>
      </c>
      <c r="K1001" s="7">
        <f t="shared" si="3"/>
        <v>12442.3</v>
      </c>
      <c r="L1001" s="7">
        <f t="shared" si="4"/>
        <v>11485.2</v>
      </c>
      <c r="M1001" s="7">
        <f t="shared" si="5"/>
        <v>11006.65</v>
      </c>
      <c r="N1001" s="7">
        <f t="shared" si="6"/>
        <v>10528.1</v>
      </c>
    </row>
    <row r="1002">
      <c r="A1002" s="5" t="s">
        <v>2123</v>
      </c>
      <c r="B1002" s="5" t="s">
        <v>1455</v>
      </c>
      <c r="C1002" s="5" t="s">
        <v>2124</v>
      </c>
      <c r="D1002" s="5" t="s">
        <v>2131</v>
      </c>
      <c r="E1002" s="5" t="s">
        <v>2132</v>
      </c>
      <c r="F1002" s="6"/>
      <c r="G1002" s="8">
        <v>121687.0</v>
      </c>
      <c r="H1002" s="5" t="s">
        <v>22</v>
      </c>
      <c r="I1002" s="7">
        <f t="shared" si="1"/>
        <v>182530.5</v>
      </c>
      <c r="J1002" s="7">
        <f t="shared" si="7"/>
        <v>158193.1</v>
      </c>
      <c r="K1002" s="7">
        <f t="shared" si="3"/>
        <v>158193.1</v>
      </c>
      <c r="L1002" s="7">
        <f t="shared" si="4"/>
        <v>146024.4</v>
      </c>
      <c r="M1002" s="7">
        <f t="shared" si="5"/>
        <v>139940.05</v>
      </c>
      <c r="N1002" s="7">
        <f t="shared" si="6"/>
        <v>133855.7</v>
      </c>
    </row>
    <row r="1003">
      <c r="A1003" s="5" t="s">
        <v>2123</v>
      </c>
      <c r="B1003" s="5" t="s">
        <v>1455</v>
      </c>
      <c r="C1003" s="5" t="s">
        <v>2124</v>
      </c>
      <c r="D1003" s="5" t="s">
        <v>2133</v>
      </c>
      <c r="E1003" s="5" t="s">
        <v>2134</v>
      </c>
      <c r="F1003" s="6"/>
      <c r="G1003" s="8">
        <v>43914.0</v>
      </c>
      <c r="H1003" s="5" t="s">
        <v>22</v>
      </c>
      <c r="I1003" s="7">
        <f t="shared" si="1"/>
        <v>65871</v>
      </c>
      <c r="J1003" s="7">
        <f t="shared" si="7"/>
        <v>57088.2</v>
      </c>
      <c r="K1003" s="7">
        <f t="shared" si="3"/>
        <v>57088.2</v>
      </c>
      <c r="L1003" s="7">
        <f t="shared" si="4"/>
        <v>52696.8</v>
      </c>
      <c r="M1003" s="7">
        <f t="shared" si="5"/>
        <v>50501.1</v>
      </c>
      <c r="N1003" s="7">
        <f t="shared" si="6"/>
        <v>48305.4</v>
      </c>
    </row>
    <row r="1004">
      <c r="A1004" s="5" t="s">
        <v>2123</v>
      </c>
      <c r="B1004" s="5" t="s">
        <v>1455</v>
      </c>
      <c r="C1004" s="5" t="s">
        <v>2124</v>
      </c>
      <c r="D1004" s="5" t="s">
        <v>2135</v>
      </c>
      <c r="E1004" s="5" t="s">
        <v>2136</v>
      </c>
      <c r="F1004" s="6"/>
      <c r="G1004" s="8">
        <v>44082.0</v>
      </c>
      <c r="H1004" s="5" t="s">
        <v>22</v>
      </c>
      <c r="I1004" s="7">
        <f t="shared" si="1"/>
        <v>66123</v>
      </c>
      <c r="J1004" s="7">
        <f t="shared" si="7"/>
        <v>57306.6</v>
      </c>
      <c r="K1004" s="7">
        <f t="shared" si="3"/>
        <v>57306.6</v>
      </c>
      <c r="L1004" s="7">
        <f t="shared" si="4"/>
        <v>52898.4</v>
      </c>
      <c r="M1004" s="7">
        <f t="shared" si="5"/>
        <v>50694.3</v>
      </c>
      <c r="N1004" s="7">
        <f t="shared" si="6"/>
        <v>48490.2</v>
      </c>
    </row>
    <row r="1005">
      <c r="A1005" s="5" t="s">
        <v>2123</v>
      </c>
      <c r="B1005" s="5" t="s">
        <v>1455</v>
      </c>
      <c r="C1005" s="5" t="s">
        <v>2124</v>
      </c>
      <c r="D1005" s="5" t="s">
        <v>2137</v>
      </c>
      <c r="E1005" s="5" t="s">
        <v>2138</v>
      </c>
      <c r="F1005" s="6"/>
      <c r="G1005" s="8">
        <v>54473.0</v>
      </c>
      <c r="H1005" s="5" t="s">
        <v>22</v>
      </c>
      <c r="I1005" s="7">
        <f t="shared" si="1"/>
        <v>81709.5</v>
      </c>
      <c r="J1005" s="7">
        <f t="shared" si="7"/>
        <v>70814.9</v>
      </c>
      <c r="K1005" s="7">
        <f t="shared" si="3"/>
        <v>70814.9</v>
      </c>
      <c r="L1005" s="7">
        <f t="shared" si="4"/>
        <v>65367.6</v>
      </c>
      <c r="M1005" s="7">
        <f t="shared" si="5"/>
        <v>62643.95</v>
      </c>
      <c r="N1005" s="7">
        <f t="shared" si="6"/>
        <v>59920.3</v>
      </c>
    </row>
    <row r="1006">
      <c r="A1006" s="5" t="s">
        <v>2123</v>
      </c>
      <c r="B1006" s="5" t="s">
        <v>1455</v>
      </c>
      <c r="C1006" s="5" t="s">
        <v>2124</v>
      </c>
      <c r="D1006" s="5" t="s">
        <v>2139</v>
      </c>
      <c r="E1006" s="5" t="s">
        <v>2140</v>
      </c>
      <c r="F1006" s="6"/>
      <c r="G1006" s="8">
        <v>64865.0</v>
      </c>
      <c r="H1006" s="5" t="s">
        <v>22</v>
      </c>
      <c r="I1006" s="7">
        <f t="shared" si="1"/>
        <v>97297.5</v>
      </c>
      <c r="J1006" s="7">
        <f t="shared" si="7"/>
        <v>84324.5</v>
      </c>
      <c r="K1006" s="7">
        <f t="shared" si="3"/>
        <v>84324.5</v>
      </c>
      <c r="L1006" s="7">
        <f t="shared" si="4"/>
        <v>77838</v>
      </c>
      <c r="M1006" s="7">
        <f t="shared" si="5"/>
        <v>74594.75</v>
      </c>
      <c r="N1006" s="7">
        <f t="shared" si="6"/>
        <v>71351.5</v>
      </c>
    </row>
    <row r="1007">
      <c r="A1007" s="5" t="s">
        <v>2123</v>
      </c>
      <c r="B1007" s="5" t="s">
        <v>1455</v>
      </c>
      <c r="C1007" s="5" t="s">
        <v>2124</v>
      </c>
      <c r="D1007" s="5" t="s">
        <v>2141</v>
      </c>
      <c r="E1007" s="5" t="s">
        <v>2142</v>
      </c>
      <c r="F1007" s="6"/>
      <c r="G1007" s="8">
        <v>75257.0</v>
      </c>
      <c r="H1007" s="5" t="s">
        <v>22</v>
      </c>
      <c r="I1007" s="7">
        <f t="shared" si="1"/>
        <v>112885.5</v>
      </c>
      <c r="J1007" s="7">
        <f t="shared" si="7"/>
        <v>97834.1</v>
      </c>
      <c r="K1007" s="7">
        <f t="shared" si="3"/>
        <v>97834.1</v>
      </c>
      <c r="L1007" s="7">
        <f t="shared" si="4"/>
        <v>90308.4</v>
      </c>
      <c r="M1007" s="7">
        <f t="shared" si="5"/>
        <v>86545.55</v>
      </c>
      <c r="N1007" s="7">
        <f t="shared" si="6"/>
        <v>82782.7</v>
      </c>
    </row>
    <row r="1008">
      <c r="A1008" s="5" t="s">
        <v>2123</v>
      </c>
      <c r="B1008" s="5" t="s">
        <v>1455</v>
      </c>
      <c r="C1008" s="5" t="s">
        <v>2124</v>
      </c>
      <c r="D1008" s="5" t="s">
        <v>2143</v>
      </c>
      <c r="E1008" s="5" t="s">
        <v>2144</v>
      </c>
      <c r="F1008" s="6"/>
      <c r="G1008" s="8">
        <v>85649.0</v>
      </c>
      <c r="H1008" s="5" t="s">
        <v>22</v>
      </c>
      <c r="I1008" s="7">
        <f t="shared" si="1"/>
        <v>128473.5</v>
      </c>
      <c r="J1008" s="7">
        <f t="shared" si="7"/>
        <v>111343.7</v>
      </c>
      <c r="K1008" s="7">
        <f t="shared" si="3"/>
        <v>111343.7</v>
      </c>
      <c r="L1008" s="7">
        <f t="shared" si="4"/>
        <v>102778.8</v>
      </c>
      <c r="M1008" s="7">
        <f t="shared" si="5"/>
        <v>98496.35</v>
      </c>
      <c r="N1008" s="7">
        <f t="shared" si="6"/>
        <v>94213.9</v>
      </c>
    </row>
    <row r="1009">
      <c r="A1009" s="5" t="s">
        <v>2123</v>
      </c>
      <c r="B1009" s="5" t="s">
        <v>1455</v>
      </c>
      <c r="C1009" s="5" t="s">
        <v>2124</v>
      </c>
      <c r="D1009" s="5" t="s">
        <v>2145</v>
      </c>
      <c r="E1009" s="6"/>
      <c r="F1009" s="6"/>
      <c r="G1009" s="8">
        <v>4963.0</v>
      </c>
      <c r="H1009" s="5" t="s">
        <v>22</v>
      </c>
      <c r="I1009" s="7">
        <f t="shared" si="1"/>
        <v>7444.5</v>
      </c>
      <c r="J1009" s="7">
        <f t="shared" si="7"/>
        <v>6451.9</v>
      </c>
      <c r="K1009" s="7">
        <f t="shared" si="3"/>
        <v>6451.9</v>
      </c>
      <c r="L1009" s="7">
        <f t="shared" si="4"/>
        <v>5955.6</v>
      </c>
      <c r="M1009" s="7">
        <f t="shared" si="5"/>
        <v>5707.45</v>
      </c>
      <c r="N1009" s="7">
        <f t="shared" si="6"/>
        <v>5459.3</v>
      </c>
    </row>
    <row r="1010">
      <c r="A1010" s="5" t="s">
        <v>2123</v>
      </c>
      <c r="B1010" s="5" t="s">
        <v>1455</v>
      </c>
      <c r="C1010" s="5" t="s">
        <v>2124</v>
      </c>
      <c r="D1010" s="5" t="s">
        <v>2146</v>
      </c>
      <c r="E1010" s="5" t="s">
        <v>2147</v>
      </c>
      <c r="F1010" s="6"/>
      <c r="G1010" s="8">
        <v>11978.0</v>
      </c>
      <c r="H1010" s="5" t="s">
        <v>22</v>
      </c>
      <c r="I1010" s="7">
        <f t="shared" si="1"/>
        <v>17967</v>
      </c>
      <c r="J1010" s="7">
        <f t="shared" si="7"/>
        <v>15571.4</v>
      </c>
      <c r="K1010" s="7">
        <f t="shared" si="3"/>
        <v>15571.4</v>
      </c>
      <c r="L1010" s="7">
        <f t="shared" si="4"/>
        <v>14373.6</v>
      </c>
      <c r="M1010" s="7">
        <f t="shared" si="5"/>
        <v>13774.7</v>
      </c>
      <c r="N1010" s="7">
        <f t="shared" si="6"/>
        <v>13175.8</v>
      </c>
    </row>
    <row r="1011">
      <c r="A1011" s="5" t="s">
        <v>2123</v>
      </c>
      <c r="B1011" s="5" t="s">
        <v>1455</v>
      </c>
      <c r="C1011" s="5" t="s">
        <v>2124</v>
      </c>
      <c r="D1011" s="5" t="s">
        <v>2148</v>
      </c>
      <c r="E1011" s="5" t="s">
        <v>2149</v>
      </c>
      <c r="F1011" s="6"/>
      <c r="G1011" s="8">
        <v>7550.0</v>
      </c>
      <c r="H1011" s="5" t="s">
        <v>22</v>
      </c>
      <c r="I1011" s="7">
        <f t="shared" si="1"/>
        <v>11325</v>
      </c>
      <c r="J1011" s="7">
        <f t="shared" si="7"/>
        <v>9815</v>
      </c>
      <c r="K1011" s="7">
        <f t="shared" si="3"/>
        <v>9815</v>
      </c>
      <c r="L1011" s="7">
        <f t="shared" si="4"/>
        <v>9060</v>
      </c>
      <c r="M1011" s="7">
        <f t="shared" si="5"/>
        <v>8682.5</v>
      </c>
      <c r="N1011" s="7">
        <f t="shared" si="6"/>
        <v>8305</v>
      </c>
    </row>
    <row r="1012">
      <c r="A1012" s="5" t="s">
        <v>2123</v>
      </c>
      <c r="B1012" s="5" t="s">
        <v>1455</v>
      </c>
      <c r="C1012" s="5" t="s">
        <v>2124</v>
      </c>
      <c r="D1012" s="5" t="s">
        <v>2150</v>
      </c>
      <c r="E1012" s="5" t="s">
        <v>2151</v>
      </c>
      <c r="F1012" s="6"/>
      <c r="G1012" s="8">
        <v>14618.0</v>
      </c>
      <c r="H1012" s="5" t="s">
        <v>22</v>
      </c>
      <c r="I1012" s="7">
        <f t="shared" si="1"/>
        <v>21927</v>
      </c>
      <c r="J1012" s="7">
        <f t="shared" si="7"/>
        <v>19003.4</v>
      </c>
      <c r="K1012" s="7">
        <f t="shared" si="3"/>
        <v>19003.4</v>
      </c>
      <c r="L1012" s="7">
        <f t="shared" si="4"/>
        <v>17541.6</v>
      </c>
      <c r="M1012" s="7">
        <f t="shared" si="5"/>
        <v>16810.7</v>
      </c>
      <c r="N1012" s="7">
        <f t="shared" si="6"/>
        <v>16079.8</v>
      </c>
    </row>
    <row r="1013">
      <c r="A1013" s="5" t="s">
        <v>2123</v>
      </c>
      <c r="B1013" s="5" t="s">
        <v>1455</v>
      </c>
      <c r="C1013" s="5" t="s">
        <v>2124</v>
      </c>
      <c r="D1013" s="5" t="s">
        <v>2152</v>
      </c>
      <c r="E1013" s="5" t="s">
        <v>2153</v>
      </c>
      <c r="F1013" s="6"/>
      <c r="G1013" s="8">
        <v>13650.0</v>
      </c>
      <c r="H1013" s="5" t="s">
        <v>22</v>
      </c>
      <c r="I1013" s="7">
        <f t="shared" si="1"/>
        <v>20475</v>
      </c>
      <c r="J1013" s="7">
        <f t="shared" si="7"/>
        <v>17745</v>
      </c>
      <c r="K1013" s="7">
        <f t="shared" si="3"/>
        <v>17745</v>
      </c>
      <c r="L1013" s="7">
        <f t="shared" si="4"/>
        <v>16380</v>
      </c>
      <c r="M1013" s="7">
        <f t="shared" si="5"/>
        <v>15697.5</v>
      </c>
      <c r="N1013" s="7">
        <f t="shared" si="6"/>
        <v>15015</v>
      </c>
    </row>
    <row r="1014">
      <c r="A1014" s="5" t="s">
        <v>2123</v>
      </c>
      <c r="B1014" s="5" t="s">
        <v>1455</v>
      </c>
      <c r="C1014" s="5" t="s">
        <v>2154</v>
      </c>
      <c r="D1014" s="5" t="s">
        <v>2155</v>
      </c>
      <c r="E1014" s="5" t="s">
        <v>2156</v>
      </c>
      <c r="F1014" s="6"/>
      <c r="G1014" s="8">
        <v>1365.0</v>
      </c>
      <c r="H1014" s="5" t="s">
        <v>22</v>
      </c>
      <c r="I1014" s="7">
        <f t="shared" si="1"/>
        <v>2047.5</v>
      </c>
      <c r="J1014" s="7">
        <f t="shared" si="7"/>
        <v>1774.5</v>
      </c>
      <c r="K1014" s="7">
        <f t="shared" si="3"/>
        <v>1774.5</v>
      </c>
      <c r="L1014" s="7">
        <f t="shared" si="4"/>
        <v>1638</v>
      </c>
      <c r="M1014" s="7">
        <f t="shared" si="5"/>
        <v>1569.75</v>
      </c>
      <c r="N1014" s="7">
        <f t="shared" si="6"/>
        <v>1501.5</v>
      </c>
    </row>
    <row r="1015">
      <c r="A1015" s="5" t="s">
        <v>2123</v>
      </c>
      <c r="B1015" s="5" t="s">
        <v>1455</v>
      </c>
      <c r="C1015" s="5" t="s">
        <v>2154</v>
      </c>
      <c r="D1015" s="5" t="s">
        <v>2157</v>
      </c>
      <c r="E1015" s="5" t="s">
        <v>2158</v>
      </c>
      <c r="F1015" s="6"/>
      <c r="G1015" s="8">
        <v>1540.0</v>
      </c>
      <c r="H1015" s="5" t="s">
        <v>22</v>
      </c>
      <c r="I1015" s="7">
        <f t="shared" si="1"/>
        <v>2310</v>
      </c>
      <c r="J1015" s="7">
        <f t="shared" si="7"/>
        <v>2002</v>
      </c>
      <c r="K1015" s="7">
        <f t="shared" si="3"/>
        <v>2002</v>
      </c>
      <c r="L1015" s="7">
        <f t="shared" si="4"/>
        <v>1848</v>
      </c>
      <c r="M1015" s="7">
        <f t="shared" si="5"/>
        <v>1771</v>
      </c>
      <c r="N1015" s="7">
        <f t="shared" si="6"/>
        <v>1694</v>
      </c>
    </row>
    <row r="1016">
      <c r="A1016" s="5" t="s">
        <v>2123</v>
      </c>
      <c r="B1016" s="5" t="s">
        <v>1455</v>
      </c>
      <c r="C1016" s="5" t="s">
        <v>2154</v>
      </c>
      <c r="D1016" s="5" t="s">
        <v>2159</v>
      </c>
      <c r="E1016" s="5" t="s">
        <v>2160</v>
      </c>
      <c r="F1016" s="6"/>
      <c r="G1016" s="8">
        <v>2540.0</v>
      </c>
      <c r="H1016" s="5" t="s">
        <v>22</v>
      </c>
      <c r="I1016" s="7">
        <f t="shared" si="1"/>
        <v>3810</v>
      </c>
      <c r="J1016" s="7">
        <f t="shared" si="7"/>
        <v>3302</v>
      </c>
      <c r="K1016" s="7">
        <f t="shared" si="3"/>
        <v>3302</v>
      </c>
      <c r="L1016" s="7">
        <f t="shared" si="4"/>
        <v>3048</v>
      </c>
      <c r="M1016" s="7">
        <f t="shared" si="5"/>
        <v>2921</v>
      </c>
      <c r="N1016" s="7">
        <f t="shared" si="6"/>
        <v>2794</v>
      </c>
    </row>
    <row r="1017">
      <c r="A1017" s="5" t="s">
        <v>2123</v>
      </c>
      <c r="B1017" s="5" t="s">
        <v>1455</v>
      </c>
      <c r="C1017" s="5" t="s">
        <v>2154</v>
      </c>
      <c r="D1017" s="5" t="s">
        <v>2161</v>
      </c>
      <c r="E1017" s="5" t="s">
        <v>2162</v>
      </c>
      <c r="F1017" s="6"/>
      <c r="G1017" s="8">
        <v>2010.0</v>
      </c>
      <c r="H1017" s="5" t="s">
        <v>22</v>
      </c>
      <c r="I1017" s="7">
        <f t="shared" si="1"/>
        <v>3015</v>
      </c>
      <c r="J1017" s="7">
        <f t="shared" si="7"/>
        <v>2613</v>
      </c>
      <c r="K1017" s="7">
        <f t="shared" si="3"/>
        <v>2613</v>
      </c>
      <c r="L1017" s="7">
        <f t="shared" si="4"/>
        <v>2412</v>
      </c>
      <c r="M1017" s="7">
        <f t="shared" si="5"/>
        <v>2311.5</v>
      </c>
      <c r="N1017" s="7">
        <f t="shared" si="6"/>
        <v>2211</v>
      </c>
    </row>
    <row r="1018">
      <c r="A1018" s="5" t="s">
        <v>2123</v>
      </c>
      <c r="B1018" s="5" t="s">
        <v>1455</v>
      </c>
      <c r="C1018" s="5" t="s">
        <v>2154</v>
      </c>
      <c r="D1018" s="5" t="s">
        <v>2163</v>
      </c>
      <c r="E1018" s="5" t="s">
        <v>2164</v>
      </c>
      <c r="F1018" s="6"/>
      <c r="G1018" s="8">
        <v>23914.0</v>
      </c>
      <c r="H1018" s="5" t="s">
        <v>22</v>
      </c>
      <c r="I1018" s="7">
        <f t="shared" si="1"/>
        <v>35871</v>
      </c>
      <c r="J1018" s="7">
        <f t="shared" si="7"/>
        <v>31088.2</v>
      </c>
      <c r="K1018" s="7">
        <f t="shared" si="3"/>
        <v>31088.2</v>
      </c>
      <c r="L1018" s="7">
        <f t="shared" si="4"/>
        <v>28696.8</v>
      </c>
      <c r="M1018" s="7">
        <f t="shared" si="5"/>
        <v>27501.1</v>
      </c>
      <c r="N1018" s="7">
        <f t="shared" si="6"/>
        <v>26305.4</v>
      </c>
    </row>
    <row r="1019">
      <c r="A1019" s="5" t="s">
        <v>2123</v>
      </c>
      <c r="B1019" s="5" t="s">
        <v>1455</v>
      </c>
      <c r="C1019" s="5" t="s">
        <v>2154</v>
      </c>
      <c r="D1019" s="5" t="s">
        <v>2165</v>
      </c>
      <c r="E1019" s="5" t="s">
        <v>2166</v>
      </c>
      <c r="F1019" s="6"/>
      <c r="G1019" s="8">
        <v>23914.0</v>
      </c>
      <c r="H1019" s="5" t="s">
        <v>22</v>
      </c>
      <c r="I1019" s="7">
        <f t="shared" si="1"/>
        <v>35871</v>
      </c>
      <c r="J1019" s="7">
        <f t="shared" si="7"/>
        <v>31088.2</v>
      </c>
      <c r="K1019" s="7">
        <f t="shared" si="3"/>
        <v>31088.2</v>
      </c>
      <c r="L1019" s="7">
        <f t="shared" si="4"/>
        <v>28696.8</v>
      </c>
      <c r="M1019" s="7">
        <f t="shared" si="5"/>
        <v>27501.1</v>
      </c>
      <c r="N1019" s="7">
        <f t="shared" si="6"/>
        <v>26305.4</v>
      </c>
    </row>
    <row r="1020">
      <c r="A1020" s="5" t="s">
        <v>2123</v>
      </c>
      <c r="B1020" s="5" t="s">
        <v>1455</v>
      </c>
      <c r="C1020" s="5" t="s">
        <v>2154</v>
      </c>
      <c r="D1020" s="5" t="s">
        <v>2167</v>
      </c>
      <c r="E1020" s="5" t="s">
        <v>2168</v>
      </c>
      <c r="F1020" s="6"/>
      <c r="G1020" s="8">
        <v>23914.0</v>
      </c>
      <c r="H1020" s="5" t="s">
        <v>22</v>
      </c>
      <c r="I1020" s="7">
        <f t="shared" si="1"/>
        <v>35871</v>
      </c>
      <c r="J1020" s="7">
        <f t="shared" si="7"/>
        <v>31088.2</v>
      </c>
      <c r="K1020" s="7">
        <f t="shared" si="3"/>
        <v>31088.2</v>
      </c>
      <c r="L1020" s="7">
        <f t="shared" si="4"/>
        <v>28696.8</v>
      </c>
      <c r="M1020" s="7">
        <f t="shared" si="5"/>
        <v>27501.1</v>
      </c>
      <c r="N1020" s="7">
        <f t="shared" si="6"/>
        <v>26305.4</v>
      </c>
    </row>
    <row r="1021">
      <c r="A1021" s="5" t="s">
        <v>2123</v>
      </c>
      <c r="B1021" s="5" t="s">
        <v>1455</v>
      </c>
      <c r="C1021" s="5" t="s">
        <v>2154</v>
      </c>
      <c r="D1021" s="5" t="s">
        <v>2169</v>
      </c>
      <c r="E1021" s="5" t="s">
        <v>2170</v>
      </c>
      <c r="F1021" s="6"/>
      <c r="G1021" s="8">
        <v>27687.0</v>
      </c>
      <c r="H1021" s="5" t="s">
        <v>22</v>
      </c>
      <c r="I1021" s="7">
        <f t="shared" si="1"/>
        <v>41530.5</v>
      </c>
      <c r="J1021" s="7">
        <f t="shared" si="7"/>
        <v>35993.1</v>
      </c>
      <c r="K1021" s="7">
        <f t="shared" si="3"/>
        <v>35993.1</v>
      </c>
      <c r="L1021" s="7">
        <f t="shared" si="4"/>
        <v>33224.4</v>
      </c>
      <c r="M1021" s="7">
        <f t="shared" si="5"/>
        <v>31840.05</v>
      </c>
      <c r="N1021" s="7">
        <f t="shared" si="6"/>
        <v>30455.7</v>
      </c>
    </row>
    <row r="1022">
      <c r="A1022" s="5" t="s">
        <v>2123</v>
      </c>
      <c r="B1022" s="5" t="s">
        <v>1455</v>
      </c>
      <c r="C1022" s="5" t="s">
        <v>2154</v>
      </c>
      <c r="D1022" s="5" t="s">
        <v>2171</v>
      </c>
      <c r="E1022" s="5" t="s">
        <v>2172</v>
      </c>
      <c r="F1022" s="6"/>
      <c r="G1022" s="8">
        <v>27687.0</v>
      </c>
      <c r="H1022" s="5" t="s">
        <v>22</v>
      </c>
      <c r="I1022" s="7">
        <f t="shared" si="1"/>
        <v>41530.5</v>
      </c>
      <c r="J1022" s="7">
        <f t="shared" si="7"/>
        <v>35993.1</v>
      </c>
      <c r="K1022" s="7">
        <f t="shared" si="3"/>
        <v>35993.1</v>
      </c>
      <c r="L1022" s="7">
        <f t="shared" si="4"/>
        <v>33224.4</v>
      </c>
      <c r="M1022" s="7">
        <f t="shared" si="5"/>
        <v>31840.05</v>
      </c>
      <c r="N1022" s="7">
        <f t="shared" si="6"/>
        <v>30455.7</v>
      </c>
    </row>
    <row r="1023">
      <c r="A1023" s="5" t="s">
        <v>2123</v>
      </c>
      <c r="B1023" s="5" t="s">
        <v>1455</v>
      </c>
      <c r="C1023" s="5" t="s">
        <v>2154</v>
      </c>
      <c r="D1023" s="5" t="s">
        <v>2173</v>
      </c>
      <c r="E1023" s="5" t="s">
        <v>2174</v>
      </c>
      <c r="F1023" s="6"/>
      <c r="G1023" s="8">
        <v>27687.0</v>
      </c>
      <c r="H1023" s="5" t="s">
        <v>22</v>
      </c>
      <c r="I1023" s="7">
        <f t="shared" si="1"/>
        <v>41530.5</v>
      </c>
      <c r="J1023" s="7">
        <f t="shared" si="7"/>
        <v>35993.1</v>
      </c>
      <c r="K1023" s="7">
        <f t="shared" si="3"/>
        <v>35993.1</v>
      </c>
      <c r="L1023" s="7">
        <f t="shared" si="4"/>
        <v>33224.4</v>
      </c>
      <c r="M1023" s="7">
        <f t="shared" si="5"/>
        <v>31840.05</v>
      </c>
      <c r="N1023" s="7">
        <f t="shared" si="6"/>
        <v>30455.7</v>
      </c>
    </row>
    <row r="1024">
      <c r="A1024" s="5" t="s">
        <v>2123</v>
      </c>
      <c r="B1024" s="5" t="s">
        <v>1455</v>
      </c>
      <c r="C1024" s="5" t="s">
        <v>2154</v>
      </c>
      <c r="D1024" s="5" t="s">
        <v>2175</v>
      </c>
      <c r="E1024" s="5" t="s">
        <v>2176</v>
      </c>
      <c r="F1024" s="6"/>
      <c r="G1024" s="8">
        <v>10167.0</v>
      </c>
      <c r="H1024" s="5" t="s">
        <v>22</v>
      </c>
      <c r="I1024" s="7">
        <f t="shared" si="1"/>
        <v>15250.5</v>
      </c>
      <c r="J1024" s="7">
        <f t="shared" si="7"/>
        <v>13217.1</v>
      </c>
      <c r="K1024" s="7">
        <f t="shared" si="3"/>
        <v>13217.1</v>
      </c>
      <c r="L1024" s="7">
        <f t="shared" si="4"/>
        <v>12200.4</v>
      </c>
      <c r="M1024" s="7">
        <f t="shared" si="5"/>
        <v>11692.05</v>
      </c>
      <c r="N1024" s="7">
        <f t="shared" si="6"/>
        <v>11183.7</v>
      </c>
    </row>
    <row r="1025">
      <c r="A1025" s="5" t="s">
        <v>2123</v>
      </c>
      <c r="B1025" s="5" t="s">
        <v>1455</v>
      </c>
      <c r="C1025" s="5" t="s">
        <v>2154</v>
      </c>
      <c r="D1025" s="5" t="s">
        <v>2177</v>
      </c>
      <c r="E1025" s="5" t="s">
        <v>2178</v>
      </c>
      <c r="F1025" s="6"/>
      <c r="G1025" s="8">
        <v>10167.0</v>
      </c>
      <c r="H1025" s="5" t="s">
        <v>22</v>
      </c>
      <c r="I1025" s="7">
        <f t="shared" si="1"/>
        <v>15250.5</v>
      </c>
      <c r="J1025" s="7">
        <f t="shared" si="7"/>
        <v>13217.1</v>
      </c>
      <c r="K1025" s="7">
        <f t="shared" si="3"/>
        <v>13217.1</v>
      </c>
      <c r="L1025" s="7">
        <f t="shared" si="4"/>
        <v>12200.4</v>
      </c>
      <c r="M1025" s="7">
        <f t="shared" si="5"/>
        <v>11692.05</v>
      </c>
      <c r="N1025" s="7">
        <f t="shared" si="6"/>
        <v>11183.7</v>
      </c>
    </row>
    <row r="1026">
      <c r="A1026" s="5" t="s">
        <v>2123</v>
      </c>
      <c r="B1026" s="5" t="s">
        <v>1455</v>
      </c>
      <c r="C1026" s="5" t="s">
        <v>2154</v>
      </c>
      <c r="D1026" s="5" t="s">
        <v>2179</v>
      </c>
      <c r="E1026" s="5" t="s">
        <v>2180</v>
      </c>
      <c r="F1026" s="6"/>
      <c r="G1026" s="8">
        <v>10167.0</v>
      </c>
      <c r="H1026" s="5" t="s">
        <v>22</v>
      </c>
      <c r="I1026" s="7">
        <f t="shared" si="1"/>
        <v>15250.5</v>
      </c>
      <c r="J1026" s="7">
        <f t="shared" si="7"/>
        <v>13217.1</v>
      </c>
      <c r="K1026" s="7">
        <f t="shared" si="3"/>
        <v>13217.1</v>
      </c>
      <c r="L1026" s="7">
        <f t="shared" si="4"/>
        <v>12200.4</v>
      </c>
      <c r="M1026" s="7">
        <f t="shared" si="5"/>
        <v>11692.05</v>
      </c>
      <c r="N1026" s="7">
        <f t="shared" si="6"/>
        <v>11183.7</v>
      </c>
    </row>
    <row r="1027">
      <c r="A1027" s="5" t="s">
        <v>2123</v>
      </c>
      <c r="B1027" s="5" t="s">
        <v>1455</v>
      </c>
      <c r="C1027" s="5" t="s">
        <v>2154</v>
      </c>
      <c r="D1027" s="5" t="s">
        <v>2181</v>
      </c>
      <c r="E1027" s="5" t="s">
        <v>2182</v>
      </c>
      <c r="F1027" s="6"/>
      <c r="G1027" s="8">
        <v>10167.0</v>
      </c>
      <c r="H1027" s="5" t="s">
        <v>22</v>
      </c>
      <c r="I1027" s="7">
        <f t="shared" si="1"/>
        <v>15250.5</v>
      </c>
      <c r="J1027" s="7">
        <f t="shared" si="7"/>
        <v>13217.1</v>
      </c>
      <c r="K1027" s="7">
        <f t="shared" si="3"/>
        <v>13217.1</v>
      </c>
      <c r="L1027" s="7">
        <f t="shared" si="4"/>
        <v>12200.4</v>
      </c>
      <c r="M1027" s="7">
        <f t="shared" si="5"/>
        <v>11692.05</v>
      </c>
      <c r="N1027" s="7">
        <f t="shared" si="6"/>
        <v>11183.7</v>
      </c>
    </row>
    <row r="1028">
      <c r="A1028" s="5" t="s">
        <v>2123</v>
      </c>
      <c r="B1028" s="5" t="s">
        <v>1455</v>
      </c>
      <c r="C1028" s="5" t="s">
        <v>2154</v>
      </c>
      <c r="D1028" s="5" t="s">
        <v>2183</v>
      </c>
      <c r="E1028" s="5" t="s">
        <v>2184</v>
      </c>
      <c r="F1028" s="6"/>
      <c r="G1028" s="8">
        <v>11723.0</v>
      </c>
      <c r="H1028" s="5" t="s">
        <v>22</v>
      </c>
      <c r="I1028" s="7">
        <f t="shared" si="1"/>
        <v>17584.5</v>
      </c>
      <c r="J1028" s="7">
        <f t="shared" si="7"/>
        <v>15239.9</v>
      </c>
      <c r="K1028" s="7">
        <f t="shared" si="3"/>
        <v>15239.9</v>
      </c>
      <c r="L1028" s="7">
        <f t="shared" si="4"/>
        <v>14067.6</v>
      </c>
      <c r="M1028" s="7">
        <f t="shared" si="5"/>
        <v>13481.45</v>
      </c>
      <c r="N1028" s="7">
        <f t="shared" si="6"/>
        <v>12895.3</v>
      </c>
    </row>
    <row r="1029">
      <c r="A1029" s="5" t="s">
        <v>2123</v>
      </c>
      <c r="B1029" s="5" t="s">
        <v>1455</v>
      </c>
      <c r="C1029" s="5" t="s">
        <v>2154</v>
      </c>
      <c r="D1029" s="5" t="s">
        <v>2185</v>
      </c>
      <c r="E1029" s="5" t="s">
        <v>2186</v>
      </c>
      <c r="F1029" s="6"/>
      <c r="G1029" s="8">
        <v>11723.0</v>
      </c>
      <c r="H1029" s="5" t="s">
        <v>22</v>
      </c>
      <c r="I1029" s="7">
        <f t="shared" si="1"/>
        <v>17584.5</v>
      </c>
      <c r="J1029" s="7">
        <f t="shared" si="7"/>
        <v>15239.9</v>
      </c>
      <c r="K1029" s="7">
        <f t="shared" si="3"/>
        <v>15239.9</v>
      </c>
      <c r="L1029" s="7">
        <f t="shared" si="4"/>
        <v>14067.6</v>
      </c>
      <c r="M1029" s="7">
        <f t="shared" si="5"/>
        <v>13481.45</v>
      </c>
      <c r="N1029" s="7">
        <f t="shared" si="6"/>
        <v>12895.3</v>
      </c>
    </row>
    <row r="1030">
      <c r="A1030" s="5" t="s">
        <v>2123</v>
      </c>
      <c r="B1030" s="5" t="s">
        <v>1455</v>
      </c>
      <c r="C1030" s="5" t="s">
        <v>2154</v>
      </c>
      <c r="D1030" s="5" t="s">
        <v>2187</v>
      </c>
      <c r="E1030" s="5" t="s">
        <v>2188</v>
      </c>
      <c r="F1030" s="6"/>
      <c r="G1030" s="8">
        <v>11723.0</v>
      </c>
      <c r="H1030" s="5" t="s">
        <v>22</v>
      </c>
      <c r="I1030" s="7">
        <f t="shared" si="1"/>
        <v>17584.5</v>
      </c>
      <c r="J1030" s="7">
        <f t="shared" si="7"/>
        <v>15239.9</v>
      </c>
      <c r="K1030" s="7">
        <f t="shared" si="3"/>
        <v>15239.9</v>
      </c>
      <c r="L1030" s="7">
        <f t="shared" si="4"/>
        <v>14067.6</v>
      </c>
      <c r="M1030" s="7">
        <f t="shared" si="5"/>
        <v>13481.45</v>
      </c>
      <c r="N1030" s="7">
        <f t="shared" si="6"/>
        <v>12895.3</v>
      </c>
    </row>
    <row r="1031">
      <c r="A1031" s="5" t="s">
        <v>2123</v>
      </c>
      <c r="B1031" s="5" t="s">
        <v>1455</v>
      </c>
      <c r="C1031" s="5" t="s">
        <v>2154</v>
      </c>
      <c r="D1031" s="5" t="s">
        <v>2189</v>
      </c>
      <c r="E1031" s="5" t="s">
        <v>2190</v>
      </c>
      <c r="F1031" s="6"/>
      <c r="G1031" s="8">
        <v>11204.0</v>
      </c>
      <c r="H1031" s="5" t="s">
        <v>22</v>
      </c>
      <c r="I1031" s="7">
        <f t="shared" si="1"/>
        <v>16806</v>
      </c>
      <c r="J1031" s="7">
        <f t="shared" si="7"/>
        <v>14565.2</v>
      </c>
      <c r="K1031" s="7">
        <f t="shared" si="3"/>
        <v>14565.2</v>
      </c>
      <c r="L1031" s="7">
        <f t="shared" si="4"/>
        <v>13444.8</v>
      </c>
      <c r="M1031" s="7">
        <f t="shared" si="5"/>
        <v>12884.6</v>
      </c>
      <c r="N1031" s="7">
        <f t="shared" si="6"/>
        <v>12324.4</v>
      </c>
    </row>
    <row r="1032">
      <c r="A1032" s="5" t="s">
        <v>2123</v>
      </c>
      <c r="B1032" s="5" t="s">
        <v>1455</v>
      </c>
      <c r="C1032" s="5" t="s">
        <v>2154</v>
      </c>
      <c r="D1032" s="5" t="s">
        <v>2191</v>
      </c>
      <c r="E1032" s="5" t="s">
        <v>2192</v>
      </c>
      <c r="F1032" s="6"/>
      <c r="G1032" s="8">
        <v>11204.0</v>
      </c>
      <c r="H1032" s="5" t="s">
        <v>22</v>
      </c>
      <c r="I1032" s="7">
        <f t="shared" si="1"/>
        <v>16806</v>
      </c>
      <c r="J1032" s="7">
        <f t="shared" si="7"/>
        <v>14565.2</v>
      </c>
      <c r="K1032" s="7">
        <f t="shared" si="3"/>
        <v>14565.2</v>
      </c>
      <c r="L1032" s="7">
        <f t="shared" si="4"/>
        <v>13444.8</v>
      </c>
      <c r="M1032" s="7">
        <f t="shared" si="5"/>
        <v>12884.6</v>
      </c>
      <c r="N1032" s="7">
        <f t="shared" si="6"/>
        <v>12324.4</v>
      </c>
    </row>
    <row r="1033">
      <c r="A1033" s="5" t="s">
        <v>2123</v>
      </c>
      <c r="B1033" s="5" t="s">
        <v>1455</v>
      </c>
      <c r="C1033" s="5" t="s">
        <v>2154</v>
      </c>
      <c r="D1033" s="5" t="s">
        <v>2193</v>
      </c>
      <c r="E1033" s="5" t="s">
        <v>2194</v>
      </c>
      <c r="F1033" s="6"/>
      <c r="G1033" s="8">
        <v>11204.0</v>
      </c>
      <c r="H1033" s="5" t="s">
        <v>22</v>
      </c>
      <c r="I1033" s="7">
        <f t="shared" si="1"/>
        <v>16806</v>
      </c>
      <c r="J1033" s="7">
        <f t="shared" si="7"/>
        <v>14565.2</v>
      </c>
      <c r="K1033" s="7">
        <f t="shared" si="3"/>
        <v>14565.2</v>
      </c>
      <c r="L1033" s="7">
        <f t="shared" si="4"/>
        <v>13444.8</v>
      </c>
      <c r="M1033" s="7">
        <f t="shared" si="5"/>
        <v>12884.6</v>
      </c>
      <c r="N1033" s="7">
        <f t="shared" si="6"/>
        <v>12324.4</v>
      </c>
    </row>
    <row r="1034">
      <c r="A1034" s="5" t="s">
        <v>2123</v>
      </c>
      <c r="B1034" s="5" t="s">
        <v>1455</v>
      </c>
      <c r="C1034" s="5" t="s">
        <v>2154</v>
      </c>
      <c r="D1034" s="5" t="s">
        <v>2195</v>
      </c>
      <c r="E1034" s="5" t="s">
        <v>2196</v>
      </c>
      <c r="F1034" s="6"/>
      <c r="G1034" s="8">
        <v>11204.0</v>
      </c>
      <c r="H1034" s="5" t="s">
        <v>22</v>
      </c>
      <c r="I1034" s="7">
        <f t="shared" si="1"/>
        <v>16806</v>
      </c>
      <c r="J1034" s="7">
        <f t="shared" si="7"/>
        <v>14565.2</v>
      </c>
      <c r="K1034" s="7">
        <f t="shared" si="3"/>
        <v>14565.2</v>
      </c>
      <c r="L1034" s="7">
        <f t="shared" si="4"/>
        <v>13444.8</v>
      </c>
      <c r="M1034" s="7">
        <f t="shared" si="5"/>
        <v>12884.6</v>
      </c>
      <c r="N1034" s="7">
        <f t="shared" si="6"/>
        <v>12324.4</v>
      </c>
    </row>
    <row r="1035">
      <c r="A1035" s="5" t="s">
        <v>2123</v>
      </c>
      <c r="B1035" s="5" t="s">
        <v>1455</v>
      </c>
      <c r="C1035" s="5" t="s">
        <v>2154</v>
      </c>
      <c r="D1035" s="5" t="s">
        <v>2197</v>
      </c>
      <c r="E1035" s="5" t="s">
        <v>2198</v>
      </c>
      <c r="F1035" s="6"/>
      <c r="G1035" s="8">
        <v>12968.0</v>
      </c>
      <c r="H1035" s="5" t="s">
        <v>22</v>
      </c>
      <c r="I1035" s="7">
        <f t="shared" si="1"/>
        <v>19452</v>
      </c>
      <c r="J1035" s="7">
        <f t="shared" si="7"/>
        <v>16858.4</v>
      </c>
      <c r="K1035" s="7">
        <f t="shared" si="3"/>
        <v>16858.4</v>
      </c>
      <c r="L1035" s="7">
        <f t="shared" si="4"/>
        <v>15561.6</v>
      </c>
      <c r="M1035" s="7">
        <f t="shared" si="5"/>
        <v>14913.2</v>
      </c>
      <c r="N1035" s="7">
        <f t="shared" si="6"/>
        <v>14264.8</v>
      </c>
    </row>
    <row r="1036">
      <c r="A1036" s="5" t="s">
        <v>2123</v>
      </c>
      <c r="B1036" s="5" t="s">
        <v>1455</v>
      </c>
      <c r="C1036" s="5" t="s">
        <v>2154</v>
      </c>
      <c r="D1036" s="5" t="s">
        <v>2199</v>
      </c>
      <c r="E1036" s="5" t="s">
        <v>2200</v>
      </c>
      <c r="F1036" s="6"/>
      <c r="G1036" s="8">
        <v>12968.0</v>
      </c>
      <c r="H1036" s="5" t="s">
        <v>22</v>
      </c>
      <c r="I1036" s="7">
        <f t="shared" si="1"/>
        <v>19452</v>
      </c>
      <c r="J1036" s="7">
        <f t="shared" si="7"/>
        <v>16858.4</v>
      </c>
      <c r="K1036" s="7">
        <f t="shared" si="3"/>
        <v>16858.4</v>
      </c>
      <c r="L1036" s="7">
        <f t="shared" si="4"/>
        <v>15561.6</v>
      </c>
      <c r="M1036" s="7">
        <f t="shared" si="5"/>
        <v>14913.2</v>
      </c>
      <c r="N1036" s="7">
        <f t="shared" si="6"/>
        <v>14264.8</v>
      </c>
    </row>
    <row r="1037">
      <c r="A1037" s="5" t="s">
        <v>2123</v>
      </c>
      <c r="B1037" s="5" t="s">
        <v>1455</v>
      </c>
      <c r="C1037" s="5" t="s">
        <v>2154</v>
      </c>
      <c r="D1037" s="5" t="s">
        <v>2201</v>
      </c>
      <c r="E1037" s="5" t="s">
        <v>2202</v>
      </c>
      <c r="F1037" s="6"/>
      <c r="G1037" s="8">
        <v>12968.0</v>
      </c>
      <c r="H1037" s="5" t="s">
        <v>22</v>
      </c>
      <c r="I1037" s="7">
        <f t="shared" si="1"/>
        <v>19452</v>
      </c>
      <c r="J1037" s="7">
        <f t="shared" si="7"/>
        <v>16858.4</v>
      </c>
      <c r="K1037" s="7">
        <f t="shared" si="3"/>
        <v>16858.4</v>
      </c>
      <c r="L1037" s="7">
        <f t="shared" si="4"/>
        <v>15561.6</v>
      </c>
      <c r="M1037" s="7">
        <f t="shared" si="5"/>
        <v>14913.2</v>
      </c>
      <c r="N1037" s="7">
        <f t="shared" si="6"/>
        <v>14264.8</v>
      </c>
    </row>
    <row r="1038">
      <c r="A1038" s="5" t="s">
        <v>2123</v>
      </c>
      <c r="B1038" s="5" t="s">
        <v>1455</v>
      </c>
      <c r="C1038" s="5" t="s">
        <v>2154</v>
      </c>
      <c r="D1038" s="5" t="s">
        <v>2203</v>
      </c>
      <c r="E1038" s="5" t="s">
        <v>2204</v>
      </c>
      <c r="F1038" s="6"/>
      <c r="G1038" s="8">
        <v>4196.0</v>
      </c>
      <c r="H1038" s="5" t="s">
        <v>22</v>
      </c>
      <c r="I1038" s="7">
        <f t="shared" si="1"/>
        <v>6294</v>
      </c>
      <c r="J1038" s="7">
        <f t="shared" si="7"/>
        <v>5454.8</v>
      </c>
      <c r="K1038" s="7">
        <f t="shared" si="3"/>
        <v>5454.8</v>
      </c>
      <c r="L1038" s="7">
        <f t="shared" si="4"/>
        <v>5035.2</v>
      </c>
      <c r="M1038" s="7">
        <f t="shared" si="5"/>
        <v>4825.4</v>
      </c>
      <c r="N1038" s="7">
        <f t="shared" si="6"/>
        <v>4615.6</v>
      </c>
    </row>
    <row r="1039">
      <c r="A1039" s="5" t="s">
        <v>2123</v>
      </c>
      <c r="B1039" s="5" t="s">
        <v>1455</v>
      </c>
      <c r="C1039" s="5" t="s">
        <v>2154</v>
      </c>
      <c r="D1039" s="5" t="s">
        <v>2205</v>
      </c>
      <c r="E1039" s="5" t="s">
        <v>2206</v>
      </c>
      <c r="F1039" s="6"/>
      <c r="G1039" s="8">
        <v>12257.0</v>
      </c>
      <c r="H1039" s="5" t="s">
        <v>22</v>
      </c>
      <c r="I1039" s="7">
        <f t="shared" si="1"/>
        <v>18385.5</v>
      </c>
      <c r="J1039" s="7">
        <f t="shared" si="7"/>
        <v>15934.1</v>
      </c>
      <c r="K1039" s="7">
        <f t="shared" si="3"/>
        <v>15934.1</v>
      </c>
      <c r="L1039" s="7">
        <f t="shared" si="4"/>
        <v>14708.4</v>
      </c>
      <c r="M1039" s="7">
        <f t="shared" si="5"/>
        <v>14095.55</v>
      </c>
      <c r="N1039" s="7">
        <f t="shared" si="6"/>
        <v>13482.7</v>
      </c>
    </row>
    <row r="1040">
      <c r="A1040" s="5" t="s">
        <v>2123</v>
      </c>
      <c r="B1040" s="5" t="s">
        <v>1455</v>
      </c>
      <c r="C1040" s="5" t="s">
        <v>2154</v>
      </c>
      <c r="D1040" s="5" t="s">
        <v>2207</v>
      </c>
      <c r="E1040" s="5" t="s">
        <v>2208</v>
      </c>
      <c r="F1040" s="6"/>
      <c r="G1040" s="8">
        <v>10205.0</v>
      </c>
      <c r="H1040" s="5" t="s">
        <v>22</v>
      </c>
      <c r="I1040" s="7">
        <f t="shared" si="1"/>
        <v>15307.5</v>
      </c>
      <c r="J1040" s="7">
        <f t="shared" si="7"/>
        <v>13266.5</v>
      </c>
      <c r="K1040" s="7">
        <f t="shared" si="3"/>
        <v>13266.5</v>
      </c>
      <c r="L1040" s="7">
        <f t="shared" si="4"/>
        <v>12246</v>
      </c>
      <c r="M1040" s="7">
        <f t="shared" si="5"/>
        <v>11735.75</v>
      </c>
      <c r="N1040" s="7">
        <f t="shared" si="6"/>
        <v>11225.5</v>
      </c>
    </row>
    <row r="1041">
      <c r="A1041" s="5" t="s">
        <v>2123</v>
      </c>
      <c r="B1041" s="5" t="s">
        <v>1455</v>
      </c>
      <c r="C1041" s="5" t="s">
        <v>2154</v>
      </c>
      <c r="D1041" s="5" t="s">
        <v>2209</v>
      </c>
      <c r="E1041" s="5" t="s">
        <v>2210</v>
      </c>
      <c r="F1041" s="6"/>
      <c r="G1041" s="8">
        <v>1538.0</v>
      </c>
      <c r="H1041" s="5" t="s">
        <v>22</v>
      </c>
      <c r="I1041" s="7">
        <f t="shared" si="1"/>
        <v>2307</v>
      </c>
      <c r="J1041" s="7">
        <f t="shared" si="7"/>
        <v>1999.4</v>
      </c>
      <c r="K1041" s="7">
        <f t="shared" si="3"/>
        <v>1999.4</v>
      </c>
      <c r="L1041" s="7">
        <f t="shared" si="4"/>
        <v>1845.6</v>
      </c>
      <c r="M1041" s="7">
        <f t="shared" si="5"/>
        <v>1768.7</v>
      </c>
      <c r="N1041" s="7">
        <f t="shared" si="6"/>
        <v>1691.8</v>
      </c>
    </row>
    <row r="1042">
      <c r="A1042" s="5" t="s">
        <v>2123</v>
      </c>
      <c r="B1042" s="5" t="s">
        <v>1455</v>
      </c>
      <c r="C1042" s="5" t="s">
        <v>2154</v>
      </c>
      <c r="D1042" s="5" t="s">
        <v>2211</v>
      </c>
      <c r="E1042" s="5" t="s">
        <v>2212</v>
      </c>
      <c r="F1042" s="6"/>
      <c r="G1042" s="6"/>
      <c r="H1042" s="5" t="s">
        <v>22</v>
      </c>
      <c r="I1042" s="7">
        <f t="shared" si="1"/>
        <v>0</v>
      </c>
      <c r="J1042" s="7">
        <f t="shared" si="7"/>
        <v>0</v>
      </c>
      <c r="K1042" s="7">
        <f t="shared" si="3"/>
        <v>0</v>
      </c>
      <c r="L1042" s="7">
        <f t="shared" si="4"/>
        <v>0</v>
      </c>
      <c r="M1042" s="7">
        <f t="shared" si="5"/>
        <v>0</v>
      </c>
      <c r="N1042" s="7">
        <f t="shared" si="6"/>
        <v>0</v>
      </c>
    </row>
    <row r="1043">
      <c r="A1043" s="5" t="s">
        <v>2123</v>
      </c>
      <c r="B1043" s="5" t="s">
        <v>1455</v>
      </c>
      <c r="C1043" s="5" t="s">
        <v>2154</v>
      </c>
      <c r="D1043" s="5" t="s">
        <v>2213</v>
      </c>
      <c r="E1043" s="5" t="s">
        <v>2214</v>
      </c>
      <c r="F1043" s="6"/>
      <c r="G1043" s="8">
        <v>35713.0</v>
      </c>
      <c r="H1043" s="5" t="s">
        <v>22</v>
      </c>
      <c r="I1043" s="7">
        <f t="shared" si="1"/>
        <v>53569.5</v>
      </c>
      <c r="J1043" s="7">
        <f t="shared" si="7"/>
        <v>46426.9</v>
      </c>
      <c r="K1043" s="7">
        <f t="shared" si="3"/>
        <v>46426.9</v>
      </c>
      <c r="L1043" s="7">
        <f t="shared" si="4"/>
        <v>42855.6</v>
      </c>
      <c r="M1043" s="7">
        <f t="shared" si="5"/>
        <v>41069.95</v>
      </c>
      <c r="N1043" s="7">
        <f t="shared" si="6"/>
        <v>39284.3</v>
      </c>
    </row>
    <row r="1044">
      <c r="A1044" s="5" t="s">
        <v>2123</v>
      </c>
      <c r="B1044" s="6"/>
      <c r="C1044" s="6"/>
      <c r="D1044" s="5" t="s">
        <v>2213</v>
      </c>
      <c r="E1044" s="5" t="s">
        <v>2215</v>
      </c>
      <c r="F1044" s="6"/>
      <c r="G1044" s="8">
        <v>1684.0</v>
      </c>
      <c r="H1044" s="5" t="s">
        <v>22</v>
      </c>
      <c r="I1044" s="7">
        <f t="shared" si="1"/>
        <v>2526</v>
      </c>
      <c r="J1044" s="7">
        <f t="shared" si="7"/>
        <v>2189.2</v>
      </c>
      <c r="K1044" s="7">
        <f t="shared" si="3"/>
        <v>2189.2</v>
      </c>
      <c r="L1044" s="7">
        <f t="shared" si="4"/>
        <v>2020.8</v>
      </c>
      <c r="M1044" s="7">
        <f t="shared" si="5"/>
        <v>1936.6</v>
      </c>
      <c r="N1044" s="7">
        <f t="shared" si="6"/>
        <v>1852.4</v>
      </c>
    </row>
    <row r="1045">
      <c r="A1045" s="5" t="s">
        <v>2123</v>
      </c>
      <c r="B1045" s="5" t="s">
        <v>1455</v>
      </c>
      <c r="C1045" s="5" t="s">
        <v>2154</v>
      </c>
      <c r="D1045" s="5" t="s">
        <v>2216</v>
      </c>
      <c r="E1045" s="5" t="s">
        <v>2217</v>
      </c>
      <c r="F1045" s="6"/>
      <c r="G1045" s="5">
        <v>522.0</v>
      </c>
      <c r="H1045" s="5" t="s">
        <v>22</v>
      </c>
      <c r="I1045" s="7">
        <f t="shared" si="1"/>
        <v>783</v>
      </c>
      <c r="J1045" s="7">
        <f t="shared" si="7"/>
        <v>678.6</v>
      </c>
      <c r="K1045" s="7">
        <f t="shared" si="3"/>
        <v>678.6</v>
      </c>
      <c r="L1045" s="7">
        <f t="shared" si="4"/>
        <v>626.4</v>
      </c>
      <c r="M1045" s="7">
        <f t="shared" si="5"/>
        <v>600.3</v>
      </c>
      <c r="N1045" s="7">
        <f t="shared" si="6"/>
        <v>574.2</v>
      </c>
    </row>
    <row r="1046">
      <c r="A1046" s="5" t="s">
        <v>2123</v>
      </c>
      <c r="B1046" s="5" t="s">
        <v>1455</v>
      </c>
      <c r="C1046" s="5" t="s">
        <v>2154</v>
      </c>
      <c r="D1046" s="5" t="s">
        <v>2218</v>
      </c>
      <c r="E1046" s="5" t="s">
        <v>2219</v>
      </c>
      <c r="F1046" s="6"/>
      <c r="G1046" s="8">
        <v>1323.0</v>
      </c>
      <c r="H1046" s="5" t="s">
        <v>22</v>
      </c>
      <c r="I1046" s="7">
        <f t="shared" si="1"/>
        <v>1984.5</v>
      </c>
      <c r="J1046" s="7">
        <f t="shared" si="7"/>
        <v>1719.9</v>
      </c>
      <c r="K1046" s="7">
        <f t="shared" si="3"/>
        <v>1719.9</v>
      </c>
      <c r="L1046" s="7">
        <f t="shared" si="4"/>
        <v>1587.6</v>
      </c>
      <c r="M1046" s="7">
        <f t="shared" si="5"/>
        <v>1521.45</v>
      </c>
      <c r="N1046" s="7">
        <f t="shared" si="6"/>
        <v>1455.3</v>
      </c>
    </row>
    <row r="1047">
      <c r="A1047" s="5" t="s">
        <v>2123</v>
      </c>
      <c r="B1047" s="5" t="s">
        <v>1455</v>
      </c>
      <c r="C1047" s="5" t="s">
        <v>2154</v>
      </c>
      <c r="D1047" s="5" t="s">
        <v>2220</v>
      </c>
      <c r="E1047" s="5" t="s">
        <v>2221</v>
      </c>
      <c r="F1047" s="6"/>
      <c r="G1047" s="5">
        <v>428.0</v>
      </c>
      <c r="H1047" s="5" t="s">
        <v>22</v>
      </c>
      <c r="I1047" s="7">
        <f t="shared" si="1"/>
        <v>642</v>
      </c>
      <c r="J1047" s="7">
        <f t="shared" si="7"/>
        <v>556.4</v>
      </c>
      <c r="K1047" s="7">
        <f t="shared" si="3"/>
        <v>556.4</v>
      </c>
      <c r="L1047" s="7">
        <f t="shared" si="4"/>
        <v>513.6</v>
      </c>
      <c r="M1047" s="7">
        <f t="shared" si="5"/>
        <v>492.2</v>
      </c>
      <c r="N1047" s="7">
        <f t="shared" si="6"/>
        <v>470.8</v>
      </c>
    </row>
    <row r="1048">
      <c r="A1048" s="5" t="s">
        <v>2123</v>
      </c>
      <c r="B1048" s="5" t="s">
        <v>1455</v>
      </c>
      <c r="C1048" s="5" t="s">
        <v>2154</v>
      </c>
      <c r="D1048" s="5" t="s">
        <v>2222</v>
      </c>
      <c r="E1048" s="5" t="s">
        <v>2223</v>
      </c>
      <c r="F1048" s="6"/>
      <c r="G1048" s="5">
        <v>380.0</v>
      </c>
      <c r="H1048" s="5" t="s">
        <v>22</v>
      </c>
      <c r="I1048" s="7">
        <f t="shared" si="1"/>
        <v>570</v>
      </c>
      <c r="J1048" s="7">
        <f t="shared" si="7"/>
        <v>494</v>
      </c>
      <c r="K1048" s="7">
        <f t="shared" si="3"/>
        <v>494</v>
      </c>
      <c r="L1048" s="7">
        <f t="shared" si="4"/>
        <v>456</v>
      </c>
      <c r="M1048" s="7">
        <f t="shared" si="5"/>
        <v>437</v>
      </c>
      <c r="N1048" s="7">
        <f t="shared" si="6"/>
        <v>418</v>
      </c>
    </row>
    <row r="1049">
      <c r="A1049" s="5" t="s">
        <v>2123</v>
      </c>
      <c r="B1049" s="5" t="s">
        <v>1455</v>
      </c>
      <c r="C1049" s="5" t="s">
        <v>2154</v>
      </c>
      <c r="D1049" s="5" t="s">
        <v>2224</v>
      </c>
      <c r="E1049" s="5" t="s">
        <v>2225</v>
      </c>
      <c r="F1049" s="6"/>
      <c r="G1049" s="8">
        <v>1323.0</v>
      </c>
      <c r="H1049" s="5" t="s">
        <v>22</v>
      </c>
      <c r="I1049" s="7">
        <f t="shared" si="1"/>
        <v>1984.5</v>
      </c>
      <c r="J1049" s="7">
        <f t="shared" si="7"/>
        <v>1719.9</v>
      </c>
      <c r="K1049" s="7">
        <f t="shared" si="3"/>
        <v>1719.9</v>
      </c>
      <c r="L1049" s="7">
        <f t="shared" si="4"/>
        <v>1587.6</v>
      </c>
      <c r="M1049" s="7">
        <f t="shared" si="5"/>
        <v>1521.45</v>
      </c>
      <c r="N1049" s="7">
        <f t="shared" si="6"/>
        <v>1455.3</v>
      </c>
    </row>
    <row r="1050">
      <c r="A1050" s="5" t="s">
        <v>2123</v>
      </c>
      <c r="B1050" s="5" t="s">
        <v>1455</v>
      </c>
      <c r="C1050" s="5" t="s">
        <v>2154</v>
      </c>
      <c r="D1050" s="5" t="s">
        <v>2226</v>
      </c>
      <c r="E1050" s="5" t="s">
        <v>2227</v>
      </c>
      <c r="F1050" s="6"/>
      <c r="G1050" s="8">
        <v>1481.0</v>
      </c>
      <c r="H1050" s="5" t="s">
        <v>22</v>
      </c>
      <c r="I1050" s="7">
        <f t="shared" si="1"/>
        <v>2221.5</v>
      </c>
      <c r="J1050" s="7">
        <f t="shared" si="7"/>
        <v>1925.3</v>
      </c>
      <c r="K1050" s="7">
        <f t="shared" si="3"/>
        <v>1925.3</v>
      </c>
      <c r="L1050" s="7">
        <f t="shared" si="4"/>
        <v>1777.2</v>
      </c>
      <c r="M1050" s="7">
        <f t="shared" si="5"/>
        <v>1703.15</v>
      </c>
      <c r="N1050" s="7">
        <f t="shared" si="6"/>
        <v>1629.1</v>
      </c>
    </row>
    <row r="1051">
      <c r="A1051" s="5" t="s">
        <v>2123</v>
      </c>
      <c r="B1051" s="5" t="s">
        <v>1455</v>
      </c>
      <c r="C1051" s="5" t="s">
        <v>2154</v>
      </c>
      <c r="D1051" s="5" t="s">
        <v>2228</v>
      </c>
      <c r="E1051" s="5" t="s">
        <v>2229</v>
      </c>
      <c r="F1051" s="6"/>
      <c r="G1051" s="5">
        <v>952.0</v>
      </c>
      <c r="H1051" s="5" t="s">
        <v>22</v>
      </c>
      <c r="I1051" s="7">
        <f t="shared" si="1"/>
        <v>1428</v>
      </c>
      <c r="J1051" s="7">
        <f t="shared" si="7"/>
        <v>1237.6</v>
      </c>
      <c r="K1051" s="7">
        <f t="shared" si="3"/>
        <v>1237.6</v>
      </c>
      <c r="L1051" s="7">
        <f t="shared" si="4"/>
        <v>1142.4</v>
      </c>
      <c r="M1051" s="7">
        <f t="shared" si="5"/>
        <v>1094.8</v>
      </c>
      <c r="N1051" s="7">
        <f t="shared" si="6"/>
        <v>1047.2</v>
      </c>
    </row>
    <row r="1052">
      <c r="A1052" s="5" t="s">
        <v>2123</v>
      </c>
      <c r="B1052" s="5" t="s">
        <v>1455</v>
      </c>
      <c r="C1052" s="5" t="s">
        <v>2154</v>
      </c>
      <c r="D1052" s="5" t="s">
        <v>2230</v>
      </c>
      <c r="E1052" s="5" t="s">
        <v>2231</v>
      </c>
      <c r="F1052" s="6"/>
      <c r="G1052" s="5">
        <v>952.0</v>
      </c>
      <c r="H1052" s="5" t="s">
        <v>22</v>
      </c>
      <c r="I1052" s="7">
        <f t="shared" si="1"/>
        <v>1428</v>
      </c>
      <c r="J1052" s="7">
        <f t="shared" si="7"/>
        <v>1237.6</v>
      </c>
      <c r="K1052" s="7">
        <f t="shared" si="3"/>
        <v>1237.6</v>
      </c>
      <c r="L1052" s="7">
        <f t="shared" si="4"/>
        <v>1142.4</v>
      </c>
      <c r="M1052" s="7">
        <f t="shared" si="5"/>
        <v>1094.8</v>
      </c>
      <c r="N1052" s="7">
        <f t="shared" si="6"/>
        <v>1047.2</v>
      </c>
    </row>
    <row r="1053">
      <c r="A1053" s="5" t="s">
        <v>2123</v>
      </c>
      <c r="B1053" s="5" t="s">
        <v>1455</v>
      </c>
      <c r="C1053" s="5" t="s">
        <v>2154</v>
      </c>
      <c r="D1053" s="5" t="s">
        <v>2232</v>
      </c>
      <c r="E1053" s="5" t="s">
        <v>2233</v>
      </c>
      <c r="F1053" s="6"/>
      <c r="G1053" s="8">
        <v>12063.0</v>
      </c>
      <c r="H1053" s="5" t="s">
        <v>22</v>
      </c>
      <c r="I1053" s="7">
        <f t="shared" si="1"/>
        <v>18094.5</v>
      </c>
      <c r="J1053" s="7">
        <f t="shared" si="7"/>
        <v>15681.9</v>
      </c>
      <c r="K1053" s="7">
        <f t="shared" si="3"/>
        <v>15681.9</v>
      </c>
      <c r="L1053" s="7">
        <f t="shared" si="4"/>
        <v>14475.6</v>
      </c>
      <c r="M1053" s="7">
        <f t="shared" si="5"/>
        <v>13872.45</v>
      </c>
      <c r="N1053" s="7">
        <f t="shared" si="6"/>
        <v>13269.3</v>
      </c>
    </row>
    <row r="1054">
      <c r="A1054" s="5" t="s">
        <v>2123</v>
      </c>
      <c r="B1054" s="5" t="s">
        <v>1455</v>
      </c>
      <c r="C1054" s="5" t="s">
        <v>2154</v>
      </c>
      <c r="D1054" s="5" t="s">
        <v>2234</v>
      </c>
      <c r="E1054" s="5" t="s">
        <v>2235</v>
      </c>
      <c r="F1054" s="6"/>
      <c r="G1054" s="8">
        <v>16825.0</v>
      </c>
      <c r="H1054" s="5" t="s">
        <v>22</v>
      </c>
      <c r="I1054" s="7">
        <f t="shared" si="1"/>
        <v>25237.5</v>
      </c>
      <c r="J1054" s="7">
        <f t="shared" si="7"/>
        <v>21872.5</v>
      </c>
      <c r="K1054" s="7">
        <f t="shared" si="3"/>
        <v>21872.5</v>
      </c>
      <c r="L1054" s="7">
        <f t="shared" si="4"/>
        <v>20190</v>
      </c>
      <c r="M1054" s="7">
        <f t="shared" si="5"/>
        <v>19348.75</v>
      </c>
      <c r="N1054" s="7">
        <f t="shared" si="6"/>
        <v>18507.5</v>
      </c>
    </row>
    <row r="1055">
      <c r="A1055" s="5" t="s">
        <v>2123</v>
      </c>
      <c r="B1055" s="5" t="s">
        <v>1455</v>
      </c>
      <c r="C1055" s="5" t="s">
        <v>436</v>
      </c>
      <c r="D1055" s="5" t="s">
        <v>2236</v>
      </c>
      <c r="E1055" s="5" t="s">
        <v>2237</v>
      </c>
      <c r="F1055" s="6"/>
      <c r="G1055" s="8">
        <v>1429.0</v>
      </c>
      <c r="H1055" s="5" t="s">
        <v>22</v>
      </c>
      <c r="I1055" s="7">
        <f t="shared" si="1"/>
        <v>2143.5</v>
      </c>
      <c r="J1055" s="7">
        <f t="shared" si="7"/>
        <v>1857.7</v>
      </c>
      <c r="K1055" s="7">
        <f t="shared" si="3"/>
        <v>1857.7</v>
      </c>
      <c r="L1055" s="7">
        <f t="shared" si="4"/>
        <v>1714.8</v>
      </c>
      <c r="M1055" s="7">
        <f t="shared" si="5"/>
        <v>1643.35</v>
      </c>
      <c r="N1055" s="7">
        <f t="shared" si="6"/>
        <v>1571.9</v>
      </c>
    </row>
    <row r="1056">
      <c r="A1056" s="5" t="s">
        <v>2123</v>
      </c>
      <c r="B1056" s="5" t="s">
        <v>1455</v>
      </c>
      <c r="C1056" s="5" t="s">
        <v>436</v>
      </c>
      <c r="D1056" s="5" t="s">
        <v>2238</v>
      </c>
      <c r="E1056" s="5" t="s">
        <v>2239</v>
      </c>
      <c r="F1056" s="6"/>
      <c r="G1056" s="8">
        <v>2116.0</v>
      </c>
      <c r="H1056" s="5" t="s">
        <v>22</v>
      </c>
      <c r="I1056" s="7">
        <f t="shared" si="1"/>
        <v>3174</v>
      </c>
      <c r="J1056" s="7">
        <f t="shared" si="7"/>
        <v>2750.8</v>
      </c>
      <c r="K1056" s="7">
        <f t="shared" si="3"/>
        <v>2750.8</v>
      </c>
      <c r="L1056" s="7">
        <f t="shared" si="4"/>
        <v>2539.2</v>
      </c>
      <c r="M1056" s="7">
        <f t="shared" si="5"/>
        <v>2433.4</v>
      </c>
      <c r="N1056" s="7">
        <f t="shared" si="6"/>
        <v>2327.6</v>
      </c>
    </row>
    <row r="1057">
      <c r="A1057" s="5" t="s">
        <v>2123</v>
      </c>
      <c r="B1057" s="5" t="s">
        <v>1455</v>
      </c>
      <c r="C1057" s="5" t="s">
        <v>436</v>
      </c>
      <c r="D1057" s="5" t="s">
        <v>2240</v>
      </c>
      <c r="E1057" s="5" t="s">
        <v>2241</v>
      </c>
      <c r="F1057" s="6"/>
      <c r="G1057" s="8">
        <v>2540.0</v>
      </c>
      <c r="H1057" s="5" t="s">
        <v>22</v>
      </c>
      <c r="I1057" s="7">
        <f t="shared" si="1"/>
        <v>3810</v>
      </c>
      <c r="J1057" s="7">
        <f t="shared" si="7"/>
        <v>3302</v>
      </c>
      <c r="K1057" s="7">
        <f t="shared" si="3"/>
        <v>3302</v>
      </c>
      <c r="L1057" s="7">
        <f t="shared" si="4"/>
        <v>3048</v>
      </c>
      <c r="M1057" s="7">
        <f t="shared" si="5"/>
        <v>2921</v>
      </c>
      <c r="N1057" s="7">
        <f t="shared" si="6"/>
        <v>2794</v>
      </c>
    </row>
    <row r="1058">
      <c r="A1058" s="5" t="s">
        <v>2123</v>
      </c>
      <c r="B1058" s="5" t="s">
        <v>1455</v>
      </c>
      <c r="C1058" s="5" t="s">
        <v>436</v>
      </c>
      <c r="D1058" s="5" t="s">
        <v>2242</v>
      </c>
      <c r="E1058" s="5" t="s">
        <v>2243</v>
      </c>
      <c r="F1058" s="6"/>
      <c r="G1058" s="8">
        <v>10439.0</v>
      </c>
      <c r="H1058" s="5" t="s">
        <v>22</v>
      </c>
      <c r="I1058" s="7">
        <f t="shared" si="1"/>
        <v>15658.5</v>
      </c>
      <c r="J1058" s="7">
        <f t="shared" si="7"/>
        <v>13570.7</v>
      </c>
      <c r="K1058" s="7">
        <f t="shared" si="3"/>
        <v>13570.7</v>
      </c>
      <c r="L1058" s="7">
        <f t="shared" si="4"/>
        <v>12526.8</v>
      </c>
      <c r="M1058" s="7">
        <f t="shared" si="5"/>
        <v>12004.85</v>
      </c>
      <c r="N1058" s="7">
        <f t="shared" si="6"/>
        <v>11482.9</v>
      </c>
    </row>
    <row r="1059">
      <c r="A1059" s="5" t="s">
        <v>2123</v>
      </c>
      <c r="B1059" s="5" t="s">
        <v>1455</v>
      </c>
      <c r="C1059" s="5" t="s">
        <v>436</v>
      </c>
      <c r="D1059" s="5" t="s">
        <v>2244</v>
      </c>
      <c r="E1059" s="5" t="s">
        <v>2245</v>
      </c>
      <c r="F1059" s="6"/>
      <c r="G1059" s="8">
        <v>1481.0</v>
      </c>
      <c r="H1059" s="5" t="s">
        <v>22</v>
      </c>
      <c r="I1059" s="7">
        <f t="shared" si="1"/>
        <v>2221.5</v>
      </c>
      <c r="J1059" s="7">
        <f t="shared" si="7"/>
        <v>1925.3</v>
      </c>
      <c r="K1059" s="7">
        <f t="shared" si="3"/>
        <v>1925.3</v>
      </c>
      <c r="L1059" s="7">
        <f t="shared" si="4"/>
        <v>1777.2</v>
      </c>
      <c r="M1059" s="7">
        <f t="shared" si="5"/>
        <v>1703.15</v>
      </c>
      <c r="N1059" s="7">
        <f t="shared" si="6"/>
        <v>1629.1</v>
      </c>
    </row>
    <row r="1060">
      <c r="A1060" s="5" t="s">
        <v>2123</v>
      </c>
      <c r="B1060" s="5" t="s">
        <v>1455</v>
      </c>
      <c r="C1060" s="5" t="s">
        <v>436</v>
      </c>
      <c r="D1060" s="5" t="s">
        <v>2246</v>
      </c>
      <c r="E1060" s="5" t="s">
        <v>2247</v>
      </c>
      <c r="F1060" s="6"/>
      <c r="G1060" s="8">
        <v>1693.0</v>
      </c>
      <c r="H1060" s="5" t="s">
        <v>22</v>
      </c>
      <c r="I1060" s="7">
        <f t="shared" si="1"/>
        <v>2539.5</v>
      </c>
      <c r="J1060" s="7">
        <f t="shared" si="7"/>
        <v>2200.9</v>
      </c>
      <c r="K1060" s="7">
        <f t="shared" si="3"/>
        <v>2200.9</v>
      </c>
      <c r="L1060" s="7">
        <f t="shared" si="4"/>
        <v>2031.6</v>
      </c>
      <c r="M1060" s="7">
        <f t="shared" si="5"/>
        <v>1946.95</v>
      </c>
      <c r="N1060" s="7">
        <f t="shared" si="6"/>
        <v>1862.3</v>
      </c>
    </row>
    <row r="1061">
      <c r="A1061" s="5" t="s">
        <v>2123</v>
      </c>
      <c r="B1061" s="5" t="s">
        <v>1455</v>
      </c>
      <c r="C1061" s="5" t="s">
        <v>436</v>
      </c>
      <c r="D1061" s="5" t="s">
        <v>2248</v>
      </c>
      <c r="E1061" s="5" t="s">
        <v>2249</v>
      </c>
      <c r="F1061" s="6"/>
      <c r="G1061" s="8">
        <v>66134.0</v>
      </c>
      <c r="H1061" s="5" t="s">
        <v>22</v>
      </c>
      <c r="I1061" s="7">
        <f t="shared" si="1"/>
        <v>99201</v>
      </c>
      <c r="J1061" s="7">
        <f t="shared" si="7"/>
        <v>85974.2</v>
      </c>
      <c r="K1061" s="7">
        <f t="shared" si="3"/>
        <v>85974.2</v>
      </c>
      <c r="L1061" s="7">
        <f t="shared" si="4"/>
        <v>79360.8</v>
      </c>
      <c r="M1061" s="7">
        <f t="shared" si="5"/>
        <v>76054.1</v>
      </c>
      <c r="N1061" s="7">
        <f t="shared" si="6"/>
        <v>72747.4</v>
      </c>
    </row>
    <row r="1062">
      <c r="A1062" s="5" t="s">
        <v>2123</v>
      </c>
      <c r="B1062" s="5" t="s">
        <v>1455</v>
      </c>
      <c r="C1062" s="5" t="s">
        <v>436</v>
      </c>
      <c r="D1062" s="5" t="s">
        <v>2250</v>
      </c>
      <c r="E1062" s="5" t="s">
        <v>2251</v>
      </c>
      <c r="F1062" s="6"/>
      <c r="G1062" s="8">
        <v>34099.0</v>
      </c>
      <c r="H1062" s="5" t="s">
        <v>22</v>
      </c>
      <c r="I1062" s="7">
        <f t="shared" si="1"/>
        <v>51148.5</v>
      </c>
      <c r="J1062" s="7">
        <f t="shared" si="7"/>
        <v>44328.7</v>
      </c>
      <c r="K1062" s="7">
        <f t="shared" si="3"/>
        <v>44328.7</v>
      </c>
      <c r="L1062" s="7">
        <f t="shared" si="4"/>
        <v>40918.8</v>
      </c>
      <c r="M1062" s="7">
        <f t="shared" si="5"/>
        <v>39213.85</v>
      </c>
      <c r="N1062" s="7">
        <f t="shared" si="6"/>
        <v>37508.9</v>
      </c>
    </row>
    <row r="1063">
      <c r="A1063" s="5" t="s">
        <v>2123</v>
      </c>
      <c r="B1063" s="5" t="s">
        <v>1455</v>
      </c>
      <c r="C1063" s="5" t="s">
        <v>436</v>
      </c>
      <c r="D1063" s="5" t="s">
        <v>2252</v>
      </c>
      <c r="E1063" s="5" t="s">
        <v>2253</v>
      </c>
      <c r="F1063" s="6"/>
      <c r="G1063" s="8">
        <v>1121.0</v>
      </c>
      <c r="H1063" s="5" t="s">
        <v>22</v>
      </c>
      <c r="I1063" s="7">
        <f t="shared" si="1"/>
        <v>1681.5</v>
      </c>
      <c r="J1063" s="7">
        <f t="shared" si="7"/>
        <v>1457.3</v>
      </c>
      <c r="K1063" s="7">
        <f t="shared" si="3"/>
        <v>1457.3</v>
      </c>
      <c r="L1063" s="7">
        <f t="shared" si="4"/>
        <v>1345.2</v>
      </c>
      <c r="M1063" s="7">
        <f t="shared" si="5"/>
        <v>1289.15</v>
      </c>
      <c r="N1063" s="7">
        <f t="shared" si="6"/>
        <v>1233.1</v>
      </c>
    </row>
    <row r="1064">
      <c r="A1064" s="5" t="s">
        <v>2123</v>
      </c>
      <c r="B1064" s="5" t="s">
        <v>1455</v>
      </c>
      <c r="C1064" s="5" t="s">
        <v>436</v>
      </c>
      <c r="D1064" s="5" t="s">
        <v>2254</v>
      </c>
      <c r="E1064" s="5" t="s">
        <v>2255</v>
      </c>
      <c r="F1064" s="6"/>
      <c r="G1064" s="5">
        <v>164.0</v>
      </c>
      <c r="H1064" s="5" t="s">
        <v>22</v>
      </c>
      <c r="I1064" s="7">
        <f t="shared" si="1"/>
        <v>246</v>
      </c>
      <c r="J1064" s="7">
        <f t="shared" si="7"/>
        <v>213.2</v>
      </c>
      <c r="K1064" s="7">
        <f t="shared" si="3"/>
        <v>213.2</v>
      </c>
      <c r="L1064" s="7">
        <f t="shared" si="4"/>
        <v>196.8</v>
      </c>
      <c r="M1064" s="7">
        <f t="shared" si="5"/>
        <v>188.6</v>
      </c>
      <c r="N1064" s="7">
        <f t="shared" si="6"/>
        <v>180.4</v>
      </c>
    </row>
    <row r="1065">
      <c r="A1065" s="5" t="s">
        <v>2123</v>
      </c>
      <c r="B1065" s="5" t="s">
        <v>1455</v>
      </c>
      <c r="C1065" s="5" t="s">
        <v>436</v>
      </c>
      <c r="D1065" s="5" t="s">
        <v>2256</v>
      </c>
      <c r="E1065" s="5" t="s">
        <v>2257</v>
      </c>
      <c r="F1065" s="6"/>
      <c r="G1065" s="5">
        <v>106.0</v>
      </c>
      <c r="H1065" s="5" t="s">
        <v>22</v>
      </c>
      <c r="I1065" s="7">
        <f t="shared" si="1"/>
        <v>159</v>
      </c>
      <c r="J1065" s="7">
        <f t="shared" si="7"/>
        <v>137.8</v>
      </c>
      <c r="K1065" s="7">
        <f t="shared" si="3"/>
        <v>137.8</v>
      </c>
      <c r="L1065" s="7">
        <f t="shared" si="4"/>
        <v>127.2</v>
      </c>
      <c r="M1065" s="7">
        <f t="shared" si="5"/>
        <v>121.9</v>
      </c>
      <c r="N1065" s="7">
        <f t="shared" si="6"/>
        <v>116.6</v>
      </c>
    </row>
    <row r="1066">
      <c r="A1066" s="5" t="s">
        <v>2123</v>
      </c>
      <c r="B1066" s="5" t="s">
        <v>1455</v>
      </c>
      <c r="C1066" s="5" t="s">
        <v>436</v>
      </c>
      <c r="D1066" s="5" t="s">
        <v>2258</v>
      </c>
      <c r="E1066" s="5" t="s">
        <v>2259</v>
      </c>
      <c r="F1066" s="6"/>
      <c r="G1066" s="8">
        <v>4906.0</v>
      </c>
      <c r="H1066" s="5" t="s">
        <v>22</v>
      </c>
      <c r="I1066" s="7">
        <f t="shared" si="1"/>
        <v>7359</v>
      </c>
      <c r="J1066" s="7">
        <f t="shared" si="7"/>
        <v>6377.8</v>
      </c>
      <c r="K1066" s="7">
        <f t="shared" si="3"/>
        <v>6377.8</v>
      </c>
      <c r="L1066" s="7">
        <f t="shared" si="4"/>
        <v>5887.2</v>
      </c>
      <c r="M1066" s="7">
        <f t="shared" si="5"/>
        <v>5641.9</v>
      </c>
      <c r="N1066" s="7">
        <f t="shared" si="6"/>
        <v>5396.6</v>
      </c>
    </row>
    <row r="1067">
      <c r="A1067" s="5" t="s">
        <v>2123</v>
      </c>
      <c r="B1067" s="5" t="s">
        <v>1455</v>
      </c>
      <c r="C1067" s="5" t="s">
        <v>436</v>
      </c>
      <c r="D1067" s="5" t="s">
        <v>2260</v>
      </c>
      <c r="E1067" s="5" t="s">
        <v>2261</v>
      </c>
      <c r="F1067" s="6"/>
      <c r="G1067" s="8">
        <v>5389.0</v>
      </c>
      <c r="H1067" s="5" t="s">
        <v>22</v>
      </c>
      <c r="I1067" s="7">
        <f t="shared" si="1"/>
        <v>8083.5</v>
      </c>
      <c r="J1067" s="7">
        <f t="shared" si="7"/>
        <v>7005.7</v>
      </c>
      <c r="K1067" s="7">
        <f t="shared" si="3"/>
        <v>7005.7</v>
      </c>
      <c r="L1067" s="7">
        <f t="shared" si="4"/>
        <v>6466.8</v>
      </c>
      <c r="M1067" s="7">
        <f t="shared" si="5"/>
        <v>6197.35</v>
      </c>
      <c r="N1067" s="7">
        <f t="shared" si="6"/>
        <v>5927.9</v>
      </c>
    </row>
    <row r="1068">
      <c r="A1068" s="5" t="s">
        <v>2123</v>
      </c>
      <c r="B1068" s="5" t="s">
        <v>1455</v>
      </c>
      <c r="C1068" s="5" t="s">
        <v>436</v>
      </c>
      <c r="D1068" s="5" t="s">
        <v>2262</v>
      </c>
      <c r="E1068" s="5" t="s">
        <v>2263</v>
      </c>
      <c r="F1068" s="6"/>
      <c r="G1068" s="5">
        <v>810.0</v>
      </c>
      <c r="H1068" s="5" t="s">
        <v>22</v>
      </c>
      <c r="I1068" s="7">
        <f t="shared" si="1"/>
        <v>1215</v>
      </c>
      <c r="J1068" s="7">
        <f t="shared" si="7"/>
        <v>1053</v>
      </c>
      <c r="K1068" s="7">
        <f t="shared" si="3"/>
        <v>1053</v>
      </c>
      <c r="L1068" s="7">
        <f t="shared" si="4"/>
        <v>972</v>
      </c>
      <c r="M1068" s="7">
        <f t="shared" si="5"/>
        <v>931.5</v>
      </c>
      <c r="N1068" s="7">
        <f t="shared" si="6"/>
        <v>891</v>
      </c>
    </row>
    <row r="1069">
      <c r="A1069" s="5" t="s">
        <v>2123</v>
      </c>
      <c r="B1069" s="5" t="s">
        <v>1455</v>
      </c>
      <c r="C1069" s="5" t="s">
        <v>436</v>
      </c>
      <c r="D1069" s="5" t="s">
        <v>2264</v>
      </c>
      <c r="E1069" s="5" t="s">
        <v>2265</v>
      </c>
      <c r="F1069" s="6"/>
      <c r="G1069" s="8">
        <v>114143.0</v>
      </c>
      <c r="H1069" s="5" t="s">
        <v>22</v>
      </c>
      <c r="I1069" s="7">
        <f t="shared" si="1"/>
        <v>171214.5</v>
      </c>
      <c r="J1069" s="7">
        <f t="shared" si="7"/>
        <v>148385.9</v>
      </c>
      <c r="K1069" s="7">
        <f t="shared" si="3"/>
        <v>148385.9</v>
      </c>
      <c r="L1069" s="7">
        <f t="shared" si="4"/>
        <v>136971.6</v>
      </c>
      <c r="M1069" s="7">
        <f t="shared" si="5"/>
        <v>131264.45</v>
      </c>
      <c r="N1069" s="7">
        <f t="shared" si="6"/>
        <v>125557.3</v>
      </c>
    </row>
    <row r="1070">
      <c r="A1070" s="5" t="s">
        <v>2123</v>
      </c>
      <c r="B1070" s="5" t="s">
        <v>1455</v>
      </c>
      <c r="C1070" s="5" t="s">
        <v>436</v>
      </c>
      <c r="D1070" s="5" t="s">
        <v>2266</v>
      </c>
      <c r="E1070" s="5" t="s">
        <v>2267</v>
      </c>
      <c r="F1070" s="6"/>
      <c r="G1070" s="6"/>
      <c r="H1070" s="5" t="s">
        <v>22</v>
      </c>
      <c r="I1070" s="7">
        <f t="shared" si="1"/>
        <v>0</v>
      </c>
      <c r="J1070" s="7">
        <f t="shared" si="7"/>
        <v>0</v>
      </c>
      <c r="K1070" s="7">
        <f t="shared" si="3"/>
        <v>0</v>
      </c>
      <c r="L1070" s="7">
        <f t="shared" si="4"/>
        <v>0</v>
      </c>
      <c r="M1070" s="7">
        <f t="shared" si="5"/>
        <v>0</v>
      </c>
      <c r="N1070" s="7">
        <f t="shared" si="6"/>
        <v>0</v>
      </c>
    </row>
    <row r="1071">
      <c r="A1071" s="5" t="s">
        <v>2123</v>
      </c>
      <c r="B1071" s="5" t="s">
        <v>1455</v>
      </c>
      <c r="C1071" s="5" t="s">
        <v>436</v>
      </c>
      <c r="D1071" s="5" t="s">
        <v>2268</v>
      </c>
      <c r="E1071" s="5" t="s">
        <v>2269</v>
      </c>
      <c r="F1071" s="6"/>
      <c r="G1071" s="6"/>
      <c r="H1071" s="5" t="s">
        <v>22</v>
      </c>
      <c r="I1071" s="7">
        <f t="shared" si="1"/>
        <v>0</v>
      </c>
      <c r="J1071" s="7">
        <f t="shared" si="7"/>
        <v>0</v>
      </c>
      <c r="K1071" s="7">
        <f t="shared" si="3"/>
        <v>0</v>
      </c>
      <c r="L1071" s="7">
        <f t="shared" si="4"/>
        <v>0</v>
      </c>
      <c r="M1071" s="7">
        <f t="shared" si="5"/>
        <v>0</v>
      </c>
      <c r="N1071" s="7">
        <f t="shared" si="6"/>
        <v>0</v>
      </c>
    </row>
    <row r="1072">
      <c r="A1072" s="5" t="s">
        <v>2123</v>
      </c>
      <c r="B1072" s="5" t="s">
        <v>1455</v>
      </c>
      <c r="C1072" s="5" t="s">
        <v>436</v>
      </c>
      <c r="D1072" s="5" t="s">
        <v>2270</v>
      </c>
      <c r="E1072" s="5" t="s">
        <v>2271</v>
      </c>
      <c r="F1072" s="6"/>
      <c r="G1072" s="6"/>
      <c r="H1072" s="5" t="s">
        <v>22</v>
      </c>
      <c r="I1072" s="7">
        <f t="shared" si="1"/>
        <v>0</v>
      </c>
      <c r="J1072" s="7">
        <f t="shared" si="7"/>
        <v>0</v>
      </c>
      <c r="K1072" s="7">
        <f t="shared" si="3"/>
        <v>0</v>
      </c>
      <c r="L1072" s="7">
        <f t="shared" si="4"/>
        <v>0</v>
      </c>
      <c r="M1072" s="7">
        <f t="shared" si="5"/>
        <v>0</v>
      </c>
      <c r="N1072" s="7">
        <f t="shared" si="6"/>
        <v>0</v>
      </c>
    </row>
    <row r="1073">
      <c r="A1073" s="5" t="s">
        <v>2123</v>
      </c>
      <c r="B1073" s="5" t="s">
        <v>1455</v>
      </c>
      <c r="C1073" s="5" t="s">
        <v>436</v>
      </c>
      <c r="D1073" s="5" t="s">
        <v>2272</v>
      </c>
      <c r="E1073" s="5" t="s">
        <v>2273</v>
      </c>
      <c r="F1073" s="6"/>
      <c r="G1073" s="8">
        <v>6632.0</v>
      </c>
      <c r="H1073" s="5" t="s">
        <v>22</v>
      </c>
      <c r="I1073" s="7">
        <f t="shared" si="1"/>
        <v>9948</v>
      </c>
      <c r="J1073" s="7">
        <f t="shared" si="7"/>
        <v>8621.6</v>
      </c>
      <c r="K1073" s="7">
        <f t="shared" si="3"/>
        <v>8621.6</v>
      </c>
      <c r="L1073" s="7">
        <f t="shared" si="4"/>
        <v>7958.4</v>
      </c>
      <c r="M1073" s="7">
        <f t="shared" si="5"/>
        <v>7626.8</v>
      </c>
      <c r="N1073" s="7">
        <f t="shared" si="6"/>
        <v>7295.2</v>
      </c>
    </row>
    <row r="1074">
      <c r="A1074" s="5" t="s">
        <v>2123</v>
      </c>
      <c r="B1074" s="5" t="s">
        <v>1455</v>
      </c>
      <c r="C1074" s="5" t="s">
        <v>436</v>
      </c>
      <c r="D1074" s="5" t="s">
        <v>2274</v>
      </c>
      <c r="E1074" s="5" t="s">
        <v>2275</v>
      </c>
      <c r="F1074" s="6"/>
      <c r="G1074" s="8">
        <v>2515.0</v>
      </c>
      <c r="H1074" s="5" t="s">
        <v>22</v>
      </c>
      <c r="I1074" s="7">
        <f t="shared" si="1"/>
        <v>3772.5</v>
      </c>
      <c r="J1074" s="7">
        <f t="shared" si="7"/>
        <v>3269.5</v>
      </c>
      <c r="K1074" s="7">
        <f t="shared" si="3"/>
        <v>3269.5</v>
      </c>
      <c r="L1074" s="7">
        <f t="shared" si="4"/>
        <v>3018</v>
      </c>
      <c r="M1074" s="7">
        <f t="shared" si="5"/>
        <v>2892.25</v>
      </c>
      <c r="N1074" s="7">
        <f t="shared" si="6"/>
        <v>2766.5</v>
      </c>
    </row>
    <row r="1075">
      <c r="A1075" s="5" t="s">
        <v>2123</v>
      </c>
      <c r="B1075" s="5" t="s">
        <v>1455</v>
      </c>
      <c r="C1075" s="5" t="s">
        <v>436</v>
      </c>
      <c r="D1075" s="5" t="s">
        <v>2145</v>
      </c>
      <c r="E1075" s="5" t="s">
        <v>2276</v>
      </c>
      <c r="F1075" s="6"/>
      <c r="G1075" s="8">
        <v>4963.0</v>
      </c>
      <c r="H1075" s="5" t="s">
        <v>22</v>
      </c>
      <c r="I1075" s="7">
        <f t="shared" si="1"/>
        <v>7444.5</v>
      </c>
      <c r="J1075" s="7">
        <f t="shared" si="7"/>
        <v>6451.9</v>
      </c>
      <c r="K1075" s="7">
        <f t="shared" si="3"/>
        <v>6451.9</v>
      </c>
      <c r="L1075" s="7">
        <f t="shared" si="4"/>
        <v>5955.6</v>
      </c>
      <c r="M1075" s="7">
        <f t="shared" si="5"/>
        <v>5707.45</v>
      </c>
      <c r="N1075" s="7">
        <f t="shared" si="6"/>
        <v>5459.3</v>
      </c>
    </row>
    <row r="1076">
      <c r="A1076" s="5" t="s">
        <v>2123</v>
      </c>
      <c r="B1076" s="5" t="s">
        <v>1455</v>
      </c>
      <c r="C1076" s="5" t="s">
        <v>436</v>
      </c>
      <c r="D1076" s="5" t="s">
        <v>2277</v>
      </c>
      <c r="E1076" s="5" t="s">
        <v>2278</v>
      </c>
      <c r="F1076" s="6"/>
      <c r="G1076" s="8">
        <v>7105.0</v>
      </c>
      <c r="H1076" s="5" t="s">
        <v>22</v>
      </c>
      <c r="I1076" s="7">
        <f t="shared" si="1"/>
        <v>10657.5</v>
      </c>
      <c r="J1076" s="7">
        <f t="shared" si="7"/>
        <v>9236.5</v>
      </c>
      <c r="K1076" s="7">
        <f t="shared" si="3"/>
        <v>9236.5</v>
      </c>
      <c r="L1076" s="7">
        <f t="shared" si="4"/>
        <v>8526</v>
      </c>
      <c r="M1076" s="7">
        <f t="shared" si="5"/>
        <v>8170.75</v>
      </c>
      <c r="N1076" s="7">
        <f t="shared" si="6"/>
        <v>7815.5</v>
      </c>
    </row>
    <row r="1077">
      <c r="A1077" s="5" t="s">
        <v>2123</v>
      </c>
      <c r="B1077" s="5" t="s">
        <v>1455</v>
      </c>
      <c r="C1077" s="5" t="s">
        <v>436</v>
      </c>
      <c r="D1077" s="5" t="s">
        <v>2279</v>
      </c>
      <c r="E1077" s="5" t="s">
        <v>2280</v>
      </c>
      <c r="F1077" s="6"/>
      <c r="G1077" s="8">
        <v>2945.0</v>
      </c>
      <c r="H1077" s="5" t="s">
        <v>22</v>
      </c>
      <c r="I1077" s="7">
        <f t="shared" si="1"/>
        <v>4417.5</v>
      </c>
      <c r="J1077" s="7">
        <f t="shared" si="7"/>
        <v>3828.5</v>
      </c>
      <c r="K1077" s="7">
        <f t="shared" si="3"/>
        <v>3828.5</v>
      </c>
      <c r="L1077" s="7">
        <f t="shared" si="4"/>
        <v>3534</v>
      </c>
      <c r="M1077" s="7">
        <f t="shared" si="5"/>
        <v>3386.75</v>
      </c>
      <c r="N1077" s="7">
        <f t="shared" si="6"/>
        <v>3239.5</v>
      </c>
    </row>
    <row r="1078">
      <c r="A1078" s="5" t="s">
        <v>2123</v>
      </c>
      <c r="B1078" s="5" t="s">
        <v>1524</v>
      </c>
      <c r="C1078" s="5" t="s">
        <v>2281</v>
      </c>
      <c r="D1078" s="5" t="s">
        <v>2282</v>
      </c>
      <c r="E1078" s="5" t="s">
        <v>2283</v>
      </c>
      <c r="F1078" s="6"/>
      <c r="G1078" s="8">
        <v>80948.0</v>
      </c>
      <c r="H1078" s="5" t="s">
        <v>22</v>
      </c>
      <c r="I1078" s="7">
        <f t="shared" si="1"/>
        <v>121422</v>
      </c>
      <c r="J1078" s="7">
        <f t="shared" si="7"/>
        <v>105232.4</v>
      </c>
      <c r="K1078" s="7">
        <f t="shared" si="3"/>
        <v>105232.4</v>
      </c>
      <c r="L1078" s="7">
        <f t="shared" si="4"/>
        <v>97137.6</v>
      </c>
      <c r="M1078" s="7">
        <f t="shared" si="5"/>
        <v>93090.2</v>
      </c>
      <c r="N1078" s="7">
        <f t="shared" si="6"/>
        <v>89042.8</v>
      </c>
    </row>
    <row r="1079">
      <c r="A1079" s="5" t="s">
        <v>2123</v>
      </c>
      <c r="B1079" s="5" t="s">
        <v>1524</v>
      </c>
      <c r="C1079" s="5" t="s">
        <v>2281</v>
      </c>
      <c r="D1079" s="5" t="s">
        <v>2284</v>
      </c>
      <c r="E1079" s="5" t="s">
        <v>2285</v>
      </c>
      <c r="F1079" s="6"/>
      <c r="G1079" s="8">
        <v>102535.0</v>
      </c>
      <c r="H1079" s="5" t="s">
        <v>22</v>
      </c>
      <c r="I1079" s="7">
        <f t="shared" si="1"/>
        <v>153802.5</v>
      </c>
      <c r="J1079" s="7">
        <f t="shared" si="7"/>
        <v>133295.5</v>
      </c>
      <c r="K1079" s="7">
        <f t="shared" si="3"/>
        <v>133295.5</v>
      </c>
      <c r="L1079" s="7">
        <f t="shared" si="4"/>
        <v>123042</v>
      </c>
      <c r="M1079" s="7">
        <f t="shared" si="5"/>
        <v>117915.25</v>
      </c>
      <c r="N1079" s="7">
        <f t="shared" si="6"/>
        <v>112788.5</v>
      </c>
    </row>
    <row r="1080">
      <c r="A1080" s="5" t="s">
        <v>2123</v>
      </c>
      <c r="B1080" s="5" t="s">
        <v>1524</v>
      </c>
      <c r="C1080" s="5" t="s">
        <v>2281</v>
      </c>
      <c r="D1080" s="5" t="s">
        <v>2286</v>
      </c>
      <c r="E1080" s="5" t="s">
        <v>2287</v>
      </c>
      <c r="F1080" s="6"/>
      <c r="G1080" s="8">
        <v>32538.0</v>
      </c>
      <c r="H1080" s="5" t="s">
        <v>22</v>
      </c>
      <c r="I1080" s="7">
        <f t="shared" si="1"/>
        <v>48807</v>
      </c>
      <c r="J1080" s="7">
        <f t="shared" si="7"/>
        <v>42299.4</v>
      </c>
      <c r="K1080" s="7">
        <f t="shared" si="3"/>
        <v>42299.4</v>
      </c>
      <c r="L1080" s="7">
        <f t="shared" si="4"/>
        <v>39045.6</v>
      </c>
      <c r="M1080" s="7">
        <f t="shared" si="5"/>
        <v>37418.7</v>
      </c>
      <c r="N1080" s="7">
        <f t="shared" si="6"/>
        <v>35791.8</v>
      </c>
    </row>
    <row r="1081">
      <c r="A1081" s="5" t="s">
        <v>2123</v>
      </c>
      <c r="B1081" s="5" t="s">
        <v>1524</v>
      </c>
      <c r="C1081" s="5" t="s">
        <v>2288</v>
      </c>
      <c r="D1081" s="5" t="s">
        <v>2289</v>
      </c>
      <c r="E1081" s="5" t="s">
        <v>2290</v>
      </c>
      <c r="F1081" s="6"/>
      <c r="G1081" s="8">
        <v>26454.0</v>
      </c>
      <c r="H1081" s="5" t="s">
        <v>22</v>
      </c>
      <c r="I1081" s="7">
        <f t="shared" si="1"/>
        <v>39681</v>
      </c>
      <c r="J1081" s="7">
        <f t="shared" si="7"/>
        <v>34390.2</v>
      </c>
      <c r="K1081" s="7">
        <f t="shared" si="3"/>
        <v>34390.2</v>
      </c>
      <c r="L1081" s="7">
        <f t="shared" si="4"/>
        <v>31744.8</v>
      </c>
      <c r="M1081" s="7">
        <f t="shared" si="5"/>
        <v>30422.1</v>
      </c>
      <c r="N1081" s="7">
        <f t="shared" si="6"/>
        <v>29099.4</v>
      </c>
    </row>
    <row r="1082">
      <c r="A1082" s="5" t="s">
        <v>2123</v>
      </c>
      <c r="B1082" s="5" t="s">
        <v>1524</v>
      </c>
      <c r="C1082" s="5" t="s">
        <v>2288</v>
      </c>
      <c r="D1082" s="5" t="s">
        <v>2291</v>
      </c>
      <c r="E1082" s="5" t="s">
        <v>2292</v>
      </c>
      <c r="F1082" s="6"/>
      <c r="G1082" s="8">
        <v>23808.0</v>
      </c>
      <c r="H1082" s="5" t="s">
        <v>22</v>
      </c>
      <c r="I1082" s="7">
        <f t="shared" si="1"/>
        <v>35712</v>
      </c>
      <c r="J1082" s="7">
        <f t="shared" si="7"/>
        <v>30950.4</v>
      </c>
      <c r="K1082" s="7">
        <f t="shared" si="3"/>
        <v>30950.4</v>
      </c>
      <c r="L1082" s="7">
        <f t="shared" si="4"/>
        <v>28569.6</v>
      </c>
      <c r="M1082" s="7">
        <f t="shared" si="5"/>
        <v>27379.2</v>
      </c>
      <c r="N1082" s="7">
        <f t="shared" si="6"/>
        <v>26188.8</v>
      </c>
    </row>
    <row r="1083">
      <c r="A1083" s="5" t="s">
        <v>2123</v>
      </c>
      <c r="B1083" s="5" t="s">
        <v>1524</v>
      </c>
      <c r="C1083" s="5" t="s">
        <v>2288</v>
      </c>
      <c r="D1083" s="5" t="s">
        <v>2293</v>
      </c>
      <c r="E1083" s="5" t="s">
        <v>2294</v>
      </c>
      <c r="F1083" s="6"/>
      <c r="G1083" s="8">
        <v>19047.0</v>
      </c>
      <c r="H1083" s="5" t="s">
        <v>22</v>
      </c>
      <c r="I1083" s="7">
        <f t="shared" si="1"/>
        <v>28570.5</v>
      </c>
      <c r="J1083" s="7">
        <f t="shared" si="7"/>
        <v>24761.1</v>
      </c>
      <c r="K1083" s="7">
        <f t="shared" si="3"/>
        <v>24761.1</v>
      </c>
      <c r="L1083" s="7">
        <f t="shared" si="4"/>
        <v>22856.4</v>
      </c>
      <c r="M1083" s="7">
        <f t="shared" si="5"/>
        <v>21904.05</v>
      </c>
      <c r="N1083" s="7">
        <f t="shared" si="6"/>
        <v>20951.7</v>
      </c>
    </row>
    <row r="1084">
      <c r="A1084" s="5" t="s">
        <v>2123</v>
      </c>
      <c r="B1084" s="5" t="s">
        <v>1524</v>
      </c>
      <c r="C1084" s="5" t="s">
        <v>2295</v>
      </c>
      <c r="D1084" s="5" t="s">
        <v>2296</v>
      </c>
      <c r="E1084" s="5" t="s">
        <v>2297</v>
      </c>
      <c r="F1084" s="6"/>
      <c r="G1084" s="8">
        <v>180880.0</v>
      </c>
      <c r="H1084" s="5" t="s">
        <v>22</v>
      </c>
      <c r="I1084" s="7">
        <f t="shared" si="1"/>
        <v>271320</v>
      </c>
      <c r="J1084" s="7">
        <f t="shared" si="7"/>
        <v>235144</v>
      </c>
      <c r="K1084" s="7">
        <f t="shared" si="3"/>
        <v>235144</v>
      </c>
      <c r="L1084" s="7">
        <f t="shared" si="4"/>
        <v>217056</v>
      </c>
      <c r="M1084" s="7">
        <f t="shared" si="5"/>
        <v>208012</v>
      </c>
      <c r="N1084" s="7">
        <f t="shared" si="6"/>
        <v>198968</v>
      </c>
    </row>
    <row r="1085">
      <c r="A1085" s="5" t="s">
        <v>2123</v>
      </c>
      <c r="B1085" s="5" t="s">
        <v>1524</v>
      </c>
      <c r="C1085" s="5" t="s">
        <v>2295</v>
      </c>
      <c r="D1085" s="5" t="s">
        <v>2298</v>
      </c>
      <c r="E1085" s="5" t="s">
        <v>2299</v>
      </c>
      <c r="F1085" s="6"/>
      <c r="G1085" s="8">
        <v>202804.0</v>
      </c>
      <c r="H1085" s="5" t="s">
        <v>22</v>
      </c>
      <c r="I1085" s="7">
        <f t="shared" si="1"/>
        <v>304206</v>
      </c>
      <c r="J1085" s="7">
        <f t="shared" si="7"/>
        <v>263645.2</v>
      </c>
      <c r="K1085" s="7">
        <f t="shared" si="3"/>
        <v>263645.2</v>
      </c>
      <c r="L1085" s="7">
        <f t="shared" si="4"/>
        <v>243364.8</v>
      </c>
      <c r="M1085" s="7">
        <f t="shared" si="5"/>
        <v>233224.6</v>
      </c>
      <c r="N1085" s="7">
        <f t="shared" si="6"/>
        <v>223084.4</v>
      </c>
    </row>
    <row r="1086">
      <c r="A1086" s="5" t="s">
        <v>2123</v>
      </c>
      <c r="B1086" s="5" t="s">
        <v>1524</v>
      </c>
      <c r="C1086" s="5" t="s">
        <v>2295</v>
      </c>
      <c r="D1086" s="5" t="s">
        <v>2300</v>
      </c>
      <c r="E1086" s="5" t="s">
        <v>2301</v>
      </c>
      <c r="F1086" s="6"/>
      <c r="G1086" s="8">
        <v>386584.0</v>
      </c>
      <c r="H1086" s="5" t="s">
        <v>22</v>
      </c>
      <c r="I1086" s="7">
        <f t="shared" si="1"/>
        <v>579876</v>
      </c>
      <c r="J1086" s="7">
        <f t="shared" si="7"/>
        <v>502559.2</v>
      </c>
      <c r="K1086" s="7">
        <f t="shared" si="3"/>
        <v>502559.2</v>
      </c>
      <c r="L1086" s="7">
        <f t="shared" si="4"/>
        <v>463900.8</v>
      </c>
      <c r="M1086" s="7">
        <f t="shared" si="5"/>
        <v>444571.6</v>
      </c>
      <c r="N1086" s="7">
        <f t="shared" si="6"/>
        <v>425242.4</v>
      </c>
    </row>
    <row r="1087">
      <c r="A1087" s="5" t="s">
        <v>2123</v>
      </c>
      <c r="B1087" s="5" t="s">
        <v>1524</v>
      </c>
      <c r="C1087" s="5" t="s">
        <v>2295</v>
      </c>
      <c r="D1087" s="5" t="s">
        <v>2302</v>
      </c>
      <c r="E1087" s="5" t="s">
        <v>2303</v>
      </c>
      <c r="F1087" s="6"/>
      <c r="G1087" s="8">
        <v>257617.0</v>
      </c>
      <c r="H1087" s="5" t="s">
        <v>22</v>
      </c>
      <c r="I1087" s="7">
        <f t="shared" si="1"/>
        <v>386425.5</v>
      </c>
      <c r="J1087" s="7">
        <f t="shared" si="7"/>
        <v>334902.1</v>
      </c>
      <c r="K1087" s="7">
        <f t="shared" si="3"/>
        <v>334902.1</v>
      </c>
      <c r="L1087" s="7">
        <f t="shared" si="4"/>
        <v>309140.4</v>
      </c>
      <c r="M1087" s="7">
        <f t="shared" si="5"/>
        <v>296259.55</v>
      </c>
      <c r="N1087" s="7">
        <f t="shared" si="6"/>
        <v>283378.7</v>
      </c>
    </row>
    <row r="1088">
      <c r="A1088" s="5" t="s">
        <v>2123</v>
      </c>
      <c r="B1088" s="5" t="s">
        <v>1524</v>
      </c>
      <c r="C1088" s="5" t="s">
        <v>2295</v>
      </c>
      <c r="D1088" s="5" t="s">
        <v>2304</v>
      </c>
      <c r="E1088" s="5" t="s">
        <v>2305</v>
      </c>
      <c r="F1088" s="6"/>
      <c r="G1088" s="8">
        <v>77794.0</v>
      </c>
      <c r="H1088" s="5" t="s">
        <v>22</v>
      </c>
      <c r="I1088" s="7">
        <f t="shared" si="1"/>
        <v>116691</v>
      </c>
      <c r="J1088" s="7">
        <f t="shared" si="7"/>
        <v>101132.2</v>
      </c>
      <c r="K1088" s="7">
        <f t="shared" si="3"/>
        <v>101132.2</v>
      </c>
      <c r="L1088" s="7">
        <f t="shared" si="4"/>
        <v>93352.8</v>
      </c>
      <c r="M1088" s="7">
        <f t="shared" si="5"/>
        <v>89463.1</v>
      </c>
      <c r="N1088" s="7">
        <f t="shared" si="6"/>
        <v>85573.4</v>
      </c>
    </row>
    <row r="1089">
      <c r="A1089" s="5" t="s">
        <v>2123</v>
      </c>
      <c r="B1089" s="5" t="s">
        <v>1524</v>
      </c>
      <c r="C1089" s="5" t="s">
        <v>2295</v>
      </c>
      <c r="D1089" s="5" t="s">
        <v>2306</v>
      </c>
      <c r="E1089" s="5" t="s">
        <v>2307</v>
      </c>
      <c r="F1089" s="6"/>
      <c r="G1089" s="8">
        <v>30147.0</v>
      </c>
      <c r="H1089" s="5" t="s">
        <v>22</v>
      </c>
      <c r="I1089" s="7">
        <f t="shared" si="1"/>
        <v>45220.5</v>
      </c>
      <c r="J1089" s="7">
        <f t="shared" si="7"/>
        <v>39191.1</v>
      </c>
      <c r="K1089" s="7">
        <f t="shared" si="3"/>
        <v>39191.1</v>
      </c>
      <c r="L1089" s="7">
        <f t="shared" si="4"/>
        <v>36176.4</v>
      </c>
      <c r="M1089" s="7">
        <f t="shared" si="5"/>
        <v>34669.05</v>
      </c>
      <c r="N1089" s="7">
        <f t="shared" si="6"/>
        <v>33161.7</v>
      </c>
    </row>
    <row r="1090">
      <c r="A1090" s="5" t="s">
        <v>2123</v>
      </c>
      <c r="B1090" s="5" t="s">
        <v>1524</v>
      </c>
      <c r="C1090" s="5" t="s">
        <v>2295</v>
      </c>
      <c r="D1090" s="5" t="s">
        <v>2308</v>
      </c>
      <c r="E1090" s="5" t="s">
        <v>2309</v>
      </c>
      <c r="F1090" s="6"/>
      <c r="G1090" s="8">
        <v>13864.0</v>
      </c>
      <c r="H1090" s="5" t="s">
        <v>22</v>
      </c>
      <c r="I1090" s="7">
        <f t="shared" si="1"/>
        <v>20796</v>
      </c>
      <c r="J1090" s="7">
        <f t="shared" si="7"/>
        <v>18023.2</v>
      </c>
      <c r="K1090" s="7">
        <f t="shared" si="3"/>
        <v>18023.2</v>
      </c>
      <c r="L1090" s="7">
        <f t="shared" si="4"/>
        <v>16636.8</v>
      </c>
      <c r="M1090" s="7">
        <f t="shared" si="5"/>
        <v>15943.6</v>
      </c>
      <c r="N1090" s="7">
        <f t="shared" si="6"/>
        <v>15250.4</v>
      </c>
    </row>
    <row r="1091">
      <c r="A1091" s="5" t="s">
        <v>2123</v>
      </c>
      <c r="B1091" s="5" t="s">
        <v>1524</v>
      </c>
      <c r="C1091" s="5" t="s">
        <v>2295</v>
      </c>
      <c r="D1091" s="5" t="s">
        <v>2310</v>
      </c>
      <c r="E1091" s="5" t="s">
        <v>2311</v>
      </c>
      <c r="F1091" s="6"/>
      <c r="G1091" s="8">
        <v>41109.0</v>
      </c>
      <c r="H1091" s="5" t="s">
        <v>22</v>
      </c>
      <c r="I1091" s="7">
        <f t="shared" si="1"/>
        <v>61663.5</v>
      </c>
      <c r="J1091" s="7">
        <f t="shared" si="7"/>
        <v>53441.7</v>
      </c>
      <c r="K1091" s="7">
        <f t="shared" si="3"/>
        <v>53441.7</v>
      </c>
      <c r="L1091" s="7">
        <f t="shared" si="4"/>
        <v>49330.8</v>
      </c>
      <c r="M1091" s="7">
        <f t="shared" si="5"/>
        <v>47275.35</v>
      </c>
      <c r="N1091" s="7">
        <f t="shared" si="6"/>
        <v>45219.9</v>
      </c>
    </row>
    <row r="1092">
      <c r="A1092" s="5" t="s">
        <v>2123</v>
      </c>
      <c r="B1092" s="5" t="s">
        <v>1524</v>
      </c>
      <c r="C1092" s="5" t="s">
        <v>2295</v>
      </c>
      <c r="D1092" s="5" t="s">
        <v>2312</v>
      </c>
      <c r="E1092" s="5" t="s">
        <v>2313</v>
      </c>
      <c r="F1092" s="6"/>
      <c r="G1092" s="8">
        <v>33709.0</v>
      </c>
      <c r="H1092" s="5" t="s">
        <v>22</v>
      </c>
      <c r="I1092" s="7">
        <f t="shared" si="1"/>
        <v>50563.5</v>
      </c>
      <c r="J1092" s="7">
        <f t="shared" si="7"/>
        <v>43821.7</v>
      </c>
      <c r="K1092" s="7">
        <f t="shared" si="3"/>
        <v>43821.7</v>
      </c>
      <c r="L1092" s="7">
        <f t="shared" si="4"/>
        <v>40450.8</v>
      </c>
      <c r="M1092" s="7">
        <f t="shared" si="5"/>
        <v>38765.35</v>
      </c>
      <c r="N1092" s="7">
        <f t="shared" si="6"/>
        <v>37079.9</v>
      </c>
    </row>
    <row r="1093">
      <c r="A1093" s="5" t="s">
        <v>2123</v>
      </c>
      <c r="B1093" s="5" t="s">
        <v>1524</v>
      </c>
      <c r="C1093" s="5" t="s">
        <v>2314</v>
      </c>
      <c r="D1093" s="5" t="s">
        <v>2315</v>
      </c>
      <c r="E1093" s="5" t="s">
        <v>522</v>
      </c>
      <c r="F1093" s="6"/>
      <c r="G1093" s="8">
        <v>3227.35</v>
      </c>
      <c r="H1093" s="5" t="s">
        <v>22</v>
      </c>
      <c r="I1093" s="7">
        <f t="shared" si="1"/>
        <v>4841.025</v>
      </c>
      <c r="J1093" s="7">
        <f t="shared" si="7"/>
        <v>4195.555</v>
      </c>
      <c r="K1093" s="7">
        <f t="shared" si="3"/>
        <v>4195.555</v>
      </c>
      <c r="L1093" s="7">
        <f t="shared" si="4"/>
        <v>3872.82</v>
      </c>
      <c r="M1093" s="7">
        <f t="shared" si="5"/>
        <v>3711.4525</v>
      </c>
      <c r="N1093" s="7">
        <f t="shared" si="6"/>
        <v>3550.085</v>
      </c>
    </row>
    <row r="1094">
      <c r="A1094" s="5" t="s">
        <v>2123</v>
      </c>
      <c r="B1094" s="5" t="s">
        <v>1524</v>
      </c>
      <c r="C1094" s="5" t="s">
        <v>2314</v>
      </c>
      <c r="D1094" s="5" t="s">
        <v>2316</v>
      </c>
      <c r="E1094" s="5" t="s">
        <v>2317</v>
      </c>
      <c r="F1094" s="6"/>
      <c r="G1094" s="8">
        <v>4828.0</v>
      </c>
      <c r="H1094" s="5" t="s">
        <v>22</v>
      </c>
      <c r="I1094" s="7">
        <f t="shared" si="1"/>
        <v>7242</v>
      </c>
      <c r="J1094" s="7">
        <f t="shared" si="7"/>
        <v>6276.4</v>
      </c>
      <c r="K1094" s="7">
        <f t="shared" si="3"/>
        <v>6276.4</v>
      </c>
      <c r="L1094" s="7">
        <f t="shared" si="4"/>
        <v>5793.6</v>
      </c>
      <c r="M1094" s="7">
        <f t="shared" si="5"/>
        <v>5552.2</v>
      </c>
      <c r="N1094" s="7">
        <f t="shared" si="6"/>
        <v>5310.8</v>
      </c>
    </row>
    <row r="1095">
      <c r="A1095" s="5" t="s">
        <v>2123</v>
      </c>
      <c r="B1095" s="5" t="s">
        <v>1524</v>
      </c>
      <c r="C1095" s="5" t="s">
        <v>2318</v>
      </c>
      <c r="D1095" s="5" t="s">
        <v>2319</v>
      </c>
      <c r="E1095" s="5" t="s">
        <v>2320</v>
      </c>
      <c r="F1095" s="6"/>
      <c r="G1095" s="5">
        <v>466.0</v>
      </c>
      <c r="H1095" s="5" t="s">
        <v>22</v>
      </c>
      <c r="I1095" s="7">
        <f t="shared" si="1"/>
        <v>699</v>
      </c>
      <c r="J1095" s="7">
        <f t="shared" si="7"/>
        <v>605.8</v>
      </c>
      <c r="K1095" s="7">
        <f t="shared" si="3"/>
        <v>605.8</v>
      </c>
      <c r="L1095" s="7">
        <f t="shared" si="4"/>
        <v>559.2</v>
      </c>
      <c r="M1095" s="7">
        <f t="shared" si="5"/>
        <v>535.9</v>
      </c>
      <c r="N1095" s="7">
        <f t="shared" si="6"/>
        <v>512.6</v>
      </c>
    </row>
    <row r="1096">
      <c r="A1096" s="5" t="s">
        <v>2123</v>
      </c>
      <c r="B1096" s="5" t="s">
        <v>1524</v>
      </c>
      <c r="C1096" s="5" t="s">
        <v>2318</v>
      </c>
      <c r="D1096" s="5" t="s">
        <v>2321</v>
      </c>
      <c r="E1096" s="5" t="s">
        <v>2322</v>
      </c>
      <c r="F1096" s="6"/>
      <c r="G1096" s="5">
        <v>488.0</v>
      </c>
      <c r="H1096" s="5" t="s">
        <v>22</v>
      </c>
      <c r="I1096" s="7">
        <f t="shared" si="1"/>
        <v>732</v>
      </c>
      <c r="J1096" s="7">
        <f t="shared" si="7"/>
        <v>634.4</v>
      </c>
      <c r="K1096" s="7">
        <f t="shared" si="3"/>
        <v>634.4</v>
      </c>
      <c r="L1096" s="7">
        <f t="shared" si="4"/>
        <v>585.6</v>
      </c>
      <c r="M1096" s="7">
        <f t="shared" si="5"/>
        <v>561.2</v>
      </c>
      <c r="N1096" s="7">
        <f t="shared" si="6"/>
        <v>536.8</v>
      </c>
    </row>
    <row r="1097">
      <c r="A1097" s="5" t="s">
        <v>2123</v>
      </c>
      <c r="B1097" s="5" t="s">
        <v>1524</v>
      </c>
      <c r="C1097" s="5" t="s">
        <v>2318</v>
      </c>
      <c r="D1097" s="5" t="s">
        <v>2323</v>
      </c>
      <c r="E1097" s="5" t="s">
        <v>2324</v>
      </c>
      <c r="F1097" s="6"/>
      <c r="G1097" s="8">
        <v>4391.32</v>
      </c>
      <c r="H1097" s="5" t="s">
        <v>22</v>
      </c>
      <c r="I1097" s="7">
        <f t="shared" si="1"/>
        <v>6586.98</v>
      </c>
      <c r="J1097" s="7">
        <f t="shared" si="7"/>
        <v>5708.716</v>
      </c>
      <c r="K1097" s="7">
        <f t="shared" si="3"/>
        <v>5708.716</v>
      </c>
      <c r="L1097" s="7">
        <f t="shared" si="4"/>
        <v>5269.584</v>
      </c>
      <c r="M1097" s="7">
        <f t="shared" si="5"/>
        <v>5050.018</v>
      </c>
      <c r="N1097" s="7">
        <f t="shared" si="6"/>
        <v>4830.452</v>
      </c>
    </row>
    <row r="1098">
      <c r="A1098" s="5" t="s">
        <v>2123</v>
      </c>
      <c r="B1098" s="5" t="s">
        <v>1524</v>
      </c>
      <c r="C1098" s="5" t="s">
        <v>2318</v>
      </c>
      <c r="D1098" s="5" t="s">
        <v>2325</v>
      </c>
      <c r="E1098" s="5" t="s">
        <v>2326</v>
      </c>
      <c r="F1098" s="6"/>
      <c r="G1098" s="8">
        <v>8518.0</v>
      </c>
      <c r="H1098" s="5" t="s">
        <v>22</v>
      </c>
      <c r="I1098" s="7">
        <f t="shared" si="1"/>
        <v>12777</v>
      </c>
      <c r="J1098" s="7">
        <f t="shared" si="7"/>
        <v>11073.4</v>
      </c>
      <c r="K1098" s="7">
        <f t="shared" si="3"/>
        <v>11073.4</v>
      </c>
      <c r="L1098" s="7">
        <f t="shared" si="4"/>
        <v>10221.6</v>
      </c>
      <c r="M1098" s="7">
        <f t="shared" si="5"/>
        <v>9795.7</v>
      </c>
      <c r="N1098" s="7">
        <f t="shared" si="6"/>
        <v>9369.8</v>
      </c>
    </row>
    <row r="1099">
      <c r="A1099" s="5" t="s">
        <v>2123</v>
      </c>
      <c r="B1099" s="5" t="s">
        <v>1524</v>
      </c>
      <c r="C1099" s="5" t="s">
        <v>2318</v>
      </c>
      <c r="D1099" s="5" t="s">
        <v>2327</v>
      </c>
      <c r="E1099" s="5" t="s">
        <v>2328</v>
      </c>
      <c r="F1099" s="6"/>
      <c r="G1099" s="8">
        <v>2540.0</v>
      </c>
      <c r="H1099" s="5" t="s">
        <v>22</v>
      </c>
      <c r="I1099" s="7">
        <f t="shared" si="1"/>
        <v>3810</v>
      </c>
      <c r="J1099" s="7">
        <f t="shared" si="7"/>
        <v>3302</v>
      </c>
      <c r="K1099" s="7">
        <f t="shared" si="3"/>
        <v>3302</v>
      </c>
      <c r="L1099" s="7">
        <f t="shared" si="4"/>
        <v>3048</v>
      </c>
      <c r="M1099" s="7">
        <f t="shared" si="5"/>
        <v>2921</v>
      </c>
      <c r="N1099" s="7">
        <f t="shared" si="6"/>
        <v>2794</v>
      </c>
    </row>
    <row r="1100">
      <c r="A1100" s="5" t="s">
        <v>2123</v>
      </c>
      <c r="B1100" s="5" t="s">
        <v>1524</v>
      </c>
      <c r="C1100" s="5" t="s">
        <v>2318</v>
      </c>
      <c r="D1100" s="5" t="s">
        <v>2329</v>
      </c>
      <c r="E1100" s="5" t="s">
        <v>2330</v>
      </c>
      <c r="F1100" s="6"/>
      <c r="G1100" s="8">
        <v>3968.0</v>
      </c>
      <c r="H1100" s="5" t="s">
        <v>22</v>
      </c>
      <c r="I1100" s="7">
        <f t="shared" si="1"/>
        <v>5952</v>
      </c>
      <c r="J1100" s="7">
        <f t="shared" si="7"/>
        <v>5158.4</v>
      </c>
      <c r="K1100" s="7">
        <f t="shared" si="3"/>
        <v>5158.4</v>
      </c>
      <c r="L1100" s="7">
        <f t="shared" si="4"/>
        <v>4761.6</v>
      </c>
      <c r="M1100" s="7">
        <f t="shared" si="5"/>
        <v>4563.2</v>
      </c>
      <c r="N1100" s="7">
        <f t="shared" si="6"/>
        <v>4364.8</v>
      </c>
    </row>
    <row r="1101">
      <c r="A1101" s="5" t="s">
        <v>2123</v>
      </c>
      <c r="B1101" s="5" t="s">
        <v>1524</v>
      </c>
      <c r="C1101" s="5" t="s">
        <v>2318</v>
      </c>
      <c r="D1101" s="5" t="s">
        <v>2331</v>
      </c>
      <c r="E1101" s="5" t="s">
        <v>2332</v>
      </c>
      <c r="F1101" s="6"/>
      <c r="G1101" s="8">
        <v>3201.0</v>
      </c>
      <c r="H1101" s="5" t="s">
        <v>22</v>
      </c>
      <c r="I1101" s="7">
        <f t="shared" si="1"/>
        <v>4801.5</v>
      </c>
      <c r="J1101" s="7">
        <f t="shared" si="7"/>
        <v>4161.3</v>
      </c>
      <c r="K1101" s="7">
        <f t="shared" si="3"/>
        <v>4161.3</v>
      </c>
      <c r="L1101" s="7">
        <f t="shared" si="4"/>
        <v>3841.2</v>
      </c>
      <c r="M1101" s="7">
        <f t="shared" si="5"/>
        <v>3681.15</v>
      </c>
      <c r="N1101" s="7">
        <f t="shared" si="6"/>
        <v>3521.1</v>
      </c>
    </row>
    <row r="1102">
      <c r="A1102" s="5" t="s">
        <v>2123</v>
      </c>
      <c r="B1102" s="5" t="s">
        <v>1524</v>
      </c>
      <c r="C1102" s="5" t="s">
        <v>2333</v>
      </c>
      <c r="D1102" s="5" t="s">
        <v>2334</v>
      </c>
      <c r="E1102" s="5" t="s">
        <v>2335</v>
      </c>
      <c r="F1102" s="6"/>
      <c r="G1102" s="8">
        <v>2566.0</v>
      </c>
      <c r="H1102" s="5" t="s">
        <v>22</v>
      </c>
      <c r="I1102" s="7">
        <f t="shared" si="1"/>
        <v>3849</v>
      </c>
      <c r="J1102" s="7">
        <f t="shared" si="7"/>
        <v>3335.8</v>
      </c>
      <c r="K1102" s="7">
        <f t="shared" si="3"/>
        <v>3335.8</v>
      </c>
      <c r="L1102" s="7">
        <f t="shared" si="4"/>
        <v>3079.2</v>
      </c>
      <c r="M1102" s="7">
        <f t="shared" si="5"/>
        <v>2950.9</v>
      </c>
      <c r="N1102" s="7">
        <f t="shared" si="6"/>
        <v>2822.6</v>
      </c>
    </row>
    <row r="1103">
      <c r="A1103" s="5" t="s">
        <v>2123</v>
      </c>
      <c r="B1103" s="5" t="s">
        <v>1524</v>
      </c>
      <c r="C1103" s="5" t="s">
        <v>2333</v>
      </c>
      <c r="D1103" s="5" t="s">
        <v>2336</v>
      </c>
      <c r="E1103" s="5" t="s">
        <v>2337</v>
      </c>
      <c r="F1103" s="6"/>
      <c r="G1103" s="8">
        <v>3174.0</v>
      </c>
      <c r="H1103" s="5" t="s">
        <v>22</v>
      </c>
      <c r="I1103" s="7">
        <f t="shared" si="1"/>
        <v>4761</v>
      </c>
      <c r="J1103" s="7">
        <f t="shared" si="7"/>
        <v>4126.2</v>
      </c>
      <c r="K1103" s="7">
        <f t="shared" si="3"/>
        <v>4126.2</v>
      </c>
      <c r="L1103" s="7">
        <f t="shared" si="4"/>
        <v>3808.8</v>
      </c>
      <c r="M1103" s="7">
        <f t="shared" si="5"/>
        <v>3650.1</v>
      </c>
      <c r="N1103" s="7">
        <f t="shared" si="6"/>
        <v>3491.4</v>
      </c>
    </row>
    <row r="1104">
      <c r="A1104" s="5" t="s">
        <v>2123</v>
      </c>
      <c r="B1104" s="5" t="s">
        <v>1524</v>
      </c>
      <c r="C1104" s="5" t="s">
        <v>2333</v>
      </c>
      <c r="D1104" s="5" t="s">
        <v>2338</v>
      </c>
      <c r="E1104" s="5" t="s">
        <v>2339</v>
      </c>
      <c r="F1104" s="6"/>
      <c r="G1104" s="8">
        <v>3386.0</v>
      </c>
      <c r="H1104" s="5" t="s">
        <v>22</v>
      </c>
      <c r="I1104" s="7">
        <f t="shared" si="1"/>
        <v>5079</v>
      </c>
      <c r="J1104" s="7">
        <f t="shared" si="7"/>
        <v>4401.8</v>
      </c>
      <c r="K1104" s="7">
        <f t="shared" si="3"/>
        <v>4401.8</v>
      </c>
      <c r="L1104" s="7">
        <f t="shared" si="4"/>
        <v>4063.2</v>
      </c>
      <c r="M1104" s="7">
        <f t="shared" si="5"/>
        <v>3893.9</v>
      </c>
      <c r="N1104" s="7">
        <f t="shared" si="6"/>
        <v>3724.6</v>
      </c>
    </row>
    <row r="1105">
      <c r="A1105" s="5" t="s">
        <v>2123</v>
      </c>
      <c r="B1105" s="5" t="s">
        <v>1524</v>
      </c>
      <c r="C1105" s="5" t="s">
        <v>2333</v>
      </c>
      <c r="D1105" s="5" t="s">
        <v>2340</v>
      </c>
      <c r="E1105" s="5" t="s">
        <v>2341</v>
      </c>
      <c r="F1105" s="6"/>
      <c r="G1105" s="8">
        <v>3545.0</v>
      </c>
      <c r="H1105" s="5" t="s">
        <v>22</v>
      </c>
      <c r="I1105" s="7">
        <f t="shared" si="1"/>
        <v>5317.5</v>
      </c>
      <c r="J1105" s="7">
        <f t="shared" si="7"/>
        <v>4608.5</v>
      </c>
      <c r="K1105" s="7">
        <f t="shared" si="3"/>
        <v>4608.5</v>
      </c>
      <c r="L1105" s="7">
        <f t="shared" si="4"/>
        <v>4254</v>
      </c>
      <c r="M1105" s="7">
        <f t="shared" si="5"/>
        <v>4076.75</v>
      </c>
      <c r="N1105" s="7">
        <f t="shared" si="6"/>
        <v>3899.5</v>
      </c>
    </row>
    <row r="1106">
      <c r="A1106" s="5" t="s">
        <v>2123</v>
      </c>
      <c r="B1106" s="5" t="s">
        <v>1524</v>
      </c>
      <c r="C1106" s="5" t="s">
        <v>2333</v>
      </c>
      <c r="D1106" s="5" t="s">
        <v>2342</v>
      </c>
      <c r="E1106" s="5" t="s">
        <v>2343</v>
      </c>
      <c r="F1106" s="6"/>
      <c r="G1106" s="8">
        <v>4338.0</v>
      </c>
      <c r="H1106" s="5" t="s">
        <v>22</v>
      </c>
      <c r="I1106" s="7">
        <f t="shared" si="1"/>
        <v>6507</v>
      </c>
      <c r="J1106" s="7">
        <f t="shared" si="7"/>
        <v>5639.4</v>
      </c>
      <c r="K1106" s="7">
        <f t="shared" si="3"/>
        <v>5639.4</v>
      </c>
      <c r="L1106" s="7">
        <f t="shared" si="4"/>
        <v>5205.6</v>
      </c>
      <c r="M1106" s="7">
        <f t="shared" si="5"/>
        <v>4988.7</v>
      </c>
      <c r="N1106" s="7">
        <f t="shared" si="6"/>
        <v>4771.8</v>
      </c>
    </row>
    <row r="1107">
      <c r="A1107" s="5" t="s">
        <v>2123</v>
      </c>
      <c r="B1107" s="5" t="s">
        <v>1524</v>
      </c>
      <c r="C1107" s="5" t="s">
        <v>2333</v>
      </c>
      <c r="D1107" s="5" t="s">
        <v>2344</v>
      </c>
      <c r="E1107" s="5" t="s">
        <v>2345</v>
      </c>
      <c r="F1107" s="6"/>
      <c r="G1107" s="8">
        <v>4815.0</v>
      </c>
      <c r="H1107" s="5" t="s">
        <v>22</v>
      </c>
      <c r="I1107" s="7">
        <f t="shared" si="1"/>
        <v>7222.5</v>
      </c>
      <c r="J1107" s="7">
        <f t="shared" si="7"/>
        <v>6259.5</v>
      </c>
      <c r="K1107" s="7">
        <f t="shared" si="3"/>
        <v>6259.5</v>
      </c>
      <c r="L1107" s="7">
        <f t="shared" si="4"/>
        <v>5778</v>
      </c>
      <c r="M1107" s="7">
        <f t="shared" si="5"/>
        <v>5537.25</v>
      </c>
      <c r="N1107" s="7">
        <f t="shared" si="6"/>
        <v>5296.5</v>
      </c>
    </row>
    <row r="1108">
      <c r="A1108" s="5" t="s">
        <v>2123</v>
      </c>
      <c r="B1108" s="5" t="s">
        <v>1524</v>
      </c>
      <c r="C1108" s="5" t="s">
        <v>2333</v>
      </c>
      <c r="D1108" s="5" t="s">
        <v>2346</v>
      </c>
      <c r="E1108" s="5" t="s">
        <v>2347</v>
      </c>
      <c r="F1108" s="6"/>
      <c r="G1108" s="8">
        <v>4920.0</v>
      </c>
      <c r="H1108" s="5" t="s">
        <v>22</v>
      </c>
      <c r="I1108" s="7">
        <f t="shared" si="1"/>
        <v>7380</v>
      </c>
      <c r="J1108" s="7">
        <f t="shared" si="7"/>
        <v>6396</v>
      </c>
      <c r="K1108" s="7">
        <f t="shared" si="3"/>
        <v>6396</v>
      </c>
      <c r="L1108" s="7">
        <f t="shared" si="4"/>
        <v>5904</v>
      </c>
      <c r="M1108" s="7">
        <f t="shared" si="5"/>
        <v>5658</v>
      </c>
      <c r="N1108" s="7">
        <f t="shared" si="6"/>
        <v>5412</v>
      </c>
    </row>
    <row r="1109">
      <c r="A1109" s="5" t="s">
        <v>2123</v>
      </c>
      <c r="B1109" s="5" t="s">
        <v>1524</v>
      </c>
      <c r="C1109" s="5" t="s">
        <v>2333</v>
      </c>
      <c r="D1109" s="5" t="s">
        <v>2348</v>
      </c>
      <c r="E1109" s="5" t="s">
        <v>2349</v>
      </c>
      <c r="F1109" s="6"/>
      <c r="G1109" s="8">
        <v>5132.0</v>
      </c>
      <c r="H1109" s="5" t="s">
        <v>22</v>
      </c>
      <c r="I1109" s="7">
        <f t="shared" si="1"/>
        <v>7698</v>
      </c>
      <c r="J1109" s="7">
        <f t="shared" si="7"/>
        <v>6671.6</v>
      </c>
      <c r="K1109" s="7">
        <f t="shared" si="3"/>
        <v>6671.6</v>
      </c>
      <c r="L1109" s="7">
        <f t="shared" si="4"/>
        <v>6158.4</v>
      </c>
      <c r="M1109" s="7">
        <f t="shared" si="5"/>
        <v>5901.8</v>
      </c>
      <c r="N1109" s="7">
        <f t="shared" si="6"/>
        <v>5645.2</v>
      </c>
    </row>
    <row r="1110">
      <c r="A1110" s="5" t="s">
        <v>2123</v>
      </c>
      <c r="B1110" s="5" t="s">
        <v>1524</v>
      </c>
      <c r="C1110" s="5" t="s">
        <v>2333</v>
      </c>
      <c r="D1110" s="5" t="s">
        <v>2350</v>
      </c>
      <c r="E1110" s="5" t="s">
        <v>2351</v>
      </c>
      <c r="F1110" s="6"/>
      <c r="G1110" s="8">
        <v>7936.0</v>
      </c>
      <c r="H1110" s="5" t="s">
        <v>22</v>
      </c>
      <c r="I1110" s="7">
        <f t="shared" si="1"/>
        <v>11904</v>
      </c>
      <c r="J1110" s="7">
        <f t="shared" si="7"/>
        <v>10316.8</v>
      </c>
      <c r="K1110" s="7">
        <f t="shared" si="3"/>
        <v>10316.8</v>
      </c>
      <c r="L1110" s="7">
        <f t="shared" si="4"/>
        <v>9523.2</v>
      </c>
      <c r="M1110" s="7">
        <f t="shared" si="5"/>
        <v>9126.4</v>
      </c>
      <c r="N1110" s="7">
        <f t="shared" si="6"/>
        <v>8729.6</v>
      </c>
    </row>
    <row r="1111">
      <c r="A1111" s="5" t="s">
        <v>2123</v>
      </c>
      <c r="B1111" s="5" t="s">
        <v>1524</v>
      </c>
      <c r="C1111" s="5" t="s">
        <v>2333</v>
      </c>
      <c r="D1111" s="5" t="s">
        <v>2352</v>
      </c>
      <c r="E1111" s="5" t="s">
        <v>2353</v>
      </c>
      <c r="F1111" s="6"/>
      <c r="G1111" s="8">
        <v>8714.0</v>
      </c>
      <c r="H1111" s="5" t="s">
        <v>22</v>
      </c>
      <c r="I1111" s="7">
        <f t="shared" si="1"/>
        <v>13071</v>
      </c>
      <c r="J1111" s="7">
        <f t="shared" si="7"/>
        <v>11328.2</v>
      </c>
      <c r="K1111" s="7">
        <f t="shared" si="3"/>
        <v>11328.2</v>
      </c>
      <c r="L1111" s="7">
        <f t="shared" si="4"/>
        <v>10456.8</v>
      </c>
      <c r="M1111" s="7">
        <f t="shared" si="5"/>
        <v>10021.1</v>
      </c>
      <c r="N1111" s="7">
        <f t="shared" si="6"/>
        <v>9585.4</v>
      </c>
    </row>
    <row r="1112">
      <c r="A1112" s="5" t="s">
        <v>2123</v>
      </c>
      <c r="B1112" s="5" t="s">
        <v>1524</v>
      </c>
      <c r="C1112" s="5" t="s">
        <v>2333</v>
      </c>
      <c r="D1112" s="5" t="s">
        <v>2354</v>
      </c>
      <c r="E1112" s="5" t="s">
        <v>2355</v>
      </c>
      <c r="F1112" s="6"/>
      <c r="G1112" s="8">
        <v>5563.0</v>
      </c>
      <c r="H1112" s="5" t="s">
        <v>22</v>
      </c>
      <c r="I1112" s="7">
        <f t="shared" si="1"/>
        <v>8344.5</v>
      </c>
      <c r="J1112" s="7">
        <f t="shared" si="7"/>
        <v>7231.9</v>
      </c>
      <c r="K1112" s="7">
        <f t="shared" si="3"/>
        <v>7231.9</v>
      </c>
      <c r="L1112" s="7">
        <f t="shared" si="4"/>
        <v>6675.6</v>
      </c>
      <c r="M1112" s="7">
        <f t="shared" si="5"/>
        <v>6397.45</v>
      </c>
      <c r="N1112" s="7">
        <f t="shared" si="6"/>
        <v>6119.3</v>
      </c>
    </row>
    <row r="1113">
      <c r="A1113" s="5" t="s">
        <v>2123</v>
      </c>
      <c r="B1113" s="5" t="s">
        <v>1524</v>
      </c>
      <c r="C1113" s="5" t="s">
        <v>2333</v>
      </c>
      <c r="D1113" s="5" t="s">
        <v>2356</v>
      </c>
      <c r="E1113" s="5" t="s">
        <v>2357</v>
      </c>
      <c r="F1113" s="6"/>
      <c r="G1113" s="8">
        <v>5780.0</v>
      </c>
      <c r="H1113" s="5" t="s">
        <v>22</v>
      </c>
      <c r="I1113" s="7">
        <f t="shared" si="1"/>
        <v>8670</v>
      </c>
      <c r="J1113" s="7">
        <f t="shared" si="7"/>
        <v>7514</v>
      </c>
      <c r="K1113" s="7">
        <f t="shared" si="3"/>
        <v>7514</v>
      </c>
      <c r="L1113" s="7">
        <f t="shared" si="4"/>
        <v>6936</v>
      </c>
      <c r="M1113" s="7">
        <f t="shared" si="5"/>
        <v>6647</v>
      </c>
      <c r="N1113" s="7">
        <f t="shared" si="6"/>
        <v>6358</v>
      </c>
    </row>
    <row r="1114">
      <c r="A1114" s="5" t="s">
        <v>2123</v>
      </c>
      <c r="B1114" s="5" t="s">
        <v>1524</v>
      </c>
      <c r="C1114" s="5" t="s">
        <v>2333</v>
      </c>
      <c r="D1114" s="5" t="s">
        <v>2358</v>
      </c>
      <c r="E1114" s="5" t="s">
        <v>2359</v>
      </c>
      <c r="F1114" s="6"/>
      <c r="G1114" s="8">
        <v>7079.0</v>
      </c>
      <c r="H1114" s="5" t="s">
        <v>22</v>
      </c>
      <c r="I1114" s="7">
        <f t="shared" si="1"/>
        <v>10618.5</v>
      </c>
      <c r="J1114" s="7">
        <f t="shared" si="7"/>
        <v>9202.7</v>
      </c>
      <c r="K1114" s="7">
        <f t="shared" si="3"/>
        <v>9202.7</v>
      </c>
      <c r="L1114" s="7">
        <f t="shared" si="4"/>
        <v>8494.8</v>
      </c>
      <c r="M1114" s="7">
        <f t="shared" si="5"/>
        <v>8140.85</v>
      </c>
      <c r="N1114" s="7">
        <f t="shared" si="6"/>
        <v>7786.9</v>
      </c>
    </row>
    <row r="1115">
      <c r="A1115" s="5" t="s">
        <v>2123</v>
      </c>
      <c r="B1115" s="5" t="s">
        <v>1524</v>
      </c>
      <c r="C1115" s="5" t="s">
        <v>2333</v>
      </c>
      <c r="D1115" s="5" t="s">
        <v>2360</v>
      </c>
      <c r="E1115" s="5" t="s">
        <v>2361</v>
      </c>
      <c r="F1115" s="6"/>
      <c r="G1115" s="8">
        <v>3280.0</v>
      </c>
      <c r="H1115" s="5" t="s">
        <v>22</v>
      </c>
      <c r="I1115" s="7">
        <f t="shared" si="1"/>
        <v>4920</v>
      </c>
      <c r="J1115" s="7">
        <f t="shared" si="7"/>
        <v>4264</v>
      </c>
      <c r="K1115" s="7">
        <f t="shared" si="3"/>
        <v>4264</v>
      </c>
      <c r="L1115" s="7">
        <f t="shared" si="4"/>
        <v>3936</v>
      </c>
      <c r="M1115" s="7">
        <f t="shared" si="5"/>
        <v>3772</v>
      </c>
      <c r="N1115" s="7">
        <f t="shared" si="6"/>
        <v>3608</v>
      </c>
    </row>
    <row r="1116">
      <c r="A1116" s="5" t="s">
        <v>2123</v>
      </c>
      <c r="B1116" s="6"/>
      <c r="C1116" s="6"/>
      <c r="D1116" s="5" t="s">
        <v>2362</v>
      </c>
      <c r="E1116" s="5" t="s">
        <v>2363</v>
      </c>
      <c r="F1116" s="6"/>
      <c r="G1116" s="8">
        <v>3758.5</v>
      </c>
      <c r="H1116" s="5" t="s">
        <v>22</v>
      </c>
      <c r="I1116" s="7">
        <f t="shared" si="1"/>
        <v>5637.75</v>
      </c>
      <c r="J1116" s="7">
        <f t="shared" si="7"/>
        <v>4886.05</v>
      </c>
      <c r="K1116" s="7">
        <f t="shared" si="3"/>
        <v>4886.05</v>
      </c>
      <c r="L1116" s="7">
        <f t="shared" si="4"/>
        <v>4510.2</v>
      </c>
      <c r="M1116" s="7">
        <f t="shared" si="5"/>
        <v>4322.275</v>
      </c>
      <c r="N1116" s="7">
        <f t="shared" si="6"/>
        <v>4134.35</v>
      </c>
    </row>
    <row r="1117">
      <c r="A1117" s="5" t="s">
        <v>2123</v>
      </c>
      <c r="B1117" s="6"/>
      <c r="C1117" s="6"/>
      <c r="D1117" s="5" t="s">
        <v>2364</v>
      </c>
      <c r="E1117" s="5" t="s">
        <v>2365</v>
      </c>
      <c r="F1117" s="6"/>
      <c r="G1117" s="8">
        <v>9321.82</v>
      </c>
      <c r="H1117" s="5" t="s">
        <v>22</v>
      </c>
      <c r="I1117" s="7">
        <f t="shared" si="1"/>
        <v>13982.73</v>
      </c>
      <c r="J1117" s="7">
        <f t="shared" si="7"/>
        <v>12118.366</v>
      </c>
      <c r="K1117" s="7">
        <f t="shared" si="3"/>
        <v>12118.366</v>
      </c>
      <c r="L1117" s="7">
        <f t="shared" si="4"/>
        <v>11186.184</v>
      </c>
      <c r="M1117" s="7">
        <f t="shared" si="5"/>
        <v>10720.093</v>
      </c>
      <c r="N1117" s="7">
        <f t="shared" si="6"/>
        <v>10254.002</v>
      </c>
    </row>
    <row r="1118">
      <c r="A1118" s="5" t="s">
        <v>2366</v>
      </c>
      <c r="B1118" s="5" t="s">
        <v>1455</v>
      </c>
      <c r="C1118" s="5" t="s">
        <v>2367</v>
      </c>
      <c r="D1118" s="5" t="s">
        <v>2368</v>
      </c>
      <c r="E1118" s="5" t="s">
        <v>2369</v>
      </c>
      <c r="F1118" s="5" t="s">
        <v>2370</v>
      </c>
      <c r="G1118" s="8">
        <v>15750.0</v>
      </c>
      <c r="H1118" s="5" t="s">
        <v>22</v>
      </c>
      <c r="I1118" s="7">
        <f t="shared" si="1"/>
        <v>23625</v>
      </c>
      <c r="J1118" s="7">
        <f t="shared" si="7"/>
        <v>20475</v>
      </c>
      <c r="K1118" s="7">
        <f t="shared" si="3"/>
        <v>20475</v>
      </c>
      <c r="L1118" s="7">
        <f t="shared" si="4"/>
        <v>18900</v>
      </c>
      <c r="M1118" s="7">
        <f t="shared" si="5"/>
        <v>18112.5</v>
      </c>
      <c r="N1118" s="7">
        <f t="shared" si="6"/>
        <v>17325</v>
      </c>
    </row>
    <row r="1119">
      <c r="A1119" s="5" t="s">
        <v>2366</v>
      </c>
      <c r="B1119" s="5" t="s">
        <v>1455</v>
      </c>
      <c r="C1119" s="5" t="s">
        <v>2367</v>
      </c>
      <c r="D1119" s="5" t="s">
        <v>2371</v>
      </c>
      <c r="E1119" s="5" t="s">
        <v>2372</v>
      </c>
      <c r="F1119" s="5" t="s">
        <v>2370</v>
      </c>
      <c r="G1119" s="8">
        <v>17750.0</v>
      </c>
      <c r="H1119" s="5" t="s">
        <v>22</v>
      </c>
      <c r="I1119" s="7">
        <f t="shared" si="1"/>
        <v>26625</v>
      </c>
      <c r="J1119" s="7">
        <f t="shared" si="7"/>
        <v>23075</v>
      </c>
      <c r="K1119" s="7">
        <f t="shared" si="3"/>
        <v>23075</v>
      </c>
      <c r="L1119" s="7">
        <f t="shared" si="4"/>
        <v>21300</v>
      </c>
      <c r="M1119" s="7">
        <f t="shared" si="5"/>
        <v>20412.5</v>
      </c>
      <c r="N1119" s="7">
        <f t="shared" si="6"/>
        <v>19525</v>
      </c>
    </row>
    <row r="1120">
      <c r="A1120" s="5" t="s">
        <v>2366</v>
      </c>
      <c r="B1120" s="5" t="s">
        <v>1455</v>
      </c>
      <c r="C1120" s="5" t="s">
        <v>2367</v>
      </c>
      <c r="D1120" s="5" t="s">
        <v>2373</v>
      </c>
      <c r="E1120" s="5" t="s">
        <v>2374</v>
      </c>
      <c r="F1120" s="5" t="s">
        <v>2370</v>
      </c>
      <c r="G1120" s="8">
        <v>19350.0</v>
      </c>
      <c r="H1120" s="5" t="s">
        <v>22</v>
      </c>
      <c r="I1120" s="7">
        <f t="shared" si="1"/>
        <v>29025</v>
      </c>
      <c r="J1120" s="7">
        <f t="shared" si="7"/>
        <v>25155</v>
      </c>
      <c r="K1120" s="7">
        <f t="shared" si="3"/>
        <v>25155</v>
      </c>
      <c r="L1120" s="7">
        <f t="shared" si="4"/>
        <v>23220</v>
      </c>
      <c r="M1120" s="7">
        <f t="shared" si="5"/>
        <v>22252.5</v>
      </c>
      <c r="N1120" s="7">
        <f t="shared" si="6"/>
        <v>21285</v>
      </c>
    </row>
    <row r="1121">
      <c r="A1121" s="5" t="s">
        <v>2366</v>
      </c>
      <c r="B1121" s="5" t="s">
        <v>1455</v>
      </c>
      <c r="C1121" s="5" t="s">
        <v>2367</v>
      </c>
      <c r="D1121" s="5" t="s">
        <v>2375</v>
      </c>
      <c r="E1121" s="5" t="s">
        <v>2376</v>
      </c>
      <c r="F1121" s="5" t="s">
        <v>2370</v>
      </c>
      <c r="G1121" s="8">
        <v>20000.0</v>
      </c>
      <c r="H1121" s="5" t="s">
        <v>22</v>
      </c>
      <c r="I1121" s="7">
        <f t="shared" si="1"/>
        <v>30000</v>
      </c>
      <c r="J1121" s="7">
        <f t="shared" si="7"/>
        <v>26000</v>
      </c>
      <c r="K1121" s="7">
        <f t="shared" si="3"/>
        <v>26000</v>
      </c>
      <c r="L1121" s="7">
        <f t="shared" si="4"/>
        <v>24000</v>
      </c>
      <c r="M1121" s="7">
        <f t="shared" si="5"/>
        <v>23000</v>
      </c>
      <c r="N1121" s="7">
        <f t="shared" si="6"/>
        <v>22000</v>
      </c>
    </row>
    <row r="1122">
      <c r="A1122" s="5" t="s">
        <v>2366</v>
      </c>
      <c r="B1122" s="5" t="s">
        <v>1455</v>
      </c>
      <c r="C1122" s="5" t="s">
        <v>2367</v>
      </c>
      <c r="D1122" s="5" t="s">
        <v>2377</v>
      </c>
      <c r="E1122" s="5" t="s">
        <v>2378</v>
      </c>
      <c r="F1122" s="5" t="s">
        <v>2370</v>
      </c>
      <c r="G1122" s="8">
        <v>21250.0</v>
      </c>
      <c r="H1122" s="5" t="s">
        <v>22</v>
      </c>
      <c r="I1122" s="7">
        <f t="shared" si="1"/>
        <v>31875</v>
      </c>
      <c r="J1122" s="7">
        <f t="shared" si="7"/>
        <v>27625</v>
      </c>
      <c r="K1122" s="7">
        <f t="shared" si="3"/>
        <v>27625</v>
      </c>
      <c r="L1122" s="7">
        <f t="shared" si="4"/>
        <v>25500</v>
      </c>
      <c r="M1122" s="7">
        <f t="shared" si="5"/>
        <v>24437.5</v>
      </c>
      <c r="N1122" s="7">
        <f t="shared" si="6"/>
        <v>23375</v>
      </c>
    </row>
    <row r="1123">
      <c r="A1123" s="5" t="s">
        <v>2366</v>
      </c>
      <c r="B1123" s="5" t="s">
        <v>1455</v>
      </c>
      <c r="C1123" s="5" t="s">
        <v>2379</v>
      </c>
      <c r="D1123" s="5" t="s">
        <v>2380</v>
      </c>
      <c r="E1123" s="5" t="s">
        <v>2381</v>
      </c>
      <c r="F1123" s="5" t="s">
        <v>2370</v>
      </c>
      <c r="G1123" s="8">
        <v>31750.0</v>
      </c>
      <c r="H1123" s="5" t="s">
        <v>22</v>
      </c>
      <c r="I1123" s="7">
        <f t="shared" si="1"/>
        <v>47625</v>
      </c>
      <c r="J1123" s="7">
        <f t="shared" si="7"/>
        <v>41275</v>
      </c>
      <c r="K1123" s="7">
        <f t="shared" si="3"/>
        <v>41275</v>
      </c>
      <c r="L1123" s="7">
        <f t="shared" si="4"/>
        <v>38100</v>
      </c>
      <c r="M1123" s="7">
        <f t="shared" si="5"/>
        <v>36512.5</v>
      </c>
      <c r="N1123" s="7">
        <f t="shared" si="6"/>
        <v>34925</v>
      </c>
    </row>
    <row r="1124">
      <c r="A1124" s="5" t="s">
        <v>2366</v>
      </c>
      <c r="B1124" s="5" t="s">
        <v>1455</v>
      </c>
      <c r="C1124" s="5" t="s">
        <v>2379</v>
      </c>
      <c r="D1124" s="5" t="s">
        <v>2382</v>
      </c>
      <c r="E1124" s="5" t="s">
        <v>2383</v>
      </c>
      <c r="F1124" s="5" t="s">
        <v>2370</v>
      </c>
      <c r="G1124" s="8">
        <v>35500.0</v>
      </c>
      <c r="H1124" s="5" t="s">
        <v>22</v>
      </c>
      <c r="I1124" s="7">
        <f t="shared" si="1"/>
        <v>53250</v>
      </c>
      <c r="J1124" s="7">
        <f t="shared" si="7"/>
        <v>46150</v>
      </c>
      <c r="K1124" s="7">
        <f t="shared" si="3"/>
        <v>46150</v>
      </c>
      <c r="L1124" s="7">
        <f t="shared" si="4"/>
        <v>42600</v>
      </c>
      <c r="M1124" s="7">
        <f t="shared" si="5"/>
        <v>40825</v>
      </c>
      <c r="N1124" s="7">
        <f t="shared" si="6"/>
        <v>39050</v>
      </c>
    </row>
    <row r="1125">
      <c r="A1125" s="5" t="s">
        <v>2366</v>
      </c>
      <c r="B1125" s="5" t="s">
        <v>1455</v>
      </c>
      <c r="C1125" s="5" t="s">
        <v>2379</v>
      </c>
      <c r="D1125" s="5" t="s">
        <v>2384</v>
      </c>
      <c r="E1125" s="5" t="s">
        <v>2385</v>
      </c>
      <c r="F1125" s="5" t="s">
        <v>2370</v>
      </c>
      <c r="G1125" s="8">
        <v>41000.0</v>
      </c>
      <c r="H1125" s="5" t="s">
        <v>22</v>
      </c>
      <c r="I1125" s="7">
        <f t="shared" si="1"/>
        <v>61500</v>
      </c>
      <c r="J1125" s="7">
        <f t="shared" si="7"/>
        <v>53300</v>
      </c>
      <c r="K1125" s="7">
        <f t="shared" si="3"/>
        <v>53300</v>
      </c>
      <c r="L1125" s="7">
        <f t="shared" si="4"/>
        <v>49200</v>
      </c>
      <c r="M1125" s="7">
        <f t="shared" si="5"/>
        <v>47150</v>
      </c>
      <c r="N1125" s="7">
        <f t="shared" si="6"/>
        <v>45100</v>
      </c>
    </row>
    <row r="1126">
      <c r="A1126" s="5" t="s">
        <v>2366</v>
      </c>
      <c r="B1126" s="5" t="s">
        <v>1455</v>
      </c>
      <c r="C1126" s="5" t="s">
        <v>2379</v>
      </c>
      <c r="D1126" s="5" t="s">
        <v>2386</v>
      </c>
      <c r="E1126" s="5" t="s">
        <v>2387</v>
      </c>
      <c r="F1126" s="5" t="s">
        <v>2370</v>
      </c>
      <c r="G1126" s="8">
        <v>42750.0</v>
      </c>
      <c r="H1126" s="5" t="s">
        <v>22</v>
      </c>
      <c r="I1126" s="7">
        <f t="shared" si="1"/>
        <v>64125</v>
      </c>
      <c r="J1126" s="7">
        <f t="shared" si="7"/>
        <v>55575</v>
      </c>
      <c r="K1126" s="7">
        <f t="shared" si="3"/>
        <v>55575</v>
      </c>
      <c r="L1126" s="7">
        <f t="shared" si="4"/>
        <v>51300</v>
      </c>
      <c r="M1126" s="7">
        <f t="shared" si="5"/>
        <v>49162.5</v>
      </c>
      <c r="N1126" s="7">
        <f t="shared" si="6"/>
        <v>47025</v>
      </c>
    </row>
    <row r="1127">
      <c r="A1127" s="5" t="s">
        <v>2366</v>
      </c>
      <c r="B1127" s="5" t="s">
        <v>1455</v>
      </c>
      <c r="C1127" s="5" t="s">
        <v>2379</v>
      </c>
      <c r="D1127" s="5" t="s">
        <v>2388</v>
      </c>
      <c r="E1127" s="5" t="s">
        <v>2389</v>
      </c>
      <c r="F1127" s="5" t="s">
        <v>2370</v>
      </c>
      <c r="G1127" s="8">
        <v>50500.0</v>
      </c>
      <c r="H1127" s="5" t="s">
        <v>22</v>
      </c>
      <c r="I1127" s="7">
        <f t="shared" si="1"/>
        <v>75750</v>
      </c>
      <c r="J1127" s="7">
        <f t="shared" si="7"/>
        <v>65650</v>
      </c>
      <c r="K1127" s="7">
        <f t="shared" si="3"/>
        <v>65650</v>
      </c>
      <c r="L1127" s="7">
        <f t="shared" si="4"/>
        <v>60600</v>
      </c>
      <c r="M1127" s="7">
        <f t="shared" si="5"/>
        <v>58075</v>
      </c>
      <c r="N1127" s="7">
        <f t="shared" si="6"/>
        <v>55550</v>
      </c>
    </row>
    <row r="1128">
      <c r="A1128" s="5" t="s">
        <v>2366</v>
      </c>
      <c r="B1128" s="5" t="s">
        <v>1455</v>
      </c>
      <c r="C1128" s="5" t="s">
        <v>2379</v>
      </c>
      <c r="D1128" s="5" t="s">
        <v>2390</v>
      </c>
      <c r="E1128" s="5" t="s">
        <v>2391</v>
      </c>
      <c r="F1128" s="5" t="s">
        <v>2370</v>
      </c>
      <c r="G1128" s="8">
        <v>53000.0</v>
      </c>
      <c r="H1128" s="5" t="s">
        <v>22</v>
      </c>
      <c r="I1128" s="7">
        <f t="shared" si="1"/>
        <v>79500</v>
      </c>
      <c r="J1128" s="7">
        <f t="shared" si="7"/>
        <v>68900</v>
      </c>
      <c r="K1128" s="7">
        <f t="shared" si="3"/>
        <v>68900</v>
      </c>
      <c r="L1128" s="7">
        <f t="shared" si="4"/>
        <v>63600</v>
      </c>
      <c r="M1128" s="7">
        <f t="shared" si="5"/>
        <v>60950</v>
      </c>
      <c r="N1128" s="7">
        <f t="shared" si="6"/>
        <v>58300</v>
      </c>
    </row>
    <row r="1129">
      <c r="A1129" s="5" t="s">
        <v>2366</v>
      </c>
      <c r="B1129" s="6"/>
      <c r="C1129" s="5" t="s">
        <v>2392</v>
      </c>
      <c r="D1129" s="5" t="s">
        <v>2393</v>
      </c>
      <c r="E1129" s="5" t="s">
        <v>2394</v>
      </c>
      <c r="F1129" s="6"/>
      <c r="G1129" s="8">
        <v>25300.0</v>
      </c>
      <c r="H1129" s="5" t="s">
        <v>22</v>
      </c>
      <c r="I1129" s="7">
        <f t="shared" si="1"/>
        <v>37950</v>
      </c>
      <c r="J1129" s="7">
        <f t="shared" si="7"/>
        <v>32890</v>
      </c>
      <c r="K1129" s="7">
        <f t="shared" si="3"/>
        <v>32890</v>
      </c>
      <c r="L1129" s="7">
        <f t="shared" si="4"/>
        <v>30360</v>
      </c>
      <c r="M1129" s="7">
        <f t="shared" si="5"/>
        <v>29095</v>
      </c>
      <c r="N1129" s="7">
        <f t="shared" si="6"/>
        <v>27830</v>
      </c>
    </row>
    <row r="1130">
      <c r="A1130" s="5" t="s">
        <v>2366</v>
      </c>
      <c r="B1130" s="5" t="s">
        <v>1455</v>
      </c>
      <c r="C1130" s="5" t="s">
        <v>2392</v>
      </c>
      <c r="D1130" s="5" t="s">
        <v>2395</v>
      </c>
      <c r="E1130" s="5" t="s">
        <v>2396</v>
      </c>
      <c r="F1130" s="5" t="s">
        <v>2397</v>
      </c>
      <c r="G1130" s="5">
        <v>675.0</v>
      </c>
      <c r="H1130" s="5" t="s">
        <v>22</v>
      </c>
      <c r="I1130" s="7">
        <f t="shared" si="1"/>
        <v>1012.5</v>
      </c>
      <c r="J1130" s="7">
        <f t="shared" si="7"/>
        <v>877.5</v>
      </c>
      <c r="K1130" s="7">
        <f t="shared" si="3"/>
        <v>877.5</v>
      </c>
      <c r="L1130" s="7">
        <f t="shared" si="4"/>
        <v>810</v>
      </c>
      <c r="M1130" s="7">
        <f t="shared" si="5"/>
        <v>776.25</v>
      </c>
      <c r="N1130" s="7">
        <f t="shared" si="6"/>
        <v>742.5</v>
      </c>
    </row>
    <row r="1131">
      <c r="A1131" s="5" t="s">
        <v>2366</v>
      </c>
      <c r="B1131" s="5" t="s">
        <v>1455</v>
      </c>
      <c r="C1131" s="5" t="s">
        <v>2392</v>
      </c>
      <c r="D1131" s="5" t="s">
        <v>2398</v>
      </c>
      <c r="E1131" s="5" t="s">
        <v>2399</v>
      </c>
      <c r="F1131" s="6"/>
      <c r="G1131" s="5">
        <v>675.0</v>
      </c>
      <c r="H1131" s="5" t="s">
        <v>22</v>
      </c>
      <c r="I1131" s="7">
        <f t="shared" si="1"/>
        <v>1012.5</v>
      </c>
      <c r="J1131" s="7">
        <f t="shared" si="7"/>
        <v>877.5</v>
      </c>
      <c r="K1131" s="7">
        <f t="shared" si="3"/>
        <v>877.5</v>
      </c>
      <c r="L1131" s="7">
        <f t="shared" si="4"/>
        <v>810</v>
      </c>
      <c r="M1131" s="7">
        <f t="shared" si="5"/>
        <v>776.25</v>
      </c>
      <c r="N1131" s="7">
        <f t="shared" si="6"/>
        <v>742.5</v>
      </c>
    </row>
    <row r="1132">
      <c r="A1132" s="5" t="s">
        <v>2366</v>
      </c>
      <c r="B1132" s="5" t="s">
        <v>1455</v>
      </c>
      <c r="C1132" s="5" t="s">
        <v>2392</v>
      </c>
      <c r="D1132" s="5" t="s">
        <v>2400</v>
      </c>
      <c r="E1132" s="5" t="s">
        <v>2401</v>
      </c>
      <c r="F1132" s="5" t="s">
        <v>2402</v>
      </c>
      <c r="G1132" s="5">
        <v>875.0</v>
      </c>
      <c r="H1132" s="5" t="s">
        <v>22</v>
      </c>
      <c r="I1132" s="7">
        <f t="shared" si="1"/>
        <v>1312.5</v>
      </c>
      <c r="J1132" s="7">
        <f t="shared" si="7"/>
        <v>1137.5</v>
      </c>
      <c r="K1132" s="7">
        <f t="shared" si="3"/>
        <v>1137.5</v>
      </c>
      <c r="L1132" s="7">
        <f t="shared" si="4"/>
        <v>1050</v>
      </c>
      <c r="M1132" s="7">
        <f t="shared" si="5"/>
        <v>1006.25</v>
      </c>
      <c r="N1132" s="7">
        <f t="shared" si="6"/>
        <v>962.5</v>
      </c>
    </row>
    <row r="1133">
      <c r="A1133" s="5" t="s">
        <v>2366</v>
      </c>
      <c r="B1133" s="5" t="s">
        <v>1455</v>
      </c>
      <c r="C1133" s="5" t="s">
        <v>2392</v>
      </c>
      <c r="D1133" s="5" t="s">
        <v>2403</v>
      </c>
      <c r="E1133" s="5" t="s">
        <v>2404</v>
      </c>
      <c r="F1133" s="5" t="s">
        <v>2405</v>
      </c>
      <c r="G1133" s="5">
        <v>975.0</v>
      </c>
      <c r="H1133" s="5" t="s">
        <v>22</v>
      </c>
      <c r="I1133" s="7">
        <f t="shared" si="1"/>
        <v>1462.5</v>
      </c>
      <c r="J1133" s="7">
        <f t="shared" si="7"/>
        <v>1267.5</v>
      </c>
      <c r="K1133" s="7">
        <f t="shared" si="3"/>
        <v>1267.5</v>
      </c>
      <c r="L1133" s="7">
        <f t="shared" si="4"/>
        <v>1170</v>
      </c>
      <c r="M1133" s="7">
        <f t="shared" si="5"/>
        <v>1121.25</v>
      </c>
      <c r="N1133" s="7">
        <f t="shared" si="6"/>
        <v>1072.5</v>
      </c>
    </row>
    <row r="1134">
      <c r="A1134" s="5" t="s">
        <v>2366</v>
      </c>
      <c r="B1134" s="5" t="s">
        <v>1455</v>
      </c>
      <c r="C1134" s="5" t="s">
        <v>2392</v>
      </c>
      <c r="D1134" s="5" t="s">
        <v>2406</v>
      </c>
      <c r="E1134" s="5" t="s">
        <v>2407</v>
      </c>
      <c r="F1134" s="5" t="s">
        <v>2408</v>
      </c>
      <c r="G1134" s="5">
        <v>750.0</v>
      </c>
      <c r="H1134" s="5" t="s">
        <v>22</v>
      </c>
      <c r="I1134" s="7">
        <f t="shared" si="1"/>
        <v>1125</v>
      </c>
      <c r="J1134" s="7">
        <f t="shared" si="7"/>
        <v>975</v>
      </c>
      <c r="K1134" s="7">
        <f t="shared" si="3"/>
        <v>975</v>
      </c>
      <c r="L1134" s="7">
        <f t="shared" si="4"/>
        <v>900</v>
      </c>
      <c r="M1134" s="7">
        <f t="shared" si="5"/>
        <v>862.5</v>
      </c>
      <c r="N1134" s="7">
        <f t="shared" si="6"/>
        <v>825</v>
      </c>
    </row>
    <row r="1135">
      <c r="A1135" s="5" t="s">
        <v>2366</v>
      </c>
      <c r="B1135" s="5" t="s">
        <v>1455</v>
      </c>
      <c r="C1135" s="5" t="s">
        <v>2392</v>
      </c>
      <c r="D1135" s="5">
        <v>8011.0</v>
      </c>
      <c r="E1135" s="5" t="s">
        <v>2407</v>
      </c>
      <c r="F1135" s="5" t="s">
        <v>2408</v>
      </c>
      <c r="G1135" s="5">
        <v>750.0</v>
      </c>
      <c r="H1135" s="5" t="s">
        <v>22</v>
      </c>
      <c r="I1135" s="7">
        <f t="shared" si="1"/>
        <v>1125</v>
      </c>
      <c r="J1135" s="7">
        <f t="shared" si="7"/>
        <v>975</v>
      </c>
      <c r="K1135" s="7">
        <f t="shared" si="3"/>
        <v>975</v>
      </c>
      <c r="L1135" s="7">
        <f t="shared" si="4"/>
        <v>900</v>
      </c>
      <c r="M1135" s="7">
        <f t="shared" si="5"/>
        <v>862.5</v>
      </c>
      <c r="N1135" s="7">
        <f t="shared" si="6"/>
        <v>825</v>
      </c>
    </row>
    <row r="1136">
      <c r="A1136" s="5" t="s">
        <v>2366</v>
      </c>
      <c r="B1136" s="5" t="s">
        <v>1455</v>
      </c>
      <c r="C1136" s="5" t="s">
        <v>2392</v>
      </c>
      <c r="D1136" s="5" t="s">
        <v>2409</v>
      </c>
      <c r="E1136" s="5" t="s">
        <v>2410</v>
      </c>
      <c r="F1136" s="5" t="s">
        <v>2408</v>
      </c>
      <c r="G1136" s="5">
        <v>500.0</v>
      </c>
      <c r="H1136" s="5" t="s">
        <v>22</v>
      </c>
      <c r="I1136" s="7">
        <f t="shared" si="1"/>
        <v>750</v>
      </c>
      <c r="J1136" s="7">
        <f t="shared" si="7"/>
        <v>650</v>
      </c>
      <c r="K1136" s="7">
        <f t="shared" si="3"/>
        <v>650</v>
      </c>
      <c r="L1136" s="7">
        <f t="shared" si="4"/>
        <v>600</v>
      </c>
      <c r="M1136" s="7">
        <f t="shared" si="5"/>
        <v>575</v>
      </c>
      <c r="N1136" s="7">
        <f t="shared" si="6"/>
        <v>550</v>
      </c>
    </row>
    <row r="1137">
      <c r="A1137" s="5" t="s">
        <v>2366</v>
      </c>
      <c r="B1137" s="5" t="s">
        <v>1455</v>
      </c>
      <c r="C1137" s="5" t="s">
        <v>2392</v>
      </c>
      <c r="D1137" s="5" t="s">
        <v>2411</v>
      </c>
      <c r="E1137" s="5" t="s">
        <v>2412</v>
      </c>
      <c r="F1137" s="5" t="s">
        <v>2408</v>
      </c>
      <c r="G1137" s="8">
        <v>1300.0</v>
      </c>
      <c r="H1137" s="5" t="s">
        <v>22</v>
      </c>
      <c r="I1137" s="7">
        <f t="shared" si="1"/>
        <v>1950</v>
      </c>
      <c r="J1137" s="7">
        <f t="shared" si="7"/>
        <v>1690</v>
      </c>
      <c r="K1137" s="7">
        <f t="shared" si="3"/>
        <v>1690</v>
      </c>
      <c r="L1137" s="7">
        <f t="shared" si="4"/>
        <v>1560</v>
      </c>
      <c r="M1137" s="7">
        <f t="shared" si="5"/>
        <v>1495</v>
      </c>
      <c r="N1137" s="7">
        <f t="shared" si="6"/>
        <v>1430</v>
      </c>
    </row>
    <row r="1138">
      <c r="A1138" s="5" t="s">
        <v>2366</v>
      </c>
      <c r="B1138" s="5" t="s">
        <v>1455</v>
      </c>
      <c r="C1138" s="5" t="s">
        <v>2392</v>
      </c>
      <c r="D1138" s="5" t="s">
        <v>2413</v>
      </c>
      <c r="E1138" s="5" t="s">
        <v>2414</v>
      </c>
      <c r="F1138" s="5" t="s">
        <v>2415</v>
      </c>
      <c r="G1138" s="8">
        <v>1400.0</v>
      </c>
      <c r="H1138" s="5" t="s">
        <v>22</v>
      </c>
      <c r="I1138" s="7">
        <f t="shared" si="1"/>
        <v>2100</v>
      </c>
      <c r="J1138" s="7">
        <f t="shared" si="7"/>
        <v>1820</v>
      </c>
      <c r="K1138" s="7">
        <f t="shared" si="3"/>
        <v>1820</v>
      </c>
      <c r="L1138" s="7">
        <f t="shared" si="4"/>
        <v>1680</v>
      </c>
      <c r="M1138" s="7">
        <f t="shared" si="5"/>
        <v>1610</v>
      </c>
      <c r="N1138" s="7">
        <f t="shared" si="6"/>
        <v>1540</v>
      </c>
    </row>
    <row r="1139">
      <c r="A1139" s="5" t="s">
        <v>2366</v>
      </c>
      <c r="B1139" s="5" t="s">
        <v>1455</v>
      </c>
      <c r="C1139" s="5" t="s">
        <v>2392</v>
      </c>
      <c r="D1139" s="5" t="s">
        <v>2416</v>
      </c>
      <c r="E1139" s="5" t="s">
        <v>2417</v>
      </c>
      <c r="F1139" s="5" t="s">
        <v>2418</v>
      </c>
      <c r="G1139" s="5">
        <v>900.0</v>
      </c>
      <c r="H1139" s="5" t="s">
        <v>22</v>
      </c>
      <c r="I1139" s="7">
        <f t="shared" si="1"/>
        <v>1350</v>
      </c>
      <c r="J1139" s="7">
        <f t="shared" si="7"/>
        <v>1170</v>
      </c>
      <c r="K1139" s="7">
        <f t="shared" si="3"/>
        <v>1170</v>
      </c>
      <c r="L1139" s="7">
        <f t="shared" si="4"/>
        <v>1080</v>
      </c>
      <c r="M1139" s="7">
        <f t="shared" si="5"/>
        <v>1035</v>
      </c>
      <c r="N1139" s="7">
        <f t="shared" si="6"/>
        <v>990</v>
      </c>
    </row>
    <row r="1140">
      <c r="A1140" s="5" t="s">
        <v>2366</v>
      </c>
      <c r="B1140" s="5" t="s">
        <v>1524</v>
      </c>
      <c r="C1140" s="5" t="s">
        <v>2419</v>
      </c>
      <c r="D1140" s="5" t="s">
        <v>2420</v>
      </c>
      <c r="E1140" s="5" t="s">
        <v>2421</v>
      </c>
      <c r="F1140" s="6"/>
      <c r="G1140" s="8">
        <v>70000.0</v>
      </c>
      <c r="H1140" s="5" t="s">
        <v>22</v>
      </c>
      <c r="I1140" s="7">
        <f t="shared" si="1"/>
        <v>105000</v>
      </c>
      <c r="J1140" s="7">
        <f t="shared" si="7"/>
        <v>91000</v>
      </c>
      <c r="K1140" s="7">
        <f t="shared" si="3"/>
        <v>91000</v>
      </c>
      <c r="L1140" s="7">
        <f t="shared" si="4"/>
        <v>84000</v>
      </c>
      <c r="M1140" s="7">
        <f t="shared" si="5"/>
        <v>80500</v>
      </c>
      <c r="N1140" s="7">
        <f t="shared" si="6"/>
        <v>77000</v>
      </c>
    </row>
    <row r="1141">
      <c r="A1141" s="5" t="s">
        <v>2366</v>
      </c>
      <c r="B1141" s="5" t="s">
        <v>1524</v>
      </c>
      <c r="C1141" s="5" t="s">
        <v>2422</v>
      </c>
      <c r="D1141" s="5" t="s">
        <v>2423</v>
      </c>
      <c r="E1141" s="5" t="s">
        <v>2424</v>
      </c>
      <c r="F1141" s="6"/>
      <c r="G1141" s="8">
        <v>71000.0</v>
      </c>
      <c r="H1141" s="5" t="s">
        <v>22</v>
      </c>
      <c r="I1141" s="7">
        <f t="shared" si="1"/>
        <v>106500</v>
      </c>
      <c r="J1141" s="7">
        <f t="shared" si="7"/>
        <v>92300</v>
      </c>
      <c r="K1141" s="7">
        <f t="shared" si="3"/>
        <v>92300</v>
      </c>
      <c r="L1141" s="7">
        <f t="shared" si="4"/>
        <v>85200</v>
      </c>
      <c r="M1141" s="7">
        <f t="shared" si="5"/>
        <v>81650</v>
      </c>
      <c r="N1141" s="7">
        <f t="shared" si="6"/>
        <v>78100</v>
      </c>
    </row>
    <row r="1142">
      <c r="A1142" s="5" t="s">
        <v>2366</v>
      </c>
      <c r="B1142" s="5" t="s">
        <v>1524</v>
      </c>
      <c r="C1142" s="5" t="s">
        <v>2425</v>
      </c>
      <c r="D1142" s="5" t="s">
        <v>2426</v>
      </c>
      <c r="E1142" s="5" t="s">
        <v>2427</v>
      </c>
      <c r="F1142" s="6"/>
      <c r="G1142" s="8">
        <v>82000.0</v>
      </c>
      <c r="H1142" s="5" t="s">
        <v>22</v>
      </c>
      <c r="I1142" s="7">
        <f t="shared" si="1"/>
        <v>123000</v>
      </c>
      <c r="J1142" s="7">
        <f t="shared" si="7"/>
        <v>106600</v>
      </c>
      <c r="K1142" s="7">
        <f t="shared" si="3"/>
        <v>106600</v>
      </c>
      <c r="L1142" s="7">
        <f t="shared" si="4"/>
        <v>98400</v>
      </c>
      <c r="M1142" s="7">
        <f t="shared" si="5"/>
        <v>94300</v>
      </c>
      <c r="N1142" s="7">
        <f t="shared" si="6"/>
        <v>90200</v>
      </c>
    </row>
    <row r="1143">
      <c r="A1143" s="5" t="s">
        <v>2366</v>
      </c>
      <c r="B1143" s="5" t="s">
        <v>1524</v>
      </c>
      <c r="C1143" s="5" t="s">
        <v>2428</v>
      </c>
      <c r="D1143" s="5" t="s">
        <v>2429</v>
      </c>
      <c r="E1143" s="5" t="s">
        <v>2430</v>
      </c>
      <c r="F1143" s="6"/>
      <c r="G1143" s="8">
        <v>95000.0</v>
      </c>
      <c r="H1143" s="5" t="s">
        <v>22</v>
      </c>
      <c r="I1143" s="7">
        <f t="shared" si="1"/>
        <v>142500</v>
      </c>
      <c r="J1143" s="7">
        <f t="shared" si="7"/>
        <v>123500</v>
      </c>
      <c r="K1143" s="7">
        <f t="shared" si="3"/>
        <v>123500</v>
      </c>
      <c r="L1143" s="7">
        <f t="shared" si="4"/>
        <v>114000</v>
      </c>
      <c r="M1143" s="7">
        <f t="shared" si="5"/>
        <v>109250</v>
      </c>
      <c r="N1143" s="7">
        <f t="shared" si="6"/>
        <v>104500</v>
      </c>
    </row>
    <row r="1144">
      <c r="A1144" s="5" t="s">
        <v>2366</v>
      </c>
      <c r="B1144" s="5" t="s">
        <v>1524</v>
      </c>
      <c r="C1144" s="5" t="s">
        <v>2392</v>
      </c>
      <c r="D1144" s="6"/>
      <c r="E1144" s="5" t="s">
        <v>2431</v>
      </c>
      <c r="F1144" s="6"/>
      <c r="G1144" s="8">
        <v>38000.0</v>
      </c>
      <c r="H1144" s="5" t="s">
        <v>22</v>
      </c>
      <c r="I1144" s="7">
        <f t="shared" si="1"/>
        <v>57000</v>
      </c>
      <c r="J1144" s="7">
        <f t="shared" si="7"/>
        <v>49400</v>
      </c>
      <c r="K1144" s="7">
        <f t="shared" si="3"/>
        <v>49400</v>
      </c>
      <c r="L1144" s="7">
        <f t="shared" si="4"/>
        <v>45600</v>
      </c>
      <c r="M1144" s="7">
        <f t="shared" si="5"/>
        <v>43700</v>
      </c>
      <c r="N1144" s="7">
        <f t="shared" si="6"/>
        <v>41800</v>
      </c>
    </row>
    <row r="1145">
      <c r="A1145" s="5" t="s">
        <v>2366</v>
      </c>
      <c r="B1145" s="5" t="s">
        <v>1524</v>
      </c>
      <c r="C1145" s="5" t="s">
        <v>2392</v>
      </c>
      <c r="D1145" s="5" t="s">
        <v>2432</v>
      </c>
      <c r="E1145" s="5" t="s">
        <v>2433</v>
      </c>
      <c r="F1145" s="6"/>
      <c r="G1145" s="8">
        <v>1950.0</v>
      </c>
      <c r="H1145" s="5" t="s">
        <v>22</v>
      </c>
      <c r="I1145" s="7">
        <f t="shared" si="1"/>
        <v>2925</v>
      </c>
      <c r="J1145" s="7">
        <f t="shared" si="7"/>
        <v>2535</v>
      </c>
      <c r="K1145" s="7">
        <f t="shared" si="3"/>
        <v>2535</v>
      </c>
      <c r="L1145" s="7">
        <f t="shared" si="4"/>
        <v>2340</v>
      </c>
      <c r="M1145" s="7">
        <f t="shared" si="5"/>
        <v>2242.5</v>
      </c>
      <c r="N1145" s="7">
        <f t="shared" si="6"/>
        <v>2145</v>
      </c>
    </row>
    <row r="1146">
      <c r="A1146" s="5" t="s">
        <v>2366</v>
      </c>
      <c r="B1146" s="5" t="s">
        <v>1524</v>
      </c>
      <c r="C1146" s="5" t="s">
        <v>2392</v>
      </c>
      <c r="D1146" s="5" t="s">
        <v>2434</v>
      </c>
      <c r="E1146" s="5" t="s">
        <v>2435</v>
      </c>
      <c r="F1146" s="6"/>
      <c r="G1146" s="8">
        <v>2250.0</v>
      </c>
      <c r="H1146" s="5" t="s">
        <v>22</v>
      </c>
      <c r="I1146" s="7">
        <f t="shared" si="1"/>
        <v>3375</v>
      </c>
      <c r="J1146" s="7">
        <f t="shared" si="7"/>
        <v>2925</v>
      </c>
      <c r="K1146" s="7">
        <f t="shared" si="3"/>
        <v>2925</v>
      </c>
      <c r="L1146" s="7">
        <f t="shared" si="4"/>
        <v>2700</v>
      </c>
      <c r="M1146" s="7">
        <f t="shared" si="5"/>
        <v>2587.5</v>
      </c>
      <c r="N1146" s="7">
        <f t="shared" si="6"/>
        <v>2475</v>
      </c>
    </row>
    <row r="1147">
      <c r="A1147" s="5" t="s">
        <v>2366</v>
      </c>
      <c r="B1147" s="5" t="s">
        <v>1524</v>
      </c>
      <c r="C1147" s="5" t="s">
        <v>2392</v>
      </c>
      <c r="D1147" s="5" t="s">
        <v>2436</v>
      </c>
      <c r="E1147" s="5" t="s">
        <v>2437</v>
      </c>
      <c r="F1147" s="6"/>
      <c r="G1147" s="8">
        <v>1850.0</v>
      </c>
      <c r="H1147" s="5" t="s">
        <v>22</v>
      </c>
      <c r="I1147" s="7">
        <f t="shared" si="1"/>
        <v>2775</v>
      </c>
      <c r="J1147" s="7">
        <f t="shared" si="7"/>
        <v>2405</v>
      </c>
      <c r="K1147" s="7">
        <f t="shared" si="3"/>
        <v>2405</v>
      </c>
      <c r="L1147" s="7">
        <f t="shared" si="4"/>
        <v>2220</v>
      </c>
      <c r="M1147" s="7">
        <f t="shared" si="5"/>
        <v>2127.5</v>
      </c>
      <c r="N1147" s="7">
        <f t="shared" si="6"/>
        <v>2035</v>
      </c>
    </row>
    <row r="1148">
      <c r="A1148" s="5" t="s">
        <v>2366</v>
      </c>
      <c r="B1148" s="5" t="s">
        <v>1524</v>
      </c>
      <c r="C1148" s="5" t="s">
        <v>2392</v>
      </c>
      <c r="D1148" s="5" t="s">
        <v>2438</v>
      </c>
      <c r="E1148" s="5" t="s">
        <v>2439</v>
      </c>
      <c r="F1148" s="6"/>
      <c r="G1148" s="8">
        <v>2200.0</v>
      </c>
      <c r="H1148" s="5" t="s">
        <v>22</v>
      </c>
      <c r="I1148" s="7">
        <f t="shared" si="1"/>
        <v>3300</v>
      </c>
      <c r="J1148" s="7">
        <f t="shared" si="7"/>
        <v>2860</v>
      </c>
      <c r="K1148" s="7">
        <f t="shared" si="3"/>
        <v>2860</v>
      </c>
      <c r="L1148" s="7">
        <f t="shared" si="4"/>
        <v>2640</v>
      </c>
      <c r="M1148" s="7">
        <f t="shared" si="5"/>
        <v>2530</v>
      </c>
      <c r="N1148" s="7">
        <f t="shared" si="6"/>
        <v>2420</v>
      </c>
    </row>
    <row r="1149">
      <c r="A1149" s="5" t="s">
        <v>2366</v>
      </c>
      <c r="B1149" s="5" t="s">
        <v>1524</v>
      </c>
      <c r="C1149" s="5" t="s">
        <v>2392</v>
      </c>
      <c r="D1149" s="5" t="s">
        <v>2440</v>
      </c>
      <c r="E1149" s="5" t="s">
        <v>2441</v>
      </c>
      <c r="F1149" s="6"/>
      <c r="G1149" s="5">
        <v>750.0</v>
      </c>
      <c r="H1149" s="5" t="s">
        <v>22</v>
      </c>
      <c r="I1149" s="7">
        <f t="shared" si="1"/>
        <v>1125</v>
      </c>
      <c r="J1149" s="7">
        <f t="shared" si="7"/>
        <v>975</v>
      </c>
      <c r="K1149" s="7">
        <f t="shared" si="3"/>
        <v>975</v>
      </c>
      <c r="L1149" s="7">
        <f t="shared" si="4"/>
        <v>900</v>
      </c>
      <c r="M1149" s="7">
        <f t="shared" si="5"/>
        <v>862.5</v>
      </c>
      <c r="N1149" s="7">
        <f t="shared" si="6"/>
        <v>825</v>
      </c>
    </row>
    <row r="1150">
      <c r="A1150" s="5" t="s">
        <v>2366</v>
      </c>
      <c r="B1150" s="5" t="s">
        <v>1524</v>
      </c>
      <c r="C1150" s="5" t="s">
        <v>2392</v>
      </c>
      <c r="D1150" s="5" t="s">
        <v>2442</v>
      </c>
      <c r="E1150" s="5" t="s">
        <v>2443</v>
      </c>
      <c r="F1150" s="6"/>
      <c r="G1150" s="8">
        <v>1250.0</v>
      </c>
      <c r="H1150" s="5" t="s">
        <v>22</v>
      </c>
      <c r="I1150" s="7">
        <f t="shared" si="1"/>
        <v>1875</v>
      </c>
      <c r="J1150" s="7">
        <f t="shared" si="7"/>
        <v>1625</v>
      </c>
      <c r="K1150" s="7">
        <f t="shared" si="3"/>
        <v>1625</v>
      </c>
      <c r="L1150" s="7">
        <f t="shared" si="4"/>
        <v>1500</v>
      </c>
      <c r="M1150" s="7">
        <f t="shared" si="5"/>
        <v>1437.5</v>
      </c>
      <c r="N1150" s="7">
        <f t="shared" si="6"/>
        <v>1375</v>
      </c>
    </row>
    <row r="1151">
      <c r="A1151" s="5" t="s">
        <v>2366</v>
      </c>
      <c r="B1151" s="5" t="s">
        <v>1524</v>
      </c>
      <c r="C1151" s="5" t="s">
        <v>2392</v>
      </c>
      <c r="D1151" s="5" t="s">
        <v>2444</v>
      </c>
      <c r="E1151" s="5" t="s">
        <v>2445</v>
      </c>
      <c r="F1151" s="6"/>
      <c r="G1151" s="8">
        <v>1250.0</v>
      </c>
      <c r="H1151" s="5" t="s">
        <v>22</v>
      </c>
      <c r="I1151" s="7">
        <f t="shared" si="1"/>
        <v>1875</v>
      </c>
      <c r="J1151" s="7">
        <f t="shared" si="7"/>
        <v>1625</v>
      </c>
      <c r="K1151" s="7">
        <f t="shared" si="3"/>
        <v>1625</v>
      </c>
      <c r="L1151" s="7">
        <f t="shared" si="4"/>
        <v>1500</v>
      </c>
      <c r="M1151" s="7">
        <f t="shared" si="5"/>
        <v>1437.5</v>
      </c>
      <c r="N1151" s="7">
        <f t="shared" si="6"/>
        <v>1375</v>
      </c>
    </row>
    <row r="1152">
      <c r="A1152" s="5" t="s">
        <v>2366</v>
      </c>
      <c r="B1152" s="5" t="s">
        <v>1524</v>
      </c>
      <c r="C1152" s="5" t="s">
        <v>2392</v>
      </c>
      <c r="D1152" s="5" t="s">
        <v>2446</v>
      </c>
      <c r="E1152" s="5" t="s">
        <v>2447</v>
      </c>
      <c r="F1152" s="6"/>
      <c r="G1152" s="8">
        <v>2050.0</v>
      </c>
      <c r="H1152" s="5" t="s">
        <v>22</v>
      </c>
      <c r="I1152" s="7">
        <f t="shared" si="1"/>
        <v>3075</v>
      </c>
      <c r="J1152" s="7">
        <f t="shared" si="7"/>
        <v>2665</v>
      </c>
      <c r="K1152" s="7">
        <f t="shared" si="3"/>
        <v>2665</v>
      </c>
      <c r="L1152" s="7">
        <f t="shared" si="4"/>
        <v>2460</v>
      </c>
      <c r="M1152" s="7">
        <f t="shared" si="5"/>
        <v>2357.5</v>
      </c>
      <c r="N1152" s="7">
        <f t="shared" si="6"/>
        <v>2255</v>
      </c>
    </row>
    <row r="1153">
      <c r="A1153" s="5" t="s">
        <v>2448</v>
      </c>
      <c r="B1153" s="5" t="s">
        <v>1524</v>
      </c>
      <c r="C1153" s="6"/>
      <c r="D1153" s="5" t="s">
        <v>2449</v>
      </c>
      <c r="E1153" s="5" t="s">
        <v>2450</v>
      </c>
      <c r="F1153" s="6"/>
      <c r="G1153" s="8">
        <v>4914.0</v>
      </c>
      <c r="H1153" s="5" t="s">
        <v>22</v>
      </c>
      <c r="I1153" s="7">
        <f t="shared" si="1"/>
        <v>7371</v>
      </c>
      <c r="J1153" s="7">
        <f t="shared" si="7"/>
        <v>6388.2</v>
      </c>
      <c r="K1153" s="7">
        <f t="shared" si="3"/>
        <v>6388.2</v>
      </c>
      <c r="L1153" s="7">
        <f t="shared" si="4"/>
        <v>5896.8</v>
      </c>
      <c r="M1153" s="7">
        <f t="shared" si="5"/>
        <v>5651.1</v>
      </c>
      <c r="N1153" s="7">
        <f t="shared" si="6"/>
        <v>5405.4</v>
      </c>
    </row>
    <row r="1154">
      <c r="A1154" s="5" t="s">
        <v>2448</v>
      </c>
      <c r="B1154" s="5" t="s">
        <v>1524</v>
      </c>
      <c r="C1154" s="5" t="s">
        <v>2451</v>
      </c>
      <c r="D1154" s="5">
        <v>802171.0</v>
      </c>
      <c r="E1154" s="6"/>
      <c r="F1154" s="6"/>
      <c r="G1154" s="6"/>
      <c r="H1154" s="5" t="s">
        <v>22</v>
      </c>
      <c r="I1154" s="7">
        <f t="shared" si="1"/>
        <v>0</v>
      </c>
      <c r="J1154" s="7">
        <f t="shared" si="7"/>
        <v>0</v>
      </c>
      <c r="K1154" s="7">
        <f t="shared" si="3"/>
        <v>0</v>
      </c>
      <c r="L1154" s="7">
        <f t="shared" si="4"/>
        <v>0</v>
      </c>
      <c r="M1154" s="7">
        <f t="shared" si="5"/>
        <v>0</v>
      </c>
      <c r="N1154" s="7">
        <f t="shared" si="6"/>
        <v>0</v>
      </c>
    </row>
    <row r="1155">
      <c r="A1155" s="5" t="s">
        <v>2448</v>
      </c>
      <c r="B1155" s="6"/>
      <c r="C1155" s="5" t="s">
        <v>2452</v>
      </c>
      <c r="D1155" s="13" t="s">
        <v>2453</v>
      </c>
      <c r="E1155" s="6"/>
      <c r="F1155" s="6"/>
      <c r="G1155" s="6"/>
      <c r="H1155" s="5" t="s">
        <v>22</v>
      </c>
      <c r="I1155" s="7">
        <f t="shared" si="1"/>
        <v>0</v>
      </c>
      <c r="J1155" s="7">
        <f t="shared" si="7"/>
        <v>0</v>
      </c>
      <c r="K1155" s="7">
        <f t="shared" si="3"/>
        <v>0</v>
      </c>
      <c r="L1155" s="7">
        <f t="shared" si="4"/>
        <v>0</v>
      </c>
      <c r="M1155" s="7">
        <f t="shared" si="5"/>
        <v>0</v>
      </c>
      <c r="N1155" s="7">
        <f t="shared" si="6"/>
        <v>0</v>
      </c>
    </row>
    <row r="1156">
      <c r="A1156" s="5" t="s">
        <v>2448</v>
      </c>
      <c r="B1156" s="6"/>
      <c r="C1156" s="5" t="s">
        <v>2454</v>
      </c>
      <c r="D1156" s="5">
        <v>802177.0</v>
      </c>
      <c r="E1156" s="6"/>
      <c r="F1156" s="6"/>
      <c r="G1156" s="6"/>
      <c r="H1156" s="5" t="s">
        <v>22</v>
      </c>
      <c r="I1156" s="7">
        <f t="shared" si="1"/>
        <v>0</v>
      </c>
      <c r="J1156" s="7">
        <f t="shared" si="7"/>
        <v>0</v>
      </c>
      <c r="K1156" s="7">
        <f t="shared" si="3"/>
        <v>0</v>
      </c>
      <c r="L1156" s="7">
        <f t="shared" si="4"/>
        <v>0</v>
      </c>
      <c r="M1156" s="7">
        <f t="shared" si="5"/>
        <v>0</v>
      </c>
      <c r="N1156" s="7">
        <f t="shared" si="6"/>
        <v>0</v>
      </c>
    </row>
    <row r="1157">
      <c r="A1157" s="5" t="s">
        <v>2448</v>
      </c>
      <c r="B1157" s="6"/>
      <c r="C1157" s="5" t="s">
        <v>2452</v>
      </c>
      <c r="D1157" s="13" t="s">
        <v>2455</v>
      </c>
      <c r="E1157" s="6"/>
      <c r="F1157" s="6"/>
      <c r="G1157" s="6"/>
      <c r="H1157" s="5" t="s">
        <v>22</v>
      </c>
      <c r="I1157" s="7">
        <f t="shared" si="1"/>
        <v>0</v>
      </c>
      <c r="J1157" s="7">
        <f t="shared" si="7"/>
        <v>0</v>
      </c>
      <c r="K1157" s="7">
        <f t="shared" si="3"/>
        <v>0</v>
      </c>
      <c r="L1157" s="7">
        <f t="shared" si="4"/>
        <v>0</v>
      </c>
      <c r="M1157" s="7">
        <f t="shared" si="5"/>
        <v>0</v>
      </c>
      <c r="N1157" s="7">
        <f t="shared" si="6"/>
        <v>0</v>
      </c>
    </row>
    <row r="1158">
      <c r="A1158" s="5" t="s">
        <v>2448</v>
      </c>
      <c r="B1158" s="5" t="s">
        <v>1524</v>
      </c>
      <c r="C1158" s="5" t="s">
        <v>2456</v>
      </c>
      <c r="D1158" s="5">
        <v>802371.0</v>
      </c>
      <c r="E1158" s="5" t="s">
        <v>2457</v>
      </c>
      <c r="F1158" s="6"/>
      <c r="G1158" s="8">
        <v>5481.0</v>
      </c>
      <c r="H1158" s="5" t="s">
        <v>22</v>
      </c>
      <c r="I1158" s="7">
        <f t="shared" si="1"/>
        <v>8221.5</v>
      </c>
      <c r="J1158" s="7">
        <f t="shared" si="7"/>
        <v>7125.3</v>
      </c>
      <c r="K1158" s="7">
        <f t="shared" si="3"/>
        <v>7125.3</v>
      </c>
      <c r="L1158" s="7">
        <f t="shared" si="4"/>
        <v>6577.2</v>
      </c>
      <c r="M1158" s="7">
        <f t="shared" si="5"/>
        <v>6303.15</v>
      </c>
      <c r="N1158" s="7">
        <f t="shared" si="6"/>
        <v>6029.1</v>
      </c>
    </row>
    <row r="1159">
      <c r="A1159" s="5" t="s">
        <v>2448</v>
      </c>
      <c r="B1159" s="6"/>
      <c r="C1159" s="5" t="s">
        <v>2458</v>
      </c>
      <c r="D1159" s="13" t="s">
        <v>2459</v>
      </c>
      <c r="E1159" s="6"/>
      <c r="F1159" s="6"/>
      <c r="G1159" s="6"/>
      <c r="H1159" s="5" t="s">
        <v>22</v>
      </c>
      <c r="I1159" s="7">
        <f t="shared" si="1"/>
        <v>0</v>
      </c>
      <c r="J1159" s="7">
        <f t="shared" si="7"/>
        <v>0</v>
      </c>
      <c r="K1159" s="7">
        <f t="shared" si="3"/>
        <v>0</v>
      </c>
      <c r="L1159" s="7">
        <f t="shared" si="4"/>
        <v>0</v>
      </c>
      <c r="M1159" s="7">
        <f t="shared" si="5"/>
        <v>0</v>
      </c>
      <c r="N1159" s="7">
        <f t="shared" si="6"/>
        <v>0</v>
      </c>
    </row>
    <row r="1160">
      <c r="A1160" s="5" t="s">
        <v>2448</v>
      </c>
      <c r="B1160" s="5" t="s">
        <v>1524</v>
      </c>
      <c r="C1160" s="5" t="s">
        <v>2460</v>
      </c>
      <c r="D1160" s="5">
        <v>802271.0</v>
      </c>
      <c r="E1160" s="5" t="s">
        <v>2461</v>
      </c>
      <c r="F1160" s="6"/>
      <c r="G1160" s="8">
        <v>4368.0</v>
      </c>
      <c r="H1160" s="5" t="s">
        <v>22</v>
      </c>
      <c r="I1160" s="7">
        <f t="shared" si="1"/>
        <v>6552</v>
      </c>
      <c r="J1160" s="7">
        <f t="shared" si="7"/>
        <v>5678.4</v>
      </c>
      <c r="K1160" s="7">
        <f t="shared" si="3"/>
        <v>5678.4</v>
      </c>
      <c r="L1160" s="7">
        <f t="shared" si="4"/>
        <v>5241.6</v>
      </c>
      <c r="M1160" s="7">
        <f t="shared" si="5"/>
        <v>5023.2</v>
      </c>
      <c r="N1160" s="7">
        <f t="shared" si="6"/>
        <v>4804.8</v>
      </c>
    </row>
    <row r="1161">
      <c r="A1161" s="5" t="s">
        <v>2448</v>
      </c>
      <c r="B1161" s="6"/>
      <c r="C1161" s="5" t="s">
        <v>2462</v>
      </c>
      <c r="D1161" s="13" t="s">
        <v>2463</v>
      </c>
      <c r="E1161" s="6"/>
      <c r="F1161" s="6"/>
      <c r="G1161" s="6"/>
      <c r="H1161" s="5" t="s">
        <v>22</v>
      </c>
      <c r="I1161" s="7">
        <f t="shared" si="1"/>
        <v>0</v>
      </c>
      <c r="J1161" s="7">
        <f t="shared" si="7"/>
        <v>0</v>
      </c>
      <c r="K1161" s="7">
        <f t="shared" si="3"/>
        <v>0</v>
      </c>
      <c r="L1161" s="7">
        <f t="shared" si="4"/>
        <v>0</v>
      </c>
      <c r="M1161" s="7">
        <f t="shared" si="5"/>
        <v>0</v>
      </c>
      <c r="N1161" s="7">
        <f t="shared" si="6"/>
        <v>0</v>
      </c>
    </row>
    <row r="1162">
      <c r="A1162" s="5" t="s">
        <v>2448</v>
      </c>
      <c r="B1162" s="6"/>
      <c r="C1162" s="5" t="s">
        <v>2464</v>
      </c>
      <c r="D1162" s="5">
        <v>802375.0</v>
      </c>
      <c r="E1162" s="6"/>
      <c r="F1162" s="6"/>
      <c r="G1162" s="6"/>
      <c r="H1162" s="5" t="s">
        <v>22</v>
      </c>
      <c r="I1162" s="7">
        <f t="shared" si="1"/>
        <v>0</v>
      </c>
      <c r="J1162" s="7">
        <f t="shared" si="7"/>
        <v>0</v>
      </c>
      <c r="K1162" s="7">
        <f t="shared" si="3"/>
        <v>0</v>
      </c>
      <c r="L1162" s="7">
        <f t="shared" si="4"/>
        <v>0</v>
      </c>
      <c r="M1162" s="7">
        <f t="shared" si="5"/>
        <v>0</v>
      </c>
      <c r="N1162" s="7">
        <f t="shared" si="6"/>
        <v>0</v>
      </c>
    </row>
    <row r="1163">
      <c r="A1163" s="5" t="s">
        <v>2448</v>
      </c>
      <c r="B1163" s="6"/>
      <c r="C1163" s="5" t="s">
        <v>2464</v>
      </c>
      <c r="D1163" s="13" t="s">
        <v>2465</v>
      </c>
      <c r="E1163" s="6"/>
      <c r="F1163" s="6"/>
      <c r="G1163" s="6"/>
      <c r="H1163" s="5" t="s">
        <v>22</v>
      </c>
      <c r="I1163" s="7">
        <f t="shared" si="1"/>
        <v>0</v>
      </c>
      <c r="J1163" s="7">
        <f t="shared" si="7"/>
        <v>0</v>
      </c>
      <c r="K1163" s="7">
        <f t="shared" si="3"/>
        <v>0</v>
      </c>
      <c r="L1163" s="7">
        <f t="shared" si="4"/>
        <v>0</v>
      </c>
      <c r="M1163" s="7">
        <f t="shared" si="5"/>
        <v>0</v>
      </c>
      <c r="N1163" s="7">
        <f t="shared" si="6"/>
        <v>0</v>
      </c>
    </row>
    <row r="1164">
      <c r="A1164" s="5" t="s">
        <v>2448</v>
      </c>
      <c r="B1164" s="6"/>
      <c r="C1164" s="5" t="s">
        <v>2466</v>
      </c>
      <c r="D1164" s="5">
        <v>802379.0</v>
      </c>
      <c r="E1164" s="6"/>
      <c r="F1164" s="6"/>
      <c r="G1164" s="6"/>
      <c r="H1164" s="5" t="s">
        <v>22</v>
      </c>
      <c r="I1164" s="7">
        <f t="shared" si="1"/>
        <v>0</v>
      </c>
      <c r="J1164" s="7">
        <f t="shared" si="7"/>
        <v>0</v>
      </c>
      <c r="K1164" s="7">
        <f t="shared" si="3"/>
        <v>0</v>
      </c>
      <c r="L1164" s="7">
        <f t="shared" si="4"/>
        <v>0</v>
      </c>
      <c r="M1164" s="7">
        <f t="shared" si="5"/>
        <v>0</v>
      </c>
      <c r="N1164" s="7">
        <f t="shared" si="6"/>
        <v>0</v>
      </c>
    </row>
    <row r="1165">
      <c r="A1165" s="5" t="s">
        <v>2448</v>
      </c>
      <c r="B1165" s="6"/>
      <c r="C1165" s="5" t="s">
        <v>2467</v>
      </c>
      <c r="D1165" s="5" t="s">
        <v>2468</v>
      </c>
      <c r="E1165" s="6"/>
      <c r="F1165" s="6"/>
      <c r="G1165" s="6"/>
      <c r="H1165" s="5" t="s">
        <v>22</v>
      </c>
      <c r="I1165" s="7">
        <f t="shared" si="1"/>
        <v>0</v>
      </c>
      <c r="J1165" s="7">
        <f t="shared" si="7"/>
        <v>0</v>
      </c>
      <c r="K1165" s="7">
        <f t="shared" si="3"/>
        <v>0</v>
      </c>
      <c r="L1165" s="7">
        <f t="shared" si="4"/>
        <v>0</v>
      </c>
      <c r="M1165" s="7">
        <f t="shared" si="5"/>
        <v>0</v>
      </c>
      <c r="N1165" s="7">
        <f t="shared" si="6"/>
        <v>0</v>
      </c>
    </row>
    <row r="1166">
      <c r="A1166" s="5" t="s">
        <v>2448</v>
      </c>
      <c r="B1166" s="6"/>
      <c r="C1166" s="5" t="s">
        <v>2469</v>
      </c>
      <c r="D1166" s="5">
        <v>802373.0</v>
      </c>
      <c r="E1166" s="6"/>
      <c r="F1166" s="6"/>
      <c r="G1166" s="6"/>
      <c r="H1166" s="5" t="s">
        <v>22</v>
      </c>
      <c r="I1166" s="7">
        <f t="shared" si="1"/>
        <v>0</v>
      </c>
      <c r="J1166" s="7">
        <f t="shared" si="7"/>
        <v>0</v>
      </c>
      <c r="K1166" s="7">
        <f t="shared" si="3"/>
        <v>0</v>
      </c>
      <c r="L1166" s="7">
        <f t="shared" si="4"/>
        <v>0</v>
      </c>
      <c r="M1166" s="7">
        <f t="shared" si="5"/>
        <v>0</v>
      </c>
      <c r="N1166" s="7">
        <f t="shared" si="6"/>
        <v>0</v>
      </c>
    </row>
    <row r="1167">
      <c r="A1167" s="5" t="s">
        <v>2448</v>
      </c>
      <c r="B1167" s="6"/>
      <c r="C1167" s="5" t="s">
        <v>2470</v>
      </c>
      <c r="D1167" s="5">
        <v>802374.0</v>
      </c>
      <c r="E1167" s="6"/>
      <c r="F1167" s="6"/>
      <c r="G1167" s="6"/>
      <c r="H1167" s="5" t="s">
        <v>22</v>
      </c>
      <c r="I1167" s="7">
        <f t="shared" si="1"/>
        <v>0</v>
      </c>
      <c r="J1167" s="7">
        <f t="shared" si="7"/>
        <v>0</v>
      </c>
      <c r="K1167" s="7">
        <f t="shared" si="3"/>
        <v>0</v>
      </c>
      <c r="L1167" s="7">
        <f t="shared" si="4"/>
        <v>0</v>
      </c>
      <c r="M1167" s="7">
        <f t="shared" si="5"/>
        <v>0</v>
      </c>
      <c r="N1167" s="7">
        <f t="shared" si="6"/>
        <v>0</v>
      </c>
    </row>
    <row r="1168">
      <c r="A1168" s="5" t="s">
        <v>2448</v>
      </c>
      <c r="B1168" s="6"/>
      <c r="C1168" s="5" t="s">
        <v>2471</v>
      </c>
      <c r="D1168" s="13" t="s">
        <v>2472</v>
      </c>
      <c r="E1168" s="6"/>
      <c r="F1168" s="6"/>
      <c r="G1168" s="6"/>
      <c r="H1168" s="5" t="s">
        <v>22</v>
      </c>
      <c r="I1168" s="7">
        <f t="shared" si="1"/>
        <v>0</v>
      </c>
      <c r="J1168" s="7">
        <f t="shared" si="7"/>
        <v>0</v>
      </c>
      <c r="K1168" s="7">
        <f t="shared" si="3"/>
        <v>0</v>
      </c>
      <c r="L1168" s="7">
        <f t="shared" si="4"/>
        <v>0</v>
      </c>
      <c r="M1168" s="7">
        <f t="shared" si="5"/>
        <v>0</v>
      </c>
      <c r="N1168" s="7">
        <f t="shared" si="6"/>
        <v>0</v>
      </c>
    </row>
    <row r="1169">
      <c r="A1169" s="5" t="s">
        <v>2448</v>
      </c>
      <c r="B1169" s="6"/>
      <c r="C1169" s="5" t="s">
        <v>2473</v>
      </c>
      <c r="D1169" s="5">
        <v>802382.0</v>
      </c>
      <c r="E1169" s="6"/>
      <c r="F1169" s="6"/>
      <c r="G1169" s="6"/>
      <c r="H1169" s="5" t="s">
        <v>22</v>
      </c>
      <c r="I1169" s="7">
        <f t="shared" si="1"/>
        <v>0</v>
      </c>
      <c r="J1169" s="7">
        <f t="shared" si="7"/>
        <v>0</v>
      </c>
      <c r="K1169" s="7">
        <f t="shared" si="3"/>
        <v>0</v>
      </c>
      <c r="L1169" s="7">
        <f t="shared" si="4"/>
        <v>0</v>
      </c>
      <c r="M1169" s="7">
        <f t="shared" si="5"/>
        <v>0</v>
      </c>
      <c r="N1169" s="7">
        <f t="shared" si="6"/>
        <v>0</v>
      </c>
    </row>
    <row r="1170">
      <c r="A1170" s="5" t="s">
        <v>2448</v>
      </c>
      <c r="B1170" s="6"/>
      <c r="C1170" s="5" t="s">
        <v>2474</v>
      </c>
      <c r="D1170" s="5">
        <v>802383.0</v>
      </c>
      <c r="E1170" s="6"/>
      <c r="F1170" s="6"/>
      <c r="G1170" s="6"/>
      <c r="H1170" s="5" t="s">
        <v>22</v>
      </c>
      <c r="I1170" s="7">
        <f t="shared" si="1"/>
        <v>0</v>
      </c>
      <c r="J1170" s="7">
        <f t="shared" si="7"/>
        <v>0</v>
      </c>
      <c r="K1170" s="7">
        <f t="shared" si="3"/>
        <v>0</v>
      </c>
      <c r="L1170" s="7">
        <f t="shared" si="4"/>
        <v>0</v>
      </c>
      <c r="M1170" s="7">
        <f t="shared" si="5"/>
        <v>0</v>
      </c>
      <c r="N1170" s="7">
        <f t="shared" si="6"/>
        <v>0</v>
      </c>
    </row>
    <row r="1171">
      <c r="A1171" s="5" t="s">
        <v>2448</v>
      </c>
      <c r="B1171" s="6"/>
      <c r="C1171" s="5" t="s">
        <v>2475</v>
      </c>
      <c r="D1171" s="5">
        <v>802384.0</v>
      </c>
      <c r="E1171" s="6"/>
      <c r="F1171" s="6"/>
      <c r="G1171" s="6"/>
      <c r="H1171" s="5" t="s">
        <v>22</v>
      </c>
      <c r="I1171" s="7">
        <f t="shared" si="1"/>
        <v>0</v>
      </c>
      <c r="J1171" s="7">
        <f t="shared" si="7"/>
        <v>0</v>
      </c>
      <c r="K1171" s="7">
        <f t="shared" si="3"/>
        <v>0</v>
      </c>
      <c r="L1171" s="7">
        <f t="shared" si="4"/>
        <v>0</v>
      </c>
      <c r="M1171" s="7">
        <f t="shared" si="5"/>
        <v>0</v>
      </c>
      <c r="N1171" s="7">
        <f t="shared" si="6"/>
        <v>0</v>
      </c>
    </row>
    <row r="1172">
      <c r="A1172" s="5" t="s">
        <v>2448</v>
      </c>
      <c r="B1172" s="6"/>
      <c r="C1172" s="5" t="s">
        <v>2476</v>
      </c>
      <c r="D1172" s="5">
        <v>802385.0</v>
      </c>
      <c r="E1172" s="6"/>
      <c r="F1172" s="6"/>
      <c r="G1172" s="6"/>
      <c r="H1172" s="5" t="s">
        <v>22</v>
      </c>
      <c r="I1172" s="7">
        <f t="shared" si="1"/>
        <v>0</v>
      </c>
      <c r="J1172" s="7">
        <f t="shared" si="7"/>
        <v>0</v>
      </c>
      <c r="K1172" s="7">
        <f t="shared" si="3"/>
        <v>0</v>
      </c>
      <c r="L1172" s="7">
        <f t="shared" si="4"/>
        <v>0</v>
      </c>
      <c r="M1172" s="7">
        <f t="shared" si="5"/>
        <v>0</v>
      </c>
      <c r="N1172" s="7">
        <f t="shared" si="6"/>
        <v>0</v>
      </c>
    </row>
    <row r="1173">
      <c r="A1173" s="5" t="s">
        <v>2448</v>
      </c>
      <c r="B1173" s="6"/>
      <c r="C1173" s="5" t="s">
        <v>2477</v>
      </c>
      <c r="D1173" s="5">
        <v>802386.0</v>
      </c>
      <c r="E1173" s="6"/>
      <c r="F1173" s="6"/>
      <c r="G1173" s="6"/>
      <c r="H1173" s="5" t="s">
        <v>22</v>
      </c>
      <c r="I1173" s="7">
        <f t="shared" si="1"/>
        <v>0</v>
      </c>
      <c r="J1173" s="7">
        <f t="shared" si="7"/>
        <v>0</v>
      </c>
      <c r="K1173" s="7">
        <f t="shared" si="3"/>
        <v>0</v>
      </c>
      <c r="L1173" s="7">
        <f t="shared" si="4"/>
        <v>0</v>
      </c>
      <c r="M1173" s="7">
        <f t="shared" si="5"/>
        <v>0</v>
      </c>
      <c r="N1173" s="7">
        <f t="shared" si="6"/>
        <v>0</v>
      </c>
    </row>
    <row r="1174">
      <c r="A1174" s="5" t="s">
        <v>2448</v>
      </c>
      <c r="B1174" s="6"/>
      <c r="C1174" s="5" t="s">
        <v>2478</v>
      </c>
      <c r="D1174" s="5">
        <v>802473.0</v>
      </c>
      <c r="E1174" s="6"/>
      <c r="F1174" s="6"/>
      <c r="G1174" s="6"/>
      <c r="H1174" s="5" t="s">
        <v>22</v>
      </c>
      <c r="I1174" s="7">
        <f t="shared" si="1"/>
        <v>0</v>
      </c>
      <c r="J1174" s="7">
        <f t="shared" si="7"/>
        <v>0</v>
      </c>
      <c r="K1174" s="7">
        <f t="shared" si="3"/>
        <v>0</v>
      </c>
      <c r="L1174" s="7">
        <f t="shared" si="4"/>
        <v>0</v>
      </c>
      <c r="M1174" s="7">
        <f t="shared" si="5"/>
        <v>0</v>
      </c>
      <c r="N1174" s="7">
        <f t="shared" si="6"/>
        <v>0</v>
      </c>
    </row>
    <row r="1175">
      <c r="A1175" s="5" t="s">
        <v>2448</v>
      </c>
      <c r="B1175" s="6"/>
      <c r="C1175" s="5" t="s">
        <v>2479</v>
      </c>
      <c r="D1175" s="13" t="s">
        <v>2480</v>
      </c>
      <c r="E1175" s="6"/>
      <c r="F1175" s="6"/>
      <c r="G1175" s="6"/>
      <c r="H1175" s="5" t="s">
        <v>22</v>
      </c>
      <c r="I1175" s="7">
        <f t="shared" si="1"/>
        <v>0</v>
      </c>
      <c r="J1175" s="7">
        <f t="shared" si="7"/>
        <v>0</v>
      </c>
      <c r="K1175" s="7">
        <f t="shared" si="3"/>
        <v>0</v>
      </c>
      <c r="L1175" s="7">
        <f t="shared" si="4"/>
        <v>0</v>
      </c>
      <c r="M1175" s="7">
        <f t="shared" si="5"/>
        <v>0</v>
      </c>
      <c r="N1175" s="7">
        <f t="shared" si="6"/>
        <v>0</v>
      </c>
    </row>
    <row r="1176">
      <c r="A1176" s="5" t="s">
        <v>2448</v>
      </c>
      <c r="B1176" s="6"/>
      <c r="C1176" s="5" t="s">
        <v>2481</v>
      </c>
      <c r="D1176" s="5">
        <v>803171.0</v>
      </c>
      <c r="E1176" s="6"/>
      <c r="F1176" s="6"/>
      <c r="G1176" s="6"/>
      <c r="H1176" s="5" t="s">
        <v>22</v>
      </c>
      <c r="I1176" s="7">
        <f t="shared" si="1"/>
        <v>0</v>
      </c>
      <c r="J1176" s="7">
        <f t="shared" si="7"/>
        <v>0</v>
      </c>
      <c r="K1176" s="7">
        <f t="shared" si="3"/>
        <v>0</v>
      </c>
      <c r="L1176" s="7">
        <f t="shared" si="4"/>
        <v>0</v>
      </c>
      <c r="M1176" s="7">
        <f t="shared" si="5"/>
        <v>0</v>
      </c>
      <c r="N1176" s="7">
        <f t="shared" si="6"/>
        <v>0</v>
      </c>
    </row>
    <row r="1177">
      <c r="A1177" s="5" t="s">
        <v>2448</v>
      </c>
      <c r="B1177" s="6"/>
      <c r="C1177" s="5" t="s">
        <v>2456</v>
      </c>
      <c r="D1177" s="5">
        <v>803371.0</v>
      </c>
      <c r="E1177" s="6"/>
      <c r="F1177" s="6"/>
      <c r="G1177" s="6"/>
      <c r="H1177" s="5" t="s">
        <v>22</v>
      </c>
      <c r="I1177" s="7">
        <f t="shared" si="1"/>
        <v>0</v>
      </c>
      <c r="J1177" s="7">
        <f t="shared" si="7"/>
        <v>0</v>
      </c>
      <c r="K1177" s="7">
        <f t="shared" si="3"/>
        <v>0</v>
      </c>
      <c r="L1177" s="7">
        <f t="shared" si="4"/>
        <v>0</v>
      </c>
      <c r="M1177" s="7">
        <f t="shared" si="5"/>
        <v>0</v>
      </c>
      <c r="N1177" s="7">
        <f t="shared" si="6"/>
        <v>0</v>
      </c>
    </row>
    <row r="1178">
      <c r="A1178" s="5" t="s">
        <v>2448</v>
      </c>
      <c r="B1178" s="6"/>
      <c r="C1178" s="5" t="s">
        <v>2482</v>
      </c>
      <c r="D1178" s="5" t="s">
        <v>2483</v>
      </c>
      <c r="E1178" s="6"/>
      <c r="F1178" s="6"/>
      <c r="G1178" s="6"/>
      <c r="H1178" s="5" t="s">
        <v>22</v>
      </c>
      <c r="I1178" s="7">
        <f t="shared" si="1"/>
        <v>0</v>
      </c>
      <c r="J1178" s="7">
        <f t="shared" si="7"/>
        <v>0</v>
      </c>
      <c r="K1178" s="7">
        <f t="shared" si="3"/>
        <v>0</v>
      </c>
      <c r="L1178" s="7">
        <f t="shared" si="4"/>
        <v>0</v>
      </c>
      <c r="M1178" s="7">
        <f t="shared" si="5"/>
        <v>0</v>
      </c>
      <c r="N1178" s="7">
        <f t="shared" si="6"/>
        <v>0</v>
      </c>
    </row>
    <row r="1179">
      <c r="A1179" s="5" t="s">
        <v>2448</v>
      </c>
      <c r="B1179" s="6"/>
      <c r="C1179" s="5" t="s">
        <v>2484</v>
      </c>
      <c r="D1179" s="13" t="s">
        <v>2485</v>
      </c>
      <c r="E1179" s="6"/>
      <c r="F1179" s="6"/>
      <c r="G1179" s="6"/>
      <c r="H1179" s="5" t="s">
        <v>22</v>
      </c>
      <c r="I1179" s="7">
        <f t="shared" si="1"/>
        <v>0</v>
      </c>
      <c r="J1179" s="7">
        <f t="shared" si="7"/>
        <v>0</v>
      </c>
      <c r="K1179" s="7">
        <f t="shared" si="3"/>
        <v>0</v>
      </c>
      <c r="L1179" s="7">
        <f t="shared" si="4"/>
        <v>0</v>
      </c>
      <c r="M1179" s="7">
        <f t="shared" si="5"/>
        <v>0</v>
      </c>
      <c r="N1179" s="7">
        <f t="shared" si="6"/>
        <v>0</v>
      </c>
    </row>
    <row r="1180">
      <c r="A1180" s="5" t="s">
        <v>2448</v>
      </c>
      <c r="B1180" s="6"/>
      <c r="C1180" s="5" t="s">
        <v>2486</v>
      </c>
      <c r="D1180" s="5" t="s">
        <v>2487</v>
      </c>
      <c r="E1180" s="6"/>
      <c r="F1180" s="6"/>
      <c r="G1180" s="6"/>
      <c r="H1180" s="5" t="s">
        <v>22</v>
      </c>
      <c r="I1180" s="7">
        <f t="shared" si="1"/>
        <v>0</v>
      </c>
      <c r="J1180" s="7">
        <f t="shared" si="7"/>
        <v>0</v>
      </c>
      <c r="K1180" s="7">
        <f t="shared" si="3"/>
        <v>0</v>
      </c>
      <c r="L1180" s="7">
        <f t="shared" si="4"/>
        <v>0</v>
      </c>
      <c r="M1180" s="7">
        <f t="shared" si="5"/>
        <v>0</v>
      </c>
      <c r="N1180" s="7">
        <f t="shared" si="6"/>
        <v>0</v>
      </c>
    </row>
    <row r="1181">
      <c r="A1181" s="5" t="s">
        <v>2448</v>
      </c>
      <c r="B1181" s="6"/>
      <c r="C1181" s="5" t="s">
        <v>2488</v>
      </c>
      <c r="D1181" s="13" t="s">
        <v>2489</v>
      </c>
      <c r="E1181" s="6"/>
      <c r="F1181" s="6"/>
      <c r="G1181" s="6"/>
      <c r="H1181" s="5" t="s">
        <v>22</v>
      </c>
      <c r="I1181" s="7">
        <f t="shared" si="1"/>
        <v>0</v>
      </c>
      <c r="J1181" s="7">
        <f t="shared" si="7"/>
        <v>0</v>
      </c>
      <c r="K1181" s="7">
        <f t="shared" si="3"/>
        <v>0</v>
      </c>
      <c r="L1181" s="7">
        <f t="shared" si="4"/>
        <v>0</v>
      </c>
      <c r="M1181" s="7">
        <f t="shared" si="5"/>
        <v>0</v>
      </c>
      <c r="N1181" s="7">
        <f t="shared" si="6"/>
        <v>0</v>
      </c>
    </row>
    <row r="1182">
      <c r="A1182" s="5" t="s">
        <v>2448</v>
      </c>
      <c r="B1182" s="6"/>
      <c r="C1182" s="5" t="s">
        <v>2490</v>
      </c>
      <c r="D1182" s="5">
        <v>761347.0</v>
      </c>
      <c r="E1182" s="6"/>
      <c r="F1182" s="6"/>
      <c r="G1182" s="6"/>
      <c r="H1182" s="5" t="s">
        <v>22</v>
      </c>
      <c r="I1182" s="7">
        <f t="shared" si="1"/>
        <v>0</v>
      </c>
      <c r="J1182" s="7">
        <f t="shared" si="7"/>
        <v>0</v>
      </c>
      <c r="K1182" s="7">
        <f t="shared" si="3"/>
        <v>0</v>
      </c>
      <c r="L1182" s="7">
        <f t="shared" si="4"/>
        <v>0</v>
      </c>
      <c r="M1182" s="7">
        <f t="shared" si="5"/>
        <v>0</v>
      </c>
      <c r="N1182" s="7">
        <f t="shared" si="6"/>
        <v>0</v>
      </c>
    </row>
    <row r="1183">
      <c r="A1183" s="5" t="s">
        <v>2448</v>
      </c>
      <c r="B1183" s="6"/>
      <c r="C1183" s="5" t="s">
        <v>2491</v>
      </c>
      <c r="D1183" s="5">
        <v>800171.0</v>
      </c>
      <c r="E1183" s="6"/>
      <c r="F1183" s="6"/>
      <c r="G1183" s="6"/>
      <c r="H1183" s="5" t="s">
        <v>22</v>
      </c>
      <c r="I1183" s="7">
        <f t="shared" si="1"/>
        <v>0</v>
      </c>
      <c r="J1183" s="7">
        <f t="shared" si="7"/>
        <v>0</v>
      </c>
      <c r="K1183" s="7">
        <f t="shared" si="3"/>
        <v>0</v>
      </c>
      <c r="L1183" s="7">
        <f t="shared" si="4"/>
        <v>0</v>
      </c>
      <c r="M1183" s="7">
        <f t="shared" si="5"/>
        <v>0</v>
      </c>
      <c r="N1183" s="7">
        <f t="shared" si="6"/>
        <v>0</v>
      </c>
    </row>
    <row r="1184">
      <c r="A1184" s="5" t="s">
        <v>2448</v>
      </c>
      <c r="B1184" s="6"/>
      <c r="C1184" s="5" t="s">
        <v>2462</v>
      </c>
      <c r="D1184" s="5">
        <v>800271.0</v>
      </c>
      <c r="E1184" s="6"/>
      <c r="F1184" s="6"/>
      <c r="G1184" s="6"/>
      <c r="H1184" s="5" t="s">
        <v>22</v>
      </c>
      <c r="I1184" s="7">
        <f t="shared" si="1"/>
        <v>0</v>
      </c>
      <c r="J1184" s="7">
        <f t="shared" si="7"/>
        <v>0</v>
      </c>
      <c r="K1184" s="7">
        <f t="shared" si="3"/>
        <v>0</v>
      </c>
      <c r="L1184" s="7">
        <f t="shared" si="4"/>
        <v>0</v>
      </c>
      <c r="M1184" s="7">
        <f t="shared" si="5"/>
        <v>0</v>
      </c>
      <c r="N1184" s="7">
        <f t="shared" si="6"/>
        <v>0</v>
      </c>
    </row>
    <row r="1185">
      <c r="A1185" s="5" t="s">
        <v>2448</v>
      </c>
      <c r="B1185" s="6"/>
      <c r="C1185" s="5" t="s">
        <v>2492</v>
      </c>
      <c r="D1185" s="5">
        <v>800371.0</v>
      </c>
      <c r="E1185" s="6"/>
      <c r="F1185" s="6"/>
      <c r="G1185" s="6"/>
      <c r="H1185" s="5" t="s">
        <v>22</v>
      </c>
      <c r="I1185" s="7">
        <f t="shared" si="1"/>
        <v>0</v>
      </c>
      <c r="J1185" s="7">
        <f t="shared" si="7"/>
        <v>0</v>
      </c>
      <c r="K1185" s="7">
        <f t="shared" si="3"/>
        <v>0</v>
      </c>
      <c r="L1185" s="7">
        <f t="shared" si="4"/>
        <v>0</v>
      </c>
      <c r="M1185" s="7">
        <f t="shared" si="5"/>
        <v>0</v>
      </c>
      <c r="N1185" s="7">
        <f t="shared" si="6"/>
        <v>0</v>
      </c>
    </row>
    <row r="1186">
      <c r="A1186" s="5" t="s">
        <v>2448</v>
      </c>
      <c r="B1186" s="6"/>
      <c r="C1186" s="5" t="s">
        <v>2471</v>
      </c>
      <c r="D1186" s="5">
        <v>800374.0</v>
      </c>
      <c r="E1186" s="6"/>
      <c r="F1186" s="6"/>
      <c r="G1186" s="6"/>
      <c r="H1186" s="5" t="s">
        <v>22</v>
      </c>
      <c r="I1186" s="7">
        <f t="shared" si="1"/>
        <v>0</v>
      </c>
      <c r="J1186" s="7">
        <f t="shared" si="7"/>
        <v>0</v>
      </c>
      <c r="K1186" s="7">
        <f t="shared" si="3"/>
        <v>0</v>
      </c>
      <c r="L1186" s="7">
        <f t="shared" si="4"/>
        <v>0</v>
      </c>
      <c r="M1186" s="7">
        <f t="shared" si="5"/>
        <v>0</v>
      </c>
      <c r="N1186" s="7">
        <f t="shared" si="6"/>
        <v>0</v>
      </c>
    </row>
    <row r="1187">
      <c r="A1187" s="5" t="s">
        <v>2448</v>
      </c>
      <c r="B1187" s="6"/>
      <c r="C1187" s="5" t="s">
        <v>2493</v>
      </c>
      <c r="D1187" s="5">
        <v>761316.0</v>
      </c>
      <c r="E1187" s="6"/>
      <c r="F1187" s="6"/>
      <c r="G1187" s="6"/>
      <c r="H1187" s="5" t="s">
        <v>22</v>
      </c>
      <c r="I1187" s="7">
        <f t="shared" si="1"/>
        <v>0</v>
      </c>
      <c r="J1187" s="7">
        <f t="shared" si="7"/>
        <v>0</v>
      </c>
      <c r="K1187" s="7">
        <f t="shared" si="3"/>
        <v>0</v>
      </c>
      <c r="L1187" s="7">
        <f t="shared" si="4"/>
        <v>0</v>
      </c>
      <c r="M1187" s="7">
        <f t="shared" si="5"/>
        <v>0</v>
      </c>
      <c r="N1187" s="7">
        <f t="shared" si="6"/>
        <v>0</v>
      </c>
    </row>
    <row r="1188">
      <c r="A1188" s="5" t="s">
        <v>2448</v>
      </c>
      <c r="B1188" s="6"/>
      <c r="C1188" s="5" t="s">
        <v>2494</v>
      </c>
      <c r="D1188" s="5">
        <v>761400.1</v>
      </c>
      <c r="E1188" s="6"/>
      <c r="F1188" s="6"/>
      <c r="G1188" s="6"/>
      <c r="H1188" s="5" t="s">
        <v>22</v>
      </c>
      <c r="I1188" s="7">
        <f t="shared" si="1"/>
        <v>0</v>
      </c>
      <c r="J1188" s="7">
        <f t="shared" si="7"/>
        <v>0</v>
      </c>
      <c r="K1188" s="7">
        <f t="shared" si="3"/>
        <v>0</v>
      </c>
      <c r="L1188" s="7">
        <f t="shared" si="4"/>
        <v>0</v>
      </c>
      <c r="M1188" s="7">
        <f t="shared" si="5"/>
        <v>0</v>
      </c>
      <c r="N1188" s="7">
        <f t="shared" si="6"/>
        <v>0</v>
      </c>
    </row>
    <row r="1189">
      <c r="A1189" s="5" t="s">
        <v>2448</v>
      </c>
      <c r="B1189" s="6"/>
      <c r="C1189" s="5" t="s">
        <v>2495</v>
      </c>
      <c r="D1189" s="5">
        <v>761401.1</v>
      </c>
      <c r="E1189" s="6"/>
      <c r="F1189" s="6"/>
      <c r="G1189" s="6"/>
      <c r="H1189" s="5" t="s">
        <v>22</v>
      </c>
      <c r="I1189" s="7">
        <f t="shared" si="1"/>
        <v>0</v>
      </c>
      <c r="J1189" s="7">
        <f t="shared" si="7"/>
        <v>0</v>
      </c>
      <c r="K1189" s="7">
        <f t="shared" si="3"/>
        <v>0</v>
      </c>
      <c r="L1189" s="7">
        <f t="shared" si="4"/>
        <v>0</v>
      </c>
      <c r="M1189" s="7">
        <f t="shared" si="5"/>
        <v>0</v>
      </c>
      <c r="N1189" s="7">
        <f t="shared" si="6"/>
        <v>0</v>
      </c>
    </row>
    <row r="1190">
      <c r="A1190" s="5" t="s">
        <v>2448</v>
      </c>
      <c r="B1190" s="5" t="s">
        <v>2496</v>
      </c>
      <c r="C1190" s="5" t="s">
        <v>2497</v>
      </c>
      <c r="D1190" s="5">
        <v>761694.0</v>
      </c>
      <c r="E1190" s="6"/>
      <c r="F1190" s="6"/>
      <c r="G1190" s="6"/>
      <c r="H1190" s="5" t="s">
        <v>22</v>
      </c>
      <c r="I1190" s="7">
        <f t="shared" si="1"/>
        <v>0</v>
      </c>
      <c r="J1190" s="7">
        <f t="shared" si="7"/>
        <v>0</v>
      </c>
      <c r="K1190" s="7">
        <f t="shared" si="3"/>
        <v>0</v>
      </c>
      <c r="L1190" s="7">
        <f t="shared" si="4"/>
        <v>0</v>
      </c>
      <c r="M1190" s="7">
        <f t="shared" si="5"/>
        <v>0</v>
      </c>
      <c r="N1190" s="7">
        <f t="shared" si="6"/>
        <v>0</v>
      </c>
    </row>
    <row r="1191">
      <c r="A1191" s="5" t="s">
        <v>2448</v>
      </c>
      <c r="B1191" s="6"/>
      <c r="C1191" s="5" t="s">
        <v>2498</v>
      </c>
      <c r="D1191" s="5">
        <v>781464.0</v>
      </c>
      <c r="E1191" s="6"/>
      <c r="F1191" s="6"/>
      <c r="G1191" s="6"/>
      <c r="H1191" s="5" t="s">
        <v>22</v>
      </c>
      <c r="I1191" s="7">
        <f t="shared" si="1"/>
        <v>0</v>
      </c>
      <c r="J1191" s="7">
        <f t="shared" si="7"/>
        <v>0</v>
      </c>
      <c r="K1191" s="7">
        <f t="shared" si="3"/>
        <v>0</v>
      </c>
      <c r="L1191" s="7">
        <f t="shared" si="4"/>
        <v>0</v>
      </c>
      <c r="M1191" s="7">
        <f t="shared" si="5"/>
        <v>0</v>
      </c>
      <c r="N1191" s="7">
        <f t="shared" si="6"/>
        <v>0</v>
      </c>
    </row>
    <row r="1192">
      <c r="A1192" s="5" t="s">
        <v>2448</v>
      </c>
      <c r="B1192" s="6"/>
      <c r="C1192" s="5" t="s">
        <v>2499</v>
      </c>
      <c r="D1192" s="5">
        <v>781469.0</v>
      </c>
      <c r="E1192" s="6"/>
      <c r="F1192" s="6"/>
      <c r="G1192" s="6"/>
      <c r="H1192" s="5" t="s">
        <v>22</v>
      </c>
      <c r="I1192" s="7">
        <f t="shared" si="1"/>
        <v>0</v>
      </c>
      <c r="J1192" s="7">
        <f t="shared" si="7"/>
        <v>0</v>
      </c>
      <c r="K1192" s="7">
        <f t="shared" si="3"/>
        <v>0</v>
      </c>
      <c r="L1192" s="7">
        <f t="shared" si="4"/>
        <v>0</v>
      </c>
      <c r="M1192" s="7">
        <f t="shared" si="5"/>
        <v>0</v>
      </c>
      <c r="N1192" s="7">
        <f t="shared" si="6"/>
        <v>0</v>
      </c>
    </row>
    <row r="1193">
      <c r="A1193" s="5" t="s">
        <v>2448</v>
      </c>
      <c r="B1193" s="6"/>
      <c r="C1193" s="5" t="s">
        <v>2500</v>
      </c>
      <c r="D1193" s="5">
        <v>781694.0</v>
      </c>
      <c r="E1193" s="6"/>
      <c r="F1193" s="6"/>
      <c r="G1193" s="6"/>
      <c r="H1193" s="5" t="s">
        <v>22</v>
      </c>
      <c r="I1193" s="7">
        <f t="shared" si="1"/>
        <v>0</v>
      </c>
      <c r="J1193" s="7">
        <f t="shared" si="7"/>
        <v>0</v>
      </c>
      <c r="K1193" s="7">
        <f t="shared" si="3"/>
        <v>0</v>
      </c>
      <c r="L1193" s="7">
        <f t="shared" si="4"/>
        <v>0</v>
      </c>
      <c r="M1193" s="7">
        <f t="shared" si="5"/>
        <v>0</v>
      </c>
      <c r="N1193" s="7">
        <f t="shared" si="6"/>
        <v>0</v>
      </c>
    </row>
    <row r="1194">
      <c r="A1194" s="5" t="s">
        <v>2448</v>
      </c>
      <c r="B1194" s="6"/>
      <c r="C1194" s="5" t="s">
        <v>2501</v>
      </c>
      <c r="D1194" s="5">
        <v>781698.0</v>
      </c>
      <c r="E1194" s="6"/>
      <c r="F1194" s="6"/>
      <c r="G1194" s="6"/>
      <c r="H1194" s="5" t="s">
        <v>22</v>
      </c>
      <c r="I1194" s="7">
        <f t="shared" si="1"/>
        <v>0</v>
      </c>
      <c r="J1194" s="7">
        <f t="shared" si="7"/>
        <v>0</v>
      </c>
      <c r="K1194" s="7">
        <f t="shared" si="3"/>
        <v>0</v>
      </c>
      <c r="L1194" s="7">
        <f t="shared" si="4"/>
        <v>0</v>
      </c>
      <c r="M1194" s="7">
        <f t="shared" si="5"/>
        <v>0</v>
      </c>
      <c r="N1194" s="7">
        <f t="shared" si="6"/>
        <v>0</v>
      </c>
    </row>
    <row r="1195">
      <c r="A1195" s="5" t="s">
        <v>2448</v>
      </c>
      <c r="B1195" s="6"/>
      <c r="C1195" s="5" t="s">
        <v>2502</v>
      </c>
      <c r="D1195" s="5">
        <v>781699.0</v>
      </c>
      <c r="E1195" s="6"/>
      <c r="F1195" s="6"/>
      <c r="G1195" s="6"/>
      <c r="H1195" s="5" t="s">
        <v>22</v>
      </c>
      <c r="I1195" s="7">
        <f t="shared" si="1"/>
        <v>0</v>
      </c>
      <c r="J1195" s="7">
        <f t="shared" si="7"/>
        <v>0</v>
      </c>
      <c r="K1195" s="7">
        <f t="shared" si="3"/>
        <v>0</v>
      </c>
      <c r="L1195" s="7">
        <f t="shared" si="4"/>
        <v>0</v>
      </c>
      <c r="M1195" s="7">
        <f t="shared" si="5"/>
        <v>0</v>
      </c>
      <c r="N1195" s="7">
        <f t="shared" si="6"/>
        <v>0</v>
      </c>
    </row>
    <row r="1196">
      <c r="A1196" s="5" t="s">
        <v>2448</v>
      </c>
      <c r="B1196" s="6"/>
      <c r="C1196" s="5" t="s">
        <v>2503</v>
      </c>
      <c r="D1196" s="5">
        <v>800375.0</v>
      </c>
      <c r="E1196" s="6"/>
      <c r="F1196" s="6"/>
      <c r="G1196" s="6"/>
      <c r="H1196" s="5" t="s">
        <v>22</v>
      </c>
      <c r="I1196" s="7">
        <f t="shared" si="1"/>
        <v>0</v>
      </c>
      <c r="J1196" s="7">
        <f t="shared" si="7"/>
        <v>0</v>
      </c>
      <c r="K1196" s="7">
        <f t="shared" si="3"/>
        <v>0</v>
      </c>
      <c r="L1196" s="7">
        <f t="shared" si="4"/>
        <v>0</v>
      </c>
      <c r="M1196" s="7">
        <f t="shared" si="5"/>
        <v>0</v>
      </c>
      <c r="N1196" s="7">
        <f t="shared" si="6"/>
        <v>0</v>
      </c>
    </row>
    <row r="1197">
      <c r="A1197" s="5" t="s">
        <v>2448</v>
      </c>
      <c r="B1197" s="6"/>
      <c r="C1197" s="5" t="s">
        <v>2504</v>
      </c>
      <c r="D1197" s="5">
        <v>801824.0</v>
      </c>
      <c r="E1197" s="6"/>
      <c r="F1197" s="6"/>
      <c r="G1197" s="6"/>
      <c r="H1197" s="5" t="s">
        <v>22</v>
      </c>
      <c r="I1197" s="7">
        <f t="shared" si="1"/>
        <v>0</v>
      </c>
      <c r="J1197" s="7">
        <f t="shared" si="7"/>
        <v>0</v>
      </c>
      <c r="K1197" s="7">
        <f t="shared" si="3"/>
        <v>0</v>
      </c>
      <c r="L1197" s="7">
        <f t="shared" si="4"/>
        <v>0</v>
      </c>
      <c r="M1197" s="7">
        <f t="shared" si="5"/>
        <v>0</v>
      </c>
      <c r="N1197" s="7">
        <f t="shared" si="6"/>
        <v>0</v>
      </c>
    </row>
    <row r="1198">
      <c r="A1198" s="5" t="s">
        <v>2448</v>
      </c>
      <c r="B1198" s="6"/>
      <c r="C1198" s="5" t="s">
        <v>2505</v>
      </c>
      <c r="D1198" s="5">
        <v>761697.0</v>
      </c>
      <c r="E1198" s="8">
        <v>229515.0</v>
      </c>
      <c r="F1198" s="6"/>
      <c r="G1198" s="8">
        <v>1008.0</v>
      </c>
      <c r="H1198" s="5" t="s">
        <v>22</v>
      </c>
      <c r="I1198" s="7">
        <f t="shared" si="1"/>
        <v>1512</v>
      </c>
      <c r="J1198" s="7">
        <f t="shared" si="7"/>
        <v>1310.4</v>
      </c>
      <c r="K1198" s="7">
        <f t="shared" si="3"/>
        <v>1310.4</v>
      </c>
      <c r="L1198" s="7">
        <f t="shared" si="4"/>
        <v>1209.6</v>
      </c>
      <c r="M1198" s="7">
        <f t="shared" si="5"/>
        <v>1159.2</v>
      </c>
      <c r="N1198" s="7">
        <f t="shared" si="6"/>
        <v>1108.8</v>
      </c>
    </row>
    <row r="1199">
      <c r="A1199" s="5" t="s">
        <v>2448</v>
      </c>
      <c r="B1199" s="6"/>
      <c r="C1199" s="5" t="s">
        <v>2506</v>
      </c>
      <c r="D1199" s="5">
        <v>764744.0</v>
      </c>
      <c r="E1199" s="8">
        <v>77220.0</v>
      </c>
      <c r="F1199" s="6"/>
      <c r="G1199" s="8">
        <v>161280.0</v>
      </c>
      <c r="H1199" s="5" t="s">
        <v>22</v>
      </c>
      <c r="I1199" s="7">
        <f t="shared" si="1"/>
        <v>241920</v>
      </c>
      <c r="J1199" s="7">
        <f t="shared" si="7"/>
        <v>209664</v>
      </c>
      <c r="K1199" s="7">
        <f t="shared" si="3"/>
        <v>209664</v>
      </c>
      <c r="L1199" s="7">
        <f t="shared" si="4"/>
        <v>193536</v>
      </c>
      <c r="M1199" s="7">
        <f t="shared" si="5"/>
        <v>185472</v>
      </c>
      <c r="N1199" s="7">
        <f t="shared" si="6"/>
        <v>177408</v>
      </c>
    </row>
    <row r="1200">
      <c r="A1200" s="5" t="s">
        <v>2448</v>
      </c>
      <c r="B1200" s="6"/>
      <c r="C1200" s="5" t="s">
        <v>2507</v>
      </c>
      <c r="D1200" s="5">
        <v>804868.0</v>
      </c>
      <c r="E1200" s="8">
        <v>16087.5</v>
      </c>
      <c r="F1200" s="6"/>
      <c r="G1200" s="8">
        <v>54495.0</v>
      </c>
      <c r="H1200" s="5" t="s">
        <v>22</v>
      </c>
      <c r="I1200" s="7">
        <f t="shared" si="1"/>
        <v>81742.5</v>
      </c>
      <c r="J1200" s="7">
        <f t="shared" si="7"/>
        <v>70843.5</v>
      </c>
      <c r="K1200" s="7">
        <f t="shared" si="3"/>
        <v>70843.5</v>
      </c>
      <c r="L1200" s="7">
        <f t="shared" si="4"/>
        <v>65394</v>
      </c>
      <c r="M1200" s="7">
        <f t="shared" si="5"/>
        <v>62669.25</v>
      </c>
      <c r="N1200" s="7">
        <f t="shared" si="6"/>
        <v>59944.5</v>
      </c>
    </row>
    <row r="1201">
      <c r="A1201" s="5" t="s">
        <v>2448</v>
      </c>
      <c r="B1201" s="6"/>
      <c r="C1201" s="5" t="s">
        <v>2508</v>
      </c>
      <c r="D1201" s="5">
        <v>804905.0</v>
      </c>
      <c r="E1201" s="8">
        <v>9652.5</v>
      </c>
      <c r="F1201" s="6"/>
      <c r="G1201" s="8">
        <v>11340.0</v>
      </c>
      <c r="H1201" s="5" t="s">
        <v>22</v>
      </c>
      <c r="I1201" s="7">
        <f t="shared" si="1"/>
        <v>17010</v>
      </c>
      <c r="J1201" s="7">
        <f t="shared" si="7"/>
        <v>14742</v>
      </c>
      <c r="K1201" s="7">
        <f t="shared" si="3"/>
        <v>14742</v>
      </c>
      <c r="L1201" s="7">
        <f t="shared" si="4"/>
        <v>13608</v>
      </c>
      <c r="M1201" s="7">
        <f t="shared" si="5"/>
        <v>13041</v>
      </c>
      <c r="N1201" s="7">
        <f t="shared" si="6"/>
        <v>12474</v>
      </c>
    </row>
    <row r="1202">
      <c r="A1202" s="5" t="s">
        <v>2448</v>
      </c>
      <c r="B1202" s="6"/>
      <c r="C1202" s="5" t="s">
        <v>2509</v>
      </c>
      <c r="D1202" s="5">
        <v>804960.0</v>
      </c>
      <c r="E1202" s="8">
        <v>24310.0</v>
      </c>
      <c r="F1202" s="6"/>
      <c r="G1202" s="8">
        <v>6615.0</v>
      </c>
      <c r="H1202" s="5" t="s">
        <v>22</v>
      </c>
      <c r="I1202" s="7">
        <f t="shared" si="1"/>
        <v>9922.5</v>
      </c>
      <c r="J1202" s="7">
        <f t="shared" si="7"/>
        <v>8599.5</v>
      </c>
      <c r="K1202" s="7">
        <f t="shared" si="3"/>
        <v>8599.5</v>
      </c>
      <c r="L1202" s="7">
        <f t="shared" si="4"/>
        <v>7938</v>
      </c>
      <c r="M1202" s="7">
        <f t="shared" si="5"/>
        <v>7607.25</v>
      </c>
      <c r="N1202" s="7">
        <f t="shared" si="6"/>
        <v>7276.5</v>
      </c>
    </row>
    <row r="1203">
      <c r="A1203" s="5" t="s">
        <v>2448</v>
      </c>
      <c r="B1203" s="6"/>
      <c r="C1203" s="5" t="s">
        <v>2510</v>
      </c>
      <c r="D1203" s="5">
        <v>804961.0</v>
      </c>
      <c r="E1203" s="8">
        <v>57915.0</v>
      </c>
      <c r="F1203" s="6"/>
      <c r="G1203" s="8">
        <v>17325.0</v>
      </c>
      <c r="H1203" s="5" t="s">
        <v>22</v>
      </c>
      <c r="I1203" s="7">
        <f t="shared" si="1"/>
        <v>25987.5</v>
      </c>
      <c r="J1203" s="7">
        <f t="shared" si="7"/>
        <v>22522.5</v>
      </c>
      <c r="K1203" s="7">
        <f t="shared" si="3"/>
        <v>22522.5</v>
      </c>
      <c r="L1203" s="7">
        <f t="shared" si="4"/>
        <v>20790</v>
      </c>
      <c r="M1203" s="7">
        <f t="shared" si="5"/>
        <v>19923.75</v>
      </c>
      <c r="N1203" s="7">
        <f t="shared" si="6"/>
        <v>19057.5</v>
      </c>
    </row>
    <row r="1204">
      <c r="A1204" s="5" t="s">
        <v>2448</v>
      </c>
      <c r="B1204" s="6"/>
      <c r="C1204" s="5" t="s">
        <v>2511</v>
      </c>
      <c r="D1204" s="5">
        <v>804971.0</v>
      </c>
      <c r="E1204" s="8">
        <v>10367.5</v>
      </c>
      <c r="F1204" s="6"/>
      <c r="G1204" s="8">
        <v>41580.0</v>
      </c>
      <c r="H1204" s="5" t="s">
        <v>22</v>
      </c>
      <c r="I1204" s="7">
        <f t="shared" si="1"/>
        <v>62370</v>
      </c>
      <c r="J1204" s="7">
        <f t="shared" si="7"/>
        <v>54054</v>
      </c>
      <c r="K1204" s="7">
        <f t="shared" si="3"/>
        <v>54054</v>
      </c>
      <c r="L1204" s="7">
        <f t="shared" si="4"/>
        <v>49896</v>
      </c>
      <c r="M1204" s="7">
        <f t="shared" si="5"/>
        <v>47817</v>
      </c>
      <c r="N1204" s="7">
        <f t="shared" si="6"/>
        <v>45738</v>
      </c>
    </row>
    <row r="1205">
      <c r="A1205" s="5" t="s">
        <v>2448</v>
      </c>
      <c r="B1205" s="6"/>
      <c r="C1205" s="5" t="s">
        <v>2512</v>
      </c>
      <c r="D1205" s="13" t="s">
        <v>2513</v>
      </c>
      <c r="E1205" s="8">
        <v>18947.5</v>
      </c>
      <c r="F1205" s="6"/>
      <c r="G1205" s="8">
        <v>7150.5</v>
      </c>
      <c r="H1205" s="5" t="s">
        <v>22</v>
      </c>
      <c r="I1205" s="7">
        <f t="shared" si="1"/>
        <v>10725.75</v>
      </c>
      <c r="J1205" s="7">
        <f t="shared" si="7"/>
        <v>9295.65</v>
      </c>
      <c r="K1205" s="7">
        <f t="shared" si="3"/>
        <v>9295.65</v>
      </c>
      <c r="L1205" s="7">
        <f t="shared" si="4"/>
        <v>8580.6</v>
      </c>
      <c r="M1205" s="7">
        <f t="shared" si="5"/>
        <v>8223.075</v>
      </c>
      <c r="N1205" s="7">
        <f t="shared" si="6"/>
        <v>7865.55</v>
      </c>
    </row>
    <row r="1206">
      <c r="A1206" s="5" t="s">
        <v>2448</v>
      </c>
      <c r="B1206" s="6"/>
      <c r="C1206" s="5" t="s">
        <v>2514</v>
      </c>
      <c r="D1206" s="5">
        <v>808606.0</v>
      </c>
      <c r="E1206" s="8">
        <v>13227.5</v>
      </c>
      <c r="F1206" s="6"/>
      <c r="G1206" s="8">
        <v>13986.0</v>
      </c>
      <c r="H1206" s="5" t="s">
        <v>22</v>
      </c>
      <c r="I1206" s="7">
        <f t="shared" si="1"/>
        <v>20979</v>
      </c>
      <c r="J1206" s="7">
        <f t="shared" si="7"/>
        <v>18181.8</v>
      </c>
      <c r="K1206" s="7">
        <f t="shared" si="3"/>
        <v>18181.8</v>
      </c>
      <c r="L1206" s="7">
        <f t="shared" si="4"/>
        <v>16783.2</v>
      </c>
      <c r="M1206" s="7">
        <f t="shared" si="5"/>
        <v>16083.9</v>
      </c>
      <c r="N1206" s="7">
        <f t="shared" si="6"/>
        <v>15384.6</v>
      </c>
    </row>
    <row r="1207">
      <c r="A1207" s="5" t="s">
        <v>2448</v>
      </c>
      <c r="B1207" s="6"/>
      <c r="C1207" s="5" t="s">
        <v>2515</v>
      </c>
      <c r="D1207" s="5">
        <v>808623.0</v>
      </c>
      <c r="E1207" s="8">
        <v>23952.5</v>
      </c>
      <c r="F1207" s="6"/>
      <c r="G1207" s="8">
        <v>9450.0</v>
      </c>
      <c r="H1207" s="5" t="s">
        <v>22</v>
      </c>
      <c r="I1207" s="7">
        <f t="shared" si="1"/>
        <v>14175</v>
      </c>
      <c r="J1207" s="7">
        <f t="shared" si="7"/>
        <v>12285</v>
      </c>
      <c r="K1207" s="7">
        <f t="shared" si="3"/>
        <v>12285</v>
      </c>
      <c r="L1207" s="7">
        <f t="shared" si="4"/>
        <v>11340</v>
      </c>
      <c r="M1207" s="7">
        <f t="shared" si="5"/>
        <v>10867.5</v>
      </c>
      <c r="N1207" s="7">
        <f t="shared" si="6"/>
        <v>10395</v>
      </c>
    </row>
    <row r="1208">
      <c r="A1208" s="5" t="s">
        <v>2448</v>
      </c>
      <c r="B1208" s="6"/>
      <c r="C1208" s="5" t="s">
        <v>2516</v>
      </c>
      <c r="D1208" s="5">
        <v>764745.0</v>
      </c>
      <c r="E1208" s="8">
        <v>4218.5</v>
      </c>
      <c r="F1208" s="6"/>
      <c r="G1208" s="8">
        <v>16695.0</v>
      </c>
      <c r="H1208" s="5" t="s">
        <v>22</v>
      </c>
      <c r="I1208" s="7">
        <f t="shared" si="1"/>
        <v>25042.5</v>
      </c>
      <c r="J1208" s="7">
        <f t="shared" si="7"/>
        <v>21703.5</v>
      </c>
      <c r="K1208" s="7">
        <f t="shared" si="3"/>
        <v>21703.5</v>
      </c>
      <c r="L1208" s="7">
        <f t="shared" si="4"/>
        <v>20034</v>
      </c>
      <c r="M1208" s="7">
        <f t="shared" si="5"/>
        <v>19199.25</v>
      </c>
      <c r="N1208" s="7">
        <f t="shared" si="6"/>
        <v>18364.5</v>
      </c>
    </row>
    <row r="1209">
      <c r="A1209" s="5" t="s">
        <v>2448</v>
      </c>
      <c r="B1209" s="6"/>
      <c r="C1209" s="5" t="s">
        <v>2517</v>
      </c>
      <c r="D1209" s="5">
        <v>764752.0</v>
      </c>
      <c r="E1209" s="8">
        <v>160875.0</v>
      </c>
      <c r="F1209" s="6"/>
      <c r="G1209" s="8">
        <v>3213.0</v>
      </c>
      <c r="H1209" s="5" t="s">
        <v>22</v>
      </c>
      <c r="I1209" s="7">
        <f t="shared" si="1"/>
        <v>4819.5</v>
      </c>
      <c r="J1209" s="7">
        <f t="shared" si="7"/>
        <v>4176.9</v>
      </c>
      <c r="K1209" s="7">
        <f t="shared" si="3"/>
        <v>4176.9</v>
      </c>
      <c r="L1209" s="7">
        <f t="shared" si="4"/>
        <v>3855.6</v>
      </c>
      <c r="M1209" s="7">
        <f t="shared" si="5"/>
        <v>3694.95</v>
      </c>
      <c r="N1209" s="7">
        <f t="shared" si="6"/>
        <v>3534.3</v>
      </c>
    </row>
    <row r="1210">
      <c r="A1210" s="5" t="s">
        <v>2448</v>
      </c>
      <c r="B1210" s="6"/>
      <c r="C1210" s="5" t="s">
        <v>2518</v>
      </c>
      <c r="D1210" s="5">
        <v>764754.0</v>
      </c>
      <c r="E1210" s="8">
        <v>2809.95</v>
      </c>
      <c r="F1210" s="6"/>
      <c r="G1210" s="8">
        <v>121905.0</v>
      </c>
      <c r="H1210" s="5" t="s">
        <v>22</v>
      </c>
      <c r="I1210" s="7">
        <f t="shared" si="1"/>
        <v>182857.5</v>
      </c>
      <c r="J1210" s="7">
        <f t="shared" si="7"/>
        <v>158476.5</v>
      </c>
      <c r="K1210" s="7">
        <f t="shared" si="3"/>
        <v>158476.5</v>
      </c>
      <c r="L1210" s="7">
        <f t="shared" si="4"/>
        <v>146286</v>
      </c>
      <c r="M1210" s="7">
        <f t="shared" si="5"/>
        <v>140190.75</v>
      </c>
      <c r="N1210" s="7">
        <f t="shared" si="6"/>
        <v>134095.5</v>
      </c>
    </row>
    <row r="1211">
      <c r="A1211" s="5" t="s">
        <v>2448</v>
      </c>
      <c r="B1211" s="6"/>
      <c r="C1211" s="5" t="s">
        <v>2519</v>
      </c>
      <c r="D1211" s="5">
        <v>764852.0</v>
      </c>
      <c r="E1211" s="8">
        <v>100100.0</v>
      </c>
      <c r="F1211" s="6"/>
      <c r="G1211" s="8">
        <v>2079.0</v>
      </c>
      <c r="H1211" s="5" t="s">
        <v>22</v>
      </c>
      <c r="I1211" s="7">
        <f t="shared" si="1"/>
        <v>3118.5</v>
      </c>
      <c r="J1211" s="7">
        <f t="shared" si="7"/>
        <v>2702.7</v>
      </c>
      <c r="K1211" s="7">
        <f t="shared" si="3"/>
        <v>2702.7</v>
      </c>
      <c r="L1211" s="7">
        <f t="shared" si="4"/>
        <v>2494.8</v>
      </c>
      <c r="M1211" s="7">
        <f t="shared" si="5"/>
        <v>2390.85</v>
      </c>
      <c r="N1211" s="7">
        <f t="shared" si="6"/>
        <v>2286.9</v>
      </c>
    </row>
    <row r="1212">
      <c r="A1212" s="5" t="s">
        <v>2448</v>
      </c>
      <c r="B1212" s="6"/>
      <c r="C1212" s="5" t="s">
        <v>2520</v>
      </c>
      <c r="D1212" s="5">
        <v>766240.1</v>
      </c>
      <c r="E1212" s="8">
        <v>55412.5</v>
      </c>
      <c r="F1212" s="6"/>
      <c r="G1212" s="8">
        <v>76167.0</v>
      </c>
      <c r="H1212" s="5" t="s">
        <v>22</v>
      </c>
      <c r="I1212" s="7">
        <f t="shared" si="1"/>
        <v>114250.5</v>
      </c>
      <c r="J1212" s="7">
        <f t="shared" si="7"/>
        <v>99017.1</v>
      </c>
      <c r="K1212" s="7">
        <f t="shared" si="3"/>
        <v>99017.1</v>
      </c>
      <c r="L1212" s="7">
        <f t="shared" si="4"/>
        <v>91400.4</v>
      </c>
      <c r="M1212" s="7">
        <f t="shared" si="5"/>
        <v>87592.05</v>
      </c>
      <c r="N1212" s="7">
        <f t="shared" si="6"/>
        <v>83783.7</v>
      </c>
    </row>
    <row r="1213">
      <c r="A1213" s="5" t="s">
        <v>2448</v>
      </c>
      <c r="B1213" s="6"/>
      <c r="C1213" s="5" t="s">
        <v>2521</v>
      </c>
      <c r="D1213" s="5">
        <v>769813.0</v>
      </c>
      <c r="E1213" s="8">
        <v>32890.0</v>
      </c>
      <c r="F1213" s="6"/>
      <c r="G1213" s="8">
        <v>42084.0</v>
      </c>
      <c r="H1213" s="5" t="s">
        <v>22</v>
      </c>
      <c r="I1213" s="7">
        <f t="shared" si="1"/>
        <v>63126</v>
      </c>
      <c r="J1213" s="7">
        <f t="shared" si="7"/>
        <v>54709.2</v>
      </c>
      <c r="K1213" s="7">
        <f t="shared" si="3"/>
        <v>54709.2</v>
      </c>
      <c r="L1213" s="7">
        <f t="shared" si="4"/>
        <v>50500.8</v>
      </c>
      <c r="M1213" s="7">
        <f t="shared" si="5"/>
        <v>48396.6</v>
      </c>
      <c r="N1213" s="7">
        <f t="shared" si="6"/>
        <v>46292.4</v>
      </c>
    </row>
    <row r="1214">
      <c r="A1214" s="5" t="s">
        <v>2448</v>
      </c>
      <c r="B1214" s="6"/>
      <c r="C1214" s="5" t="s">
        <v>2522</v>
      </c>
      <c r="D1214" s="5">
        <v>804870.0</v>
      </c>
      <c r="E1214" s="8">
        <v>3235.38</v>
      </c>
      <c r="F1214" s="6"/>
      <c r="G1214" s="8">
        <v>24948.0</v>
      </c>
      <c r="H1214" s="5" t="s">
        <v>22</v>
      </c>
      <c r="I1214" s="7">
        <f t="shared" si="1"/>
        <v>37422</v>
      </c>
      <c r="J1214" s="7">
        <f t="shared" si="7"/>
        <v>32432.4</v>
      </c>
      <c r="K1214" s="7">
        <f t="shared" si="3"/>
        <v>32432.4</v>
      </c>
      <c r="L1214" s="7">
        <f t="shared" si="4"/>
        <v>29937.6</v>
      </c>
      <c r="M1214" s="7">
        <f t="shared" si="5"/>
        <v>28690.2</v>
      </c>
      <c r="N1214" s="7">
        <f t="shared" si="6"/>
        <v>27442.8</v>
      </c>
    </row>
    <row r="1215">
      <c r="A1215" s="5" t="s">
        <v>2448</v>
      </c>
      <c r="B1215" s="5" t="s">
        <v>1455</v>
      </c>
      <c r="C1215" s="5" t="s">
        <v>2523</v>
      </c>
      <c r="D1215" s="5">
        <v>804900.0</v>
      </c>
      <c r="E1215" s="8">
        <v>5863.0</v>
      </c>
      <c r="F1215" s="6"/>
      <c r="G1215" s="8">
        <v>2457.0</v>
      </c>
      <c r="H1215" s="5" t="s">
        <v>22</v>
      </c>
      <c r="I1215" s="7">
        <f t="shared" si="1"/>
        <v>3685.5</v>
      </c>
      <c r="J1215" s="7">
        <f t="shared" si="7"/>
        <v>3194.1</v>
      </c>
      <c r="K1215" s="7">
        <f t="shared" si="3"/>
        <v>3194.1</v>
      </c>
      <c r="L1215" s="7">
        <f t="shared" si="4"/>
        <v>2948.4</v>
      </c>
      <c r="M1215" s="7">
        <f t="shared" si="5"/>
        <v>2825.55</v>
      </c>
      <c r="N1215" s="7">
        <f t="shared" si="6"/>
        <v>2702.7</v>
      </c>
    </row>
    <row r="1216">
      <c r="A1216" s="5" t="s">
        <v>2448</v>
      </c>
      <c r="B1216" s="5" t="s">
        <v>1455</v>
      </c>
      <c r="C1216" s="5" t="s">
        <v>2523</v>
      </c>
      <c r="D1216" s="5">
        <v>804901.0</v>
      </c>
      <c r="E1216" s="8">
        <v>7793.5</v>
      </c>
      <c r="F1216" s="6"/>
      <c r="G1216" s="8">
        <v>4284.0</v>
      </c>
      <c r="H1216" s="5" t="s">
        <v>22</v>
      </c>
      <c r="I1216" s="7">
        <f t="shared" si="1"/>
        <v>6426</v>
      </c>
      <c r="J1216" s="7">
        <f t="shared" si="7"/>
        <v>5569.2</v>
      </c>
      <c r="K1216" s="7">
        <f t="shared" si="3"/>
        <v>5569.2</v>
      </c>
      <c r="L1216" s="7">
        <f t="shared" si="4"/>
        <v>5140.8</v>
      </c>
      <c r="M1216" s="7">
        <f t="shared" si="5"/>
        <v>4926.6</v>
      </c>
      <c r="N1216" s="7">
        <f t="shared" si="6"/>
        <v>4712.4</v>
      </c>
    </row>
    <row r="1217">
      <c r="A1217" s="5" t="s">
        <v>2448</v>
      </c>
      <c r="B1217" s="5" t="s">
        <v>1455</v>
      </c>
      <c r="C1217" s="5" t="s">
        <v>2523</v>
      </c>
      <c r="D1217" s="5">
        <v>804902.0</v>
      </c>
      <c r="E1217" s="8">
        <v>7865.0</v>
      </c>
      <c r="F1217" s="6"/>
      <c r="G1217" s="8">
        <v>5859.0</v>
      </c>
      <c r="H1217" s="5" t="s">
        <v>22</v>
      </c>
      <c r="I1217" s="7">
        <f t="shared" si="1"/>
        <v>8788.5</v>
      </c>
      <c r="J1217" s="7">
        <f t="shared" si="7"/>
        <v>7616.7</v>
      </c>
      <c r="K1217" s="7">
        <f t="shared" si="3"/>
        <v>7616.7</v>
      </c>
      <c r="L1217" s="7">
        <f t="shared" si="4"/>
        <v>7030.8</v>
      </c>
      <c r="M1217" s="7">
        <f t="shared" si="5"/>
        <v>6737.85</v>
      </c>
      <c r="N1217" s="7">
        <f t="shared" si="6"/>
        <v>6444.9</v>
      </c>
    </row>
    <row r="1218">
      <c r="A1218" s="5" t="s">
        <v>2448</v>
      </c>
      <c r="B1218" s="6"/>
      <c r="C1218" s="5" t="s">
        <v>2524</v>
      </c>
      <c r="D1218" s="5">
        <v>804906.0</v>
      </c>
      <c r="E1218" s="8">
        <v>13942.5</v>
      </c>
      <c r="F1218" s="6"/>
      <c r="G1218" s="8">
        <v>5985.0</v>
      </c>
      <c r="H1218" s="5" t="s">
        <v>22</v>
      </c>
      <c r="I1218" s="7">
        <f t="shared" si="1"/>
        <v>8977.5</v>
      </c>
      <c r="J1218" s="7">
        <f t="shared" si="7"/>
        <v>7780.5</v>
      </c>
      <c r="K1218" s="7">
        <f t="shared" si="3"/>
        <v>7780.5</v>
      </c>
      <c r="L1218" s="7">
        <f t="shared" si="4"/>
        <v>7182</v>
      </c>
      <c r="M1218" s="7">
        <f t="shared" si="5"/>
        <v>6882.75</v>
      </c>
      <c r="N1218" s="7">
        <f t="shared" si="6"/>
        <v>6583.5</v>
      </c>
    </row>
    <row r="1219">
      <c r="A1219" s="5" t="s">
        <v>2448</v>
      </c>
      <c r="B1219" s="6"/>
      <c r="C1219" s="5" t="s">
        <v>2525</v>
      </c>
      <c r="D1219" s="5" t="s">
        <v>2526</v>
      </c>
      <c r="E1219" s="8">
        <v>55055.0</v>
      </c>
      <c r="F1219" s="6"/>
      <c r="G1219" s="8">
        <v>9702.0</v>
      </c>
      <c r="H1219" s="5" t="s">
        <v>22</v>
      </c>
      <c r="I1219" s="7">
        <f t="shared" si="1"/>
        <v>14553</v>
      </c>
      <c r="J1219" s="7">
        <f t="shared" si="7"/>
        <v>12612.6</v>
      </c>
      <c r="K1219" s="7">
        <f t="shared" si="3"/>
        <v>12612.6</v>
      </c>
      <c r="L1219" s="7">
        <f t="shared" si="4"/>
        <v>11642.4</v>
      </c>
      <c r="M1219" s="7">
        <f t="shared" si="5"/>
        <v>11157.3</v>
      </c>
      <c r="N1219" s="7">
        <f t="shared" si="6"/>
        <v>10672.2</v>
      </c>
    </row>
    <row r="1220">
      <c r="A1220" s="5" t="s">
        <v>2448</v>
      </c>
      <c r="B1220" s="5" t="s">
        <v>1455</v>
      </c>
      <c r="C1220" s="5" t="s">
        <v>2523</v>
      </c>
      <c r="D1220" s="5">
        <v>804950.0</v>
      </c>
      <c r="E1220" s="8">
        <v>7829.25</v>
      </c>
      <c r="F1220" s="6"/>
      <c r="G1220" s="8">
        <v>42021.0</v>
      </c>
      <c r="H1220" s="5" t="s">
        <v>22</v>
      </c>
      <c r="I1220" s="7">
        <f t="shared" si="1"/>
        <v>63031.5</v>
      </c>
      <c r="J1220" s="7">
        <f t="shared" si="7"/>
        <v>54627.3</v>
      </c>
      <c r="K1220" s="7">
        <f t="shared" si="3"/>
        <v>54627.3</v>
      </c>
      <c r="L1220" s="7">
        <f t="shared" si="4"/>
        <v>50425.2</v>
      </c>
      <c r="M1220" s="7">
        <f t="shared" si="5"/>
        <v>48324.15</v>
      </c>
      <c r="N1220" s="7">
        <f t="shared" si="6"/>
        <v>46223.1</v>
      </c>
    </row>
    <row r="1221">
      <c r="A1221" s="5" t="s">
        <v>2448</v>
      </c>
      <c r="B1221" s="6"/>
      <c r="C1221" s="5" t="s">
        <v>2527</v>
      </c>
      <c r="D1221" s="5" t="s">
        <v>2528</v>
      </c>
      <c r="E1221" s="8">
        <v>51122.5</v>
      </c>
      <c r="F1221" s="6"/>
      <c r="G1221" s="8">
        <v>5670.0</v>
      </c>
      <c r="H1221" s="5" t="s">
        <v>22</v>
      </c>
      <c r="I1221" s="7">
        <f t="shared" si="1"/>
        <v>8505</v>
      </c>
      <c r="J1221" s="7">
        <f t="shared" si="7"/>
        <v>7371</v>
      </c>
      <c r="K1221" s="7">
        <f t="shared" si="3"/>
        <v>7371</v>
      </c>
      <c r="L1221" s="7">
        <f t="shared" si="4"/>
        <v>6804</v>
      </c>
      <c r="M1221" s="7">
        <f t="shared" si="5"/>
        <v>6520.5</v>
      </c>
      <c r="N1221" s="7">
        <f t="shared" si="6"/>
        <v>6237</v>
      </c>
    </row>
    <row r="1222">
      <c r="A1222" s="5" t="s">
        <v>2448</v>
      </c>
      <c r="B1222" s="6"/>
      <c r="C1222" s="5" t="s">
        <v>2529</v>
      </c>
      <c r="D1222" s="5" t="s">
        <v>2530</v>
      </c>
      <c r="E1222" s="8">
        <v>68997.5</v>
      </c>
      <c r="F1222" s="6"/>
      <c r="G1222" s="8">
        <v>38682.0</v>
      </c>
      <c r="H1222" s="5" t="s">
        <v>22</v>
      </c>
      <c r="I1222" s="7">
        <f t="shared" si="1"/>
        <v>58023</v>
      </c>
      <c r="J1222" s="7">
        <f t="shared" si="7"/>
        <v>50286.6</v>
      </c>
      <c r="K1222" s="7">
        <f t="shared" si="3"/>
        <v>50286.6</v>
      </c>
      <c r="L1222" s="7">
        <f t="shared" si="4"/>
        <v>46418.4</v>
      </c>
      <c r="M1222" s="7">
        <f t="shared" si="5"/>
        <v>44484.3</v>
      </c>
      <c r="N1222" s="7">
        <f t="shared" si="6"/>
        <v>42550.2</v>
      </c>
    </row>
    <row r="1223">
      <c r="A1223" s="5" t="s">
        <v>2448</v>
      </c>
      <c r="B1223" s="5" t="s">
        <v>1455</v>
      </c>
      <c r="C1223" s="5" t="s">
        <v>2531</v>
      </c>
      <c r="D1223" s="5">
        <v>804970.0</v>
      </c>
      <c r="E1223" s="8">
        <v>8580.0</v>
      </c>
      <c r="F1223" s="6"/>
      <c r="G1223" s="8">
        <v>52227.0</v>
      </c>
      <c r="H1223" s="5" t="s">
        <v>22</v>
      </c>
      <c r="I1223" s="7">
        <f t="shared" si="1"/>
        <v>78340.5</v>
      </c>
      <c r="J1223" s="7">
        <f t="shared" si="7"/>
        <v>67895.1</v>
      </c>
      <c r="K1223" s="7">
        <f t="shared" si="3"/>
        <v>67895.1</v>
      </c>
      <c r="L1223" s="7">
        <f t="shared" si="4"/>
        <v>62672.4</v>
      </c>
      <c r="M1223" s="7">
        <f t="shared" si="5"/>
        <v>60061.05</v>
      </c>
      <c r="N1223" s="7">
        <f t="shared" si="6"/>
        <v>57449.7</v>
      </c>
    </row>
    <row r="1224">
      <c r="A1224" s="5" t="s">
        <v>2448</v>
      </c>
      <c r="B1224" s="6"/>
      <c r="C1224" s="5" t="s">
        <v>2511</v>
      </c>
      <c r="D1224" s="5">
        <v>804973.0</v>
      </c>
      <c r="E1224" s="8">
        <v>17875.0</v>
      </c>
      <c r="F1224" s="6"/>
      <c r="G1224" s="8">
        <v>6426.0</v>
      </c>
      <c r="H1224" s="5" t="s">
        <v>22</v>
      </c>
      <c r="I1224" s="7">
        <f t="shared" si="1"/>
        <v>9639</v>
      </c>
      <c r="J1224" s="7">
        <f t="shared" si="7"/>
        <v>8353.8</v>
      </c>
      <c r="K1224" s="7">
        <f t="shared" si="3"/>
        <v>8353.8</v>
      </c>
      <c r="L1224" s="7">
        <f t="shared" si="4"/>
        <v>7711.2</v>
      </c>
      <c r="M1224" s="7">
        <f t="shared" si="5"/>
        <v>7389.9</v>
      </c>
      <c r="N1224" s="7">
        <f t="shared" si="6"/>
        <v>7068.6</v>
      </c>
    </row>
    <row r="1225">
      <c r="A1225" s="5" t="s">
        <v>2448</v>
      </c>
      <c r="B1225" s="6"/>
      <c r="C1225" s="5" t="s">
        <v>2532</v>
      </c>
      <c r="D1225" s="5">
        <v>805550.0</v>
      </c>
      <c r="E1225" s="8">
        <v>717145.0</v>
      </c>
      <c r="F1225" s="6"/>
      <c r="G1225" s="8">
        <v>13419.0</v>
      </c>
      <c r="H1225" s="5" t="s">
        <v>22</v>
      </c>
      <c r="I1225" s="7">
        <f t="shared" si="1"/>
        <v>20128.5</v>
      </c>
      <c r="J1225" s="7">
        <f t="shared" si="7"/>
        <v>17444.7</v>
      </c>
      <c r="K1225" s="7">
        <f t="shared" si="3"/>
        <v>17444.7</v>
      </c>
      <c r="L1225" s="7">
        <f t="shared" si="4"/>
        <v>16102.8</v>
      </c>
      <c r="M1225" s="7">
        <f t="shared" si="5"/>
        <v>15431.85</v>
      </c>
      <c r="N1225" s="7">
        <f t="shared" si="6"/>
        <v>14760.9</v>
      </c>
    </row>
    <row r="1226">
      <c r="A1226" s="5" t="s">
        <v>2448</v>
      </c>
      <c r="B1226" s="6"/>
      <c r="C1226" s="5" t="s">
        <v>2533</v>
      </c>
      <c r="D1226" s="5">
        <v>808600.24</v>
      </c>
      <c r="E1226" s="8">
        <v>46475.0</v>
      </c>
      <c r="F1226" s="6"/>
      <c r="G1226" s="8">
        <v>544824.0</v>
      </c>
      <c r="H1226" s="5" t="s">
        <v>22</v>
      </c>
      <c r="I1226" s="7">
        <f t="shared" si="1"/>
        <v>817236</v>
      </c>
      <c r="J1226" s="7">
        <f t="shared" si="7"/>
        <v>708271.2</v>
      </c>
      <c r="K1226" s="7">
        <f t="shared" si="3"/>
        <v>708271.2</v>
      </c>
      <c r="L1226" s="7">
        <f t="shared" si="4"/>
        <v>653788.8</v>
      </c>
      <c r="M1226" s="7">
        <f t="shared" si="5"/>
        <v>626547.6</v>
      </c>
      <c r="N1226" s="7">
        <f t="shared" si="6"/>
        <v>599306.4</v>
      </c>
    </row>
    <row r="1227">
      <c r="A1227" s="5" t="s">
        <v>2448</v>
      </c>
      <c r="B1227" s="6"/>
      <c r="C1227" s="5" t="s">
        <v>2534</v>
      </c>
      <c r="D1227" s="5">
        <v>808610.1</v>
      </c>
      <c r="E1227" s="8">
        <v>87230.0</v>
      </c>
      <c r="F1227" s="6"/>
      <c r="G1227" s="8">
        <v>32949.0</v>
      </c>
      <c r="H1227" s="5" t="s">
        <v>22</v>
      </c>
      <c r="I1227" s="7">
        <f t="shared" si="1"/>
        <v>49423.5</v>
      </c>
      <c r="J1227" s="7">
        <f t="shared" si="7"/>
        <v>42833.7</v>
      </c>
      <c r="K1227" s="7">
        <f t="shared" si="3"/>
        <v>42833.7</v>
      </c>
      <c r="L1227" s="7">
        <f t="shared" si="4"/>
        <v>39538.8</v>
      </c>
      <c r="M1227" s="7">
        <f t="shared" si="5"/>
        <v>37891.35</v>
      </c>
      <c r="N1227" s="7">
        <f t="shared" si="6"/>
        <v>36243.9</v>
      </c>
    </row>
    <row r="1228">
      <c r="A1228" s="5" t="s">
        <v>2448</v>
      </c>
      <c r="B1228" s="6"/>
      <c r="C1228" s="5" t="s">
        <v>2535</v>
      </c>
      <c r="D1228" s="5">
        <v>808611.1</v>
      </c>
      <c r="E1228" s="8">
        <v>79722.5</v>
      </c>
      <c r="F1228" s="6"/>
      <c r="G1228" s="8">
        <v>66150.0</v>
      </c>
      <c r="H1228" s="5" t="s">
        <v>22</v>
      </c>
      <c r="I1228" s="7">
        <f t="shared" si="1"/>
        <v>99225</v>
      </c>
      <c r="J1228" s="7">
        <f t="shared" si="7"/>
        <v>85995</v>
      </c>
      <c r="K1228" s="7">
        <f t="shared" si="3"/>
        <v>85995</v>
      </c>
      <c r="L1228" s="7">
        <f t="shared" si="4"/>
        <v>79380</v>
      </c>
      <c r="M1228" s="7">
        <f t="shared" si="5"/>
        <v>76072.5</v>
      </c>
      <c r="N1228" s="7">
        <f t="shared" si="6"/>
        <v>72765</v>
      </c>
    </row>
    <row r="1229">
      <c r="A1229" s="5" t="s">
        <v>2448</v>
      </c>
      <c r="B1229" s="6"/>
      <c r="C1229" s="5" t="s">
        <v>2536</v>
      </c>
      <c r="D1229" s="5">
        <v>808613.1</v>
      </c>
      <c r="E1229" s="8">
        <v>24310.0</v>
      </c>
      <c r="F1229" s="6"/>
      <c r="G1229" s="8">
        <v>60606.0</v>
      </c>
      <c r="H1229" s="5" t="s">
        <v>22</v>
      </c>
      <c r="I1229" s="7">
        <f t="shared" si="1"/>
        <v>90909</v>
      </c>
      <c r="J1229" s="7">
        <f t="shared" si="7"/>
        <v>78787.8</v>
      </c>
      <c r="K1229" s="7">
        <f t="shared" si="3"/>
        <v>78787.8</v>
      </c>
      <c r="L1229" s="7">
        <f t="shared" si="4"/>
        <v>72727.2</v>
      </c>
      <c r="M1229" s="7">
        <f t="shared" si="5"/>
        <v>69696.9</v>
      </c>
      <c r="N1229" s="7">
        <f t="shared" si="6"/>
        <v>66666.6</v>
      </c>
    </row>
    <row r="1230">
      <c r="A1230" s="5" t="s">
        <v>2448</v>
      </c>
      <c r="B1230" s="6"/>
      <c r="C1230" s="5" t="s">
        <v>2537</v>
      </c>
      <c r="D1230" s="5">
        <v>808621.0</v>
      </c>
      <c r="E1230" s="8">
        <v>26812.5</v>
      </c>
      <c r="F1230" s="6"/>
      <c r="G1230" s="8">
        <v>18522.0</v>
      </c>
      <c r="H1230" s="5" t="s">
        <v>22</v>
      </c>
      <c r="I1230" s="7">
        <f t="shared" si="1"/>
        <v>27783</v>
      </c>
      <c r="J1230" s="7">
        <f t="shared" si="7"/>
        <v>24078.6</v>
      </c>
      <c r="K1230" s="7">
        <f t="shared" si="3"/>
        <v>24078.6</v>
      </c>
      <c r="L1230" s="7">
        <f t="shared" si="4"/>
        <v>22226.4</v>
      </c>
      <c r="M1230" s="7">
        <f t="shared" si="5"/>
        <v>21300.3</v>
      </c>
      <c r="N1230" s="7">
        <f t="shared" si="6"/>
        <v>20374.2</v>
      </c>
    </row>
    <row r="1231">
      <c r="A1231" s="5" t="s">
        <v>2448</v>
      </c>
      <c r="B1231" s="6"/>
      <c r="C1231" s="5" t="s">
        <v>2538</v>
      </c>
      <c r="D1231" s="5">
        <v>808623.1</v>
      </c>
      <c r="E1231" s="8">
        <v>36107.5</v>
      </c>
      <c r="F1231" s="6"/>
      <c r="G1231" s="8">
        <v>20412.0</v>
      </c>
      <c r="H1231" s="5" t="s">
        <v>22</v>
      </c>
      <c r="I1231" s="7">
        <f t="shared" si="1"/>
        <v>30618</v>
      </c>
      <c r="J1231" s="7">
        <f t="shared" si="7"/>
        <v>26535.6</v>
      </c>
      <c r="K1231" s="7">
        <f t="shared" si="3"/>
        <v>26535.6</v>
      </c>
      <c r="L1231" s="7">
        <f t="shared" si="4"/>
        <v>24494.4</v>
      </c>
      <c r="M1231" s="7">
        <f t="shared" si="5"/>
        <v>23473.8</v>
      </c>
      <c r="N1231" s="7">
        <f t="shared" si="6"/>
        <v>22453.2</v>
      </c>
    </row>
    <row r="1232">
      <c r="A1232" s="5" t="s">
        <v>2448</v>
      </c>
      <c r="B1232" s="6"/>
      <c r="C1232" s="5" t="s">
        <v>2539</v>
      </c>
      <c r="D1232" s="5">
        <v>808623.4</v>
      </c>
      <c r="E1232" s="8">
        <v>35750.0</v>
      </c>
      <c r="F1232" s="6"/>
      <c r="G1232" s="8">
        <v>25263.0</v>
      </c>
      <c r="H1232" s="5" t="s">
        <v>22</v>
      </c>
      <c r="I1232" s="7">
        <f t="shared" si="1"/>
        <v>37894.5</v>
      </c>
      <c r="J1232" s="7">
        <f t="shared" si="7"/>
        <v>32841.9</v>
      </c>
      <c r="K1232" s="7">
        <f t="shared" si="3"/>
        <v>32841.9</v>
      </c>
      <c r="L1232" s="7">
        <f t="shared" si="4"/>
        <v>30315.6</v>
      </c>
      <c r="M1232" s="7">
        <f t="shared" si="5"/>
        <v>29052.45</v>
      </c>
      <c r="N1232" s="7">
        <f t="shared" si="6"/>
        <v>27789.3</v>
      </c>
    </row>
    <row r="1233">
      <c r="A1233" s="5" t="s">
        <v>2448</v>
      </c>
      <c r="B1233" s="6"/>
      <c r="C1233" s="5" t="s">
        <v>2540</v>
      </c>
      <c r="D1233" s="5">
        <v>808624.0</v>
      </c>
      <c r="E1233" s="8">
        <v>4826.25</v>
      </c>
      <c r="F1233" s="6"/>
      <c r="G1233" s="8">
        <v>27153.0</v>
      </c>
      <c r="H1233" s="5" t="s">
        <v>22</v>
      </c>
      <c r="I1233" s="7">
        <f t="shared" si="1"/>
        <v>40729.5</v>
      </c>
      <c r="J1233" s="7">
        <f t="shared" si="7"/>
        <v>35298.9</v>
      </c>
      <c r="K1233" s="7">
        <f t="shared" si="3"/>
        <v>35298.9</v>
      </c>
      <c r="L1233" s="7">
        <f t="shared" si="4"/>
        <v>32583.6</v>
      </c>
      <c r="M1233" s="7">
        <f t="shared" si="5"/>
        <v>31225.95</v>
      </c>
      <c r="N1233" s="7">
        <f t="shared" si="6"/>
        <v>29868.3</v>
      </c>
    </row>
    <row r="1234">
      <c r="A1234" s="5" t="s">
        <v>2448</v>
      </c>
      <c r="B1234" s="6"/>
      <c r="C1234" s="5" t="s">
        <v>2541</v>
      </c>
      <c r="D1234" s="5">
        <v>808626.0</v>
      </c>
      <c r="E1234" s="8">
        <v>1909.05</v>
      </c>
      <c r="F1234" s="6"/>
      <c r="G1234" s="8">
        <v>3654.0</v>
      </c>
      <c r="H1234" s="5" t="s">
        <v>22</v>
      </c>
      <c r="I1234" s="7">
        <f t="shared" si="1"/>
        <v>5481</v>
      </c>
      <c r="J1234" s="7">
        <f t="shared" si="7"/>
        <v>4750.2</v>
      </c>
      <c r="K1234" s="7">
        <f t="shared" si="3"/>
        <v>4750.2</v>
      </c>
      <c r="L1234" s="7">
        <f t="shared" si="4"/>
        <v>4384.8</v>
      </c>
      <c r="M1234" s="7">
        <f t="shared" si="5"/>
        <v>4202.1</v>
      </c>
      <c r="N1234" s="7">
        <f t="shared" si="6"/>
        <v>4019.4</v>
      </c>
    </row>
    <row r="1235">
      <c r="A1235" s="5" t="s">
        <v>2448</v>
      </c>
      <c r="B1235" s="6"/>
      <c r="C1235" s="5" t="s">
        <v>2542</v>
      </c>
      <c r="D1235" s="5">
        <v>808630.1</v>
      </c>
      <c r="E1235" s="8">
        <v>38967.5</v>
      </c>
      <c r="F1235" s="6"/>
      <c r="G1235" s="8">
        <v>1449.0</v>
      </c>
      <c r="H1235" s="5" t="s">
        <v>22</v>
      </c>
      <c r="I1235" s="7">
        <f t="shared" si="1"/>
        <v>2173.5</v>
      </c>
      <c r="J1235" s="7">
        <f t="shared" si="7"/>
        <v>1883.7</v>
      </c>
      <c r="K1235" s="7">
        <f t="shared" si="3"/>
        <v>1883.7</v>
      </c>
      <c r="L1235" s="7">
        <f t="shared" si="4"/>
        <v>1738.8</v>
      </c>
      <c r="M1235" s="7">
        <f t="shared" si="5"/>
        <v>1666.35</v>
      </c>
      <c r="N1235" s="7">
        <f t="shared" si="6"/>
        <v>1593.9</v>
      </c>
    </row>
    <row r="1236">
      <c r="A1236" s="5" t="s">
        <v>2448</v>
      </c>
      <c r="B1236" s="6"/>
      <c r="C1236" s="5" t="s">
        <v>2543</v>
      </c>
      <c r="D1236" s="5">
        <v>808631.1</v>
      </c>
      <c r="E1236" s="8">
        <v>46117.5</v>
      </c>
      <c r="F1236" s="6"/>
      <c r="G1236" s="8">
        <v>29547.0</v>
      </c>
      <c r="H1236" s="5" t="s">
        <v>22</v>
      </c>
      <c r="I1236" s="7">
        <f t="shared" si="1"/>
        <v>44320.5</v>
      </c>
      <c r="J1236" s="7">
        <f t="shared" si="7"/>
        <v>38411.1</v>
      </c>
      <c r="K1236" s="7">
        <f t="shared" si="3"/>
        <v>38411.1</v>
      </c>
      <c r="L1236" s="7">
        <f t="shared" si="4"/>
        <v>35456.4</v>
      </c>
      <c r="M1236" s="7">
        <f t="shared" si="5"/>
        <v>33979.05</v>
      </c>
      <c r="N1236" s="7">
        <f t="shared" si="6"/>
        <v>32501.7</v>
      </c>
    </row>
    <row r="1237">
      <c r="A1237" s="5" t="s">
        <v>2448</v>
      </c>
      <c r="B1237" s="6"/>
      <c r="C1237" s="5" t="s">
        <v>2544</v>
      </c>
      <c r="D1237" s="5">
        <v>809041.02</v>
      </c>
      <c r="E1237" s="8">
        <v>196625.0</v>
      </c>
      <c r="F1237" s="6"/>
      <c r="G1237" s="8">
        <v>34398.0</v>
      </c>
      <c r="H1237" s="5" t="s">
        <v>22</v>
      </c>
      <c r="I1237" s="7">
        <f t="shared" si="1"/>
        <v>51597</v>
      </c>
      <c r="J1237" s="7">
        <f t="shared" si="7"/>
        <v>44717.4</v>
      </c>
      <c r="K1237" s="7">
        <f t="shared" si="3"/>
        <v>44717.4</v>
      </c>
      <c r="L1237" s="7">
        <f t="shared" si="4"/>
        <v>41277.6</v>
      </c>
      <c r="M1237" s="7">
        <f t="shared" si="5"/>
        <v>39557.7</v>
      </c>
      <c r="N1237" s="7">
        <f t="shared" si="6"/>
        <v>37837.8</v>
      </c>
    </row>
    <row r="1238">
      <c r="A1238" s="5" t="s">
        <v>2448</v>
      </c>
      <c r="B1238" s="6"/>
      <c r="C1238" s="5" t="s">
        <v>2545</v>
      </c>
      <c r="D1238" s="5">
        <v>809051.02</v>
      </c>
      <c r="E1238" s="8">
        <v>315315.0</v>
      </c>
      <c r="F1238" s="6"/>
      <c r="G1238" s="8">
        <v>149184.0</v>
      </c>
      <c r="H1238" s="5" t="s">
        <v>22</v>
      </c>
      <c r="I1238" s="7">
        <f t="shared" si="1"/>
        <v>223776</v>
      </c>
      <c r="J1238" s="7">
        <f t="shared" si="7"/>
        <v>193939.2</v>
      </c>
      <c r="K1238" s="7">
        <f t="shared" si="3"/>
        <v>193939.2</v>
      </c>
      <c r="L1238" s="7">
        <f t="shared" si="4"/>
        <v>179020.8</v>
      </c>
      <c r="M1238" s="7">
        <f t="shared" si="5"/>
        <v>171561.6</v>
      </c>
      <c r="N1238" s="7">
        <f t="shared" si="6"/>
        <v>164102.4</v>
      </c>
    </row>
    <row r="1239">
      <c r="A1239" s="5" t="s">
        <v>2448</v>
      </c>
      <c r="B1239" s="6"/>
      <c r="C1239" s="5" t="s">
        <v>2546</v>
      </c>
      <c r="D1239" s="5" t="s">
        <v>2547</v>
      </c>
      <c r="E1239" s="8">
        <v>26455.0</v>
      </c>
      <c r="F1239" s="6"/>
      <c r="G1239" s="8">
        <v>223776.0</v>
      </c>
      <c r="H1239" s="5" t="s">
        <v>22</v>
      </c>
      <c r="I1239" s="7">
        <f t="shared" si="1"/>
        <v>335664</v>
      </c>
      <c r="J1239" s="7">
        <f t="shared" si="7"/>
        <v>290908.8</v>
      </c>
      <c r="K1239" s="7">
        <f t="shared" si="3"/>
        <v>290908.8</v>
      </c>
      <c r="L1239" s="7">
        <f t="shared" si="4"/>
        <v>268531.2</v>
      </c>
      <c r="M1239" s="7">
        <f t="shared" si="5"/>
        <v>257342.4</v>
      </c>
      <c r="N1239" s="7">
        <f t="shared" si="6"/>
        <v>246153.6</v>
      </c>
    </row>
    <row r="1240">
      <c r="A1240" s="5" t="s">
        <v>2448</v>
      </c>
      <c r="B1240" s="6"/>
      <c r="C1240" s="5" t="s">
        <v>2548</v>
      </c>
      <c r="D1240" s="5" t="s">
        <v>2549</v>
      </c>
      <c r="E1240" s="8">
        <v>6613.75</v>
      </c>
      <c r="F1240" s="6"/>
      <c r="G1240" s="8">
        <v>20223.0</v>
      </c>
      <c r="H1240" s="5" t="s">
        <v>22</v>
      </c>
      <c r="I1240" s="7">
        <f t="shared" si="1"/>
        <v>30334.5</v>
      </c>
      <c r="J1240" s="7">
        <f t="shared" si="7"/>
        <v>26289.9</v>
      </c>
      <c r="K1240" s="7">
        <f t="shared" si="3"/>
        <v>26289.9</v>
      </c>
      <c r="L1240" s="7">
        <f t="shared" si="4"/>
        <v>24267.6</v>
      </c>
      <c r="M1240" s="7">
        <f t="shared" si="5"/>
        <v>23256.45</v>
      </c>
      <c r="N1240" s="7">
        <f t="shared" si="6"/>
        <v>22245.3</v>
      </c>
    </row>
    <row r="1241">
      <c r="A1241" s="5" t="s">
        <v>2448</v>
      </c>
      <c r="B1241" s="6"/>
      <c r="C1241" s="5" t="s">
        <v>2550</v>
      </c>
      <c r="D1241" s="5" t="s">
        <v>2551</v>
      </c>
      <c r="E1241" s="8">
        <v>8580.0</v>
      </c>
      <c r="F1241" s="6"/>
      <c r="G1241" s="8">
        <v>4851.0</v>
      </c>
      <c r="H1241" s="5" t="s">
        <v>22</v>
      </c>
      <c r="I1241" s="7">
        <f t="shared" si="1"/>
        <v>7276.5</v>
      </c>
      <c r="J1241" s="7">
        <f t="shared" si="7"/>
        <v>6306.3</v>
      </c>
      <c r="K1241" s="7">
        <f t="shared" si="3"/>
        <v>6306.3</v>
      </c>
      <c r="L1241" s="7">
        <f t="shared" si="4"/>
        <v>5821.2</v>
      </c>
      <c r="M1241" s="7">
        <f t="shared" si="5"/>
        <v>5578.65</v>
      </c>
      <c r="N1241" s="7">
        <f t="shared" si="6"/>
        <v>5336.1</v>
      </c>
    </row>
    <row r="1242">
      <c r="A1242" s="5" t="s">
        <v>2448</v>
      </c>
      <c r="B1242" s="6"/>
      <c r="C1242" s="5" t="s">
        <v>2552</v>
      </c>
      <c r="D1242" s="5" t="s">
        <v>2553</v>
      </c>
      <c r="E1242" s="8">
        <v>21450.0</v>
      </c>
      <c r="F1242" s="6"/>
      <c r="G1242" s="8">
        <v>6615.0</v>
      </c>
      <c r="H1242" s="5" t="s">
        <v>22</v>
      </c>
      <c r="I1242" s="7">
        <f t="shared" si="1"/>
        <v>9922.5</v>
      </c>
      <c r="J1242" s="7">
        <f t="shared" si="7"/>
        <v>8599.5</v>
      </c>
      <c r="K1242" s="7">
        <f t="shared" si="3"/>
        <v>8599.5</v>
      </c>
      <c r="L1242" s="7">
        <f t="shared" si="4"/>
        <v>7938</v>
      </c>
      <c r="M1242" s="7">
        <f t="shared" si="5"/>
        <v>7607.25</v>
      </c>
      <c r="N1242" s="7">
        <f t="shared" si="6"/>
        <v>7276.5</v>
      </c>
    </row>
    <row r="1243">
      <c r="A1243" s="5" t="s">
        <v>2448</v>
      </c>
      <c r="B1243" s="6"/>
      <c r="C1243" s="5" t="s">
        <v>2554</v>
      </c>
      <c r="D1243" s="5" t="s">
        <v>2555</v>
      </c>
      <c r="E1243" s="8">
        <v>77577.5</v>
      </c>
      <c r="F1243" s="6"/>
      <c r="G1243" s="8">
        <v>15624.0</v>
      </c>
      <c r="H1243" s="5" t="s">
        <v>22</v>
      </c>
      <c r="I1243" s="7">
        <f t="shared" si="1"/>
        <v>23436</v>
      </c>
      <c r="J1243" s="7">
        <f t="shared" si="7"/>
        <v>20311.2</v>
      </c>
      <c r="K1243" s="7">
        <f t="shared" si="3"/>
        <v>20311.2</v>
      </c>
      <c r="L1243" s="7">
        <f t="shared" si="4"/>
        <v>18748.8</v>
      </c>
      <c r="M1243" s="7">
        <f t="shared" si="5"/>
        <v>17967.6</v>
      </c>
      <c r="N1243" s="7">
        <f t="shared" si="6"/>
        <v>17186.4</v>
      </c>
    </row>
    <row r="1244">
      <c r="A1244" s="5" t="s">
        <v>2448</v>
      </c>
      <c r="B1244" s="6"/>
      <c r="C1244" s="5" t="s">
        <v>2554</v>
      </c>
      <c r="D1244" s="5" t="s">
        <v>2556</v>
      </c>
      <c r="E1244" s="8">
        <v>66495.0</v>
      </c>
      <c r="F1244" s="6"/>
      <c r="G1244" s="8">
        <v>750267.0</v>
      </c>
      <c r="H1244" s="5" t="s">
        <v>22</v>
      </c>
      <c r="I1244" s="7">
        <f t="shared" si="1"/>
        <v>1125400.5</v>
      </c>
      <c r="J1244" s="7">
        <f t="shared" si="7"/>
        <v>975347.1</v>
      </c>
      <c r="K1244" s="7">
        <f t="shared" si="3"/>
        <v>975347.1</v>
      </c>
      <c r="L1244" s="7">
        <f t="shared" si="4"/>
        <v>900320.4</v>
      </c>
      <c r="M1244" s="7">
        <f t="shared" si="5"/>
        <v>862807.05</v>
      </c>
      <c r="N1244" s="7">
        <f t="shared" si="6"/>
        <v>825293.7</v>
      </c>
    </row>
    <row r="1245">
      <c r="A1245" s="5" t="s">
        <v>2448</v>
      </c>
      <c r="B1245" s="6"/>
      <c r="C1245" s="5" t="s">
        <v>2557</v>
      </c>
      <c r="D1245" s="13" t="s">
        <v>2558</v>
      </c>
      <c r="E1245" s="6"/>
      <c r="F1245" s="6"/>
      <c r="G1245" s="6"/>
      <c r="H1245" s="5" t="s">
        <v>22</v>
      </c>
      <c r="I1245" s="7">
        <f t="shared" si="1"/>
        <v>0</v>
      </c>
      <c r="J1245" s="7">
        <f t="shared" si="7"/>
        <v>0</v>
      </c>
      <c r="K1245" s="7">
        <f t="shared" si="3"/>
        <v>0</v>
      </c>
      <c r="L1245" s="7">
        <f t="shared" si="4"/>
        <v>0</v>
      </c>
      <c r="M1245" s="7">
        <f t="shared" si="5"/>
        <v>0</v>
      </c>
      <c r="N1245" s="7">
        <f t="shared" si="6"/>
        <v>0</v>
      </c>
    </row>
    <row r="1246">
      <c r="A1246" s="5" t="s">
        <v>2448</v>
      </c>
      <c r="B1246" s="6"/>
      <c r="C1246" s="5" t="s">
        <v>2559</v>
      </c>
      <c r="D1246" s="5">
        <v>805591.0</v>
      </c>
      <c r="E1246" s="5" t="s">
        <v>2560</v>
      </c>
      <c r="F1246" s="6"/>
      <c r="G1246" s="5">
        <v>819.0</v>
      </c>
      <c r="H1246" s="5" t="s">
        <v>22</v>
      </c>
      <c r="I1246" s="7">
        <f t="shared" si="1"/>
        <v>1228.5</v>
      </c>
      <c r="J1246" s="7">
        <f t="shared" si="7"/>
        <v>1064.7</v>
      </c>
      <c r="K1246" s="7">
        <f t="shared" si="3"/>
        <v>1064.7</v>
      </c>
      <c r="L1246" s="7">
        <f t="shared" si="4"/>
        <v>982.8</v>
      </c>
      <c r="M1246" s="7">
        <f t="shared" si="5"/>
        <v>941.85</v>
      </c>
      <c r="N1246" s="7">
        <f t="shared" si="6"/>
        <v>900.9</v>
      </c>
    </row>
    <row r="1247">
      <c r="A1247" s="5" t="s">
        <v>2448</v>
      </c>
      <c r="B1247" s="6"/>
      <c r="C1247" s="5" t="s">
        <v>2561</v>
      </c>
      <c r="D1247" s="13" t="s">
        <v>2562</v>
      </c>
      <c r="E1247" s="6"/>
      <c r="F1247" s="6"/>
      <c r="G1247" s="6"/>
      <c r="H1247" s="5" t="s">
        <v>22</v>
      </c>
      <c r="I1247" s="7">
        <f t="shared" si="1"/>
        <v>0</v>
      </c>
      <c r="J1247" s="7">
        <f t="shared" si="7"/>
        <v>0</v>
      </c>
      <c r="K1247" s="7">
        <f t="shared" si="3"/>
        <v>0</v>
      </c>
      <c r="L1247" s="7">
        <f t="shared" si="4"/>
        <v>0</v>
      </c>
      <c r="M1247" s="7">
        <f t="shared" si="5"/>
        <v>0</v>
      </c>
      <c r="N1247" s="7">
        <f t="shared" si="6"/>
        <v>0</v>
      </c>
    </row>
    <row r="1248">
      <c r="A1248" s="5" t="s">
        <v>2448</v>
      </c>
      <c r="B1248" s="6"/>
      <c r="C1248" s="5" t="s">
        <v>2563</v>
      </c>
      <c r="D1248" s="5">
        <v>805572.5</v>
      </c>
      <c r="E1248" s="6"/>
      <c r="F1248" s="6"/>
      <c r="G1248" s="6"/>
      <c r="H1248" s="5" t="s">
        <v>22</v>
      </c>
      <c r="I1248" s="7">
        <f t="shared" si="1"/>
        <v>0</v>
      </c>
      <c r="J1248" s="7">
        <f t="shared" si="7"/>
        <v>0</v>
      </c>
      <c r="K1248" s="7">
        <f t="shared" si="3"/>
        <v>0</v>
      </c>
      <c r="L1248" s="7">
        <f t="shared" si="4"/>
        <v>0</v>
      </c>
      <c r="M1248" s="7">
        <f t="shared" si="5"/>
        <v>0</v>
      </c>
      <c r="N1248" s="7">
        <f t="shared" si="6"/>
        <v>0</v>
      </c>
    </row>
    <row r="1249">
      <c r="A1249" s="5" t="s">
        <v>2448</v>
      </c>
      <c r="B1249" s="5" t="s">
        <v>1455</v>
      </c>
      <c r="C1249" s="5" t="s">
        <v>2564</v>
      </c>
      <c r="D1249" s="5">
        <v>744028.0</v>
      </c>
      <c r="E1249" s="8">
        <v>3878.88</v>
      </c>
      <c r="F1249" s="6"/>
      <c r="G1249" s="8">
        <v>2715.3</v>
      </c>
      <c r="H1249" s="5" t="s">
        <v>22</v>
      </c>
      <c r="I1249" s="7">
        <f t="shared" si="1"/>
        <v>4072.95</v>
      </c>
      <c r="J1249" s="7">
        <f t="shared" si="7"/>
        <v>3529.89</v>
      </c>
      <c r="K1249" s="7">
        <f t="shared" si="3"/>
        <v>3529.89</v>
      </c>
      <c r="L1249" s="7">
        <f t="shared" si="4"/>
        <v>3258.36</v>
      </c>
      <c r="M1249" s="7">
        <f t="shared" si="5"/>
        <v>3122.595</v>
      </c>
      <c r="N1249" s="7">
        <f t="shared" si="6"/>
        <v>2986.83</v>
      </c>
    </row>
    <row r="1250">
      <c r="A1250" s="5" t="s">
        <v>2448</v>
      </c>
      <c r="B1250" s="6"/>
      <c r="C1250" s="5" t="s">
        <v>2565</v>
      </c>
      <c r="D1250" s="5">
        <v>744030.0</v>
      </c>
      <c r="E1250" s="8">
        <v>2566.85</v>
      </c>
      <c r="F1250" s="6"/>
      <c r="G1250" s="8">
        <v>1798.65</v>
      </c>
      <c r="H1250" s="5" t="s">
        <v>22</v>
      </c>
      <c r="I1250" s="7">
        <f t="shared" si="1"/>
        <v>2697.975</v>
      </c>
      <c r="J1250" s="7">
        <f t="shared" si="7"/>
        <v>2338.245</v>
      </c>
      <c r="K1250" s="7">
        <f t="shared" si="3"/>
        <v>2338.245</v>
      </c>
      <c r="L1250" s="7">
        <f t="shared" si="4"/>
        <v>2158.38</v>
      </c>
      <c r="M1250" s="7">
        <f t="shared" si="5"/>
        <v>2068.4475</v>
      </c>
      <c r="N1250" s="7">
        <f t="shared" si="6"/>
        <v>1978.515</v>
      </c>
    </row>
    <row r="1251">
      <c r="A1251" s="5" t="s">
        <v>2448</v>
      </c>
      <c r="B1251" s="6"/>
      <c r="C1251" s="5" t="s">
        <v>2566</v>
      </c>
      <c r="D1251" s="5">
        <v>772476.0</v>
      </c>
      <c r="E1251" s="8">
        <v>27527.5</v>
      </c>
      <c r="F1251" s="6"/>
      <c r="G1251" s="8">
        <v>19215.0</v>
      </c>
      <c r="H1251" s="5" t="s">
        <v>22</v>
      </c>
      <c r="I1251" s="7">
        <f t="shared" si="1"/>
        <v>28822.5</v>
      </c>
      <c r="J1251" s="7">
        <f t="shared" si="7"/>
        <v>24979.5</v>
      </c>
      <c r="K1251" s="7">
        <f t="shared" si="3"/>
        <v>24979.5</v>
      </c>
      <c r="L1251" s="7">
        <f t="shared" si="4"/>
        <v>23058</v>
      </c>
      <c r="M1251" s="7">
        <f t="shared" si="5"/>
        <v>22097.25</v>
      </c>
      <c r="N1251" s="7">
        <f t="shared" si="6"/>
        <v>21136.5</v>
      </c>
    </row>
    <row r="1252">
      <c r="A1252" s="5" t="s">
        <v>2448</v>
      </c>
      <c r="B1252" s="6"/>
      <c r="C1252" s="5" t="s">
        <v>2567</v>
      </c>
      <c r="D1252" s="5">
        <v>772477.0</v>
      </c>
      <c r="E1252" s="8">
        <v>31460.0</v>
      </c>
      <c r="F1252" s="6"/>
      <c r="G1252" s="8">
        <v>22050.0</v>
      </c>
      <c r="H1252" s="5" t="s">
        <v>22</v>
      </c>
      <c r="I1252" s="7">
        <f t="shared" si="1"/>
        <v>33075</v>
      </c>
      <c r="J1252" s="7">
        <f t="shared" si="7"/>
        <v>28665</v>
      </c>
      <c r="K1252" s="7">
        <f t="shared" si="3"/>
        <v>28665</v>
      </c>
      <c r="L1252" s="7">
        <f t="shared" si="4"/>
        <v>26460</v>
      </c>
      <c r="M1252" s="7">
        <f t="shared" si="5"/>
        <v>25357.5</v>
      </c>
      <c r="N1252" s="7">
        <f t="shared" si="6"/>
        <v>24255</v>
      </c>
    </row>
    <row r="1253">
      <c r="A1253" s="5" t="s">
        <v>2448</v>
      </c>
      <c r="B1253" s="6"/>
      <c r="C1253" s="5" t="s">
        <v>2568</v>
      </c>
      <c r="D1253" s="5">
        <v>772478.0</v>
      </c>
      <c r="E1253" s="8">
        <v>16087.5</v>
      </c>
      <c r="F1253" s="6"/>
      <c r="G1253" s="8">
        <v>11655.0</v>
      </c>
      <c r="H1253" s="5" t="s">
        <v>22</v>
      </c>
      <c r="I1253" s="7">
        <f t="shared" si="1"/>
        <v>17482.5</v>
      </c>
      <c r="J1253" s="7">
        <f t="shared" si="7"/>
        <v>15151.5</v>
      </c>
      <c r="K1253" s="7">
        <f t="shared" si="3"/>
        <v>15151.5</v>
      </c>
      <c r="L1253" s="7">
        <f t="shared" si="4"/>
        <v>13986</v>
      </c>
      <c r="M1253" s="7">
        <f t="shared" si="5"/>
        <v>13403.25</v>
      </c>
      <c r="N1253" s="7">
        <f t="shared" si="6"/>
        <v>12820.5</v>
      </c>
    </row>
    <row r="1254">
      <c r="A1254" s="5" t="s">
        <v>2448</v>
      </c>
      <c r="B1254" s="6"/>
      <c r="C1254" s="5" t="s">
        <v>2569</v>
      </c>
      <c r="D1254" s="5">
        <v>782481.0</v>
      </c>
      <c r="E1254" s="8">
        <v>195195.0</v>
      </c>
      <c r="F1254" s="6"/>
      <c r="G1254" s="8">
        <v>136080.0</v>
      </c>
      <c r="H1254" s="5" t="s">
        <v>22</v>
      </c>
      <c r="I1254" s="7">
        <f t="shared" si="1"/>
        <v>204120</v>
      </c>
      <c r="J1254" s="7">
        <f t="shared" si="7"/>
        <v>176904</v>
      </c>
      <c r="K1254" s="7">
        <f t="shared" si="3"/>
        <v>176904</v>
      </c>
      <c r="L1254" s="7">
        <f t="shared" si="4"/>
        <v>163296</v>
      </c>
      <c r="M1254" s="7">
        <f t="shared" si="5"/>
        <v>156492</v>
      </c>
      <c r="N1254" s="7">
        <f t="shared" si="6"/>
        <v>149688</v>
      </c>
    </row>
    <row r="1255">
      <c r="A1255" s="5" t="s">
        <v>2448</v>
      </c>
      <c r="B1255" s="6"/>
      <c r="C1255" s="5" t="s">
        <v>2570</v>
      </c>
      <c r="D1255" s="5">
        <v>782482.0</v>
      </c>
      <c r="E1255" s="8">
        <v>191620.0</v>
      </c>
      <c r="F1255" s="6"/>
      <c r="G1255" s="8">
        <v>145404.0</v>
      </c>
      <c r="H1255" s="5" t="s">
        <v>22</v>
      </c>
      <c r="I1255" s="7">
        <f t="shared" si="1"/>
        <v>218106</v>
      </c>
      <c r="J1255" s="7">
        <f t="shared" si="7"/>
        <v>189025.2</v>
      </c>
      <c r="K1255" s="7">
        <f t="shared" si="3"/>
        <v>189025.2</v>
      </c>
      <c r="L1255" s="7">
        <f t="shared" si="4"/>
        <v>174484.8</v>
      </c>
      <c r="M1255" s="7">
        <f t="shared" si="5"/>
        <v>167214.6</v>
      </c>
      <c r="N1255" s="7">
        <f t="shared" si="6"/>
        <v>159944.4</v>
      </c>
    </row>
    <row r="1256">
      <c r="A1256" s="5" t="s">
        <v>2448</v>
      </c>
      <c r="B1256" s="6"/>
      <c r="C1256" s="5" t="s">
        <v>2571</v>
      </c>
      <c r="D1256" s="5" t="s">
        <v>2572</v>
      </c>
      <c r="E1256" s="8">
        <v>21450.0</v>
      </c>
      <c r="F1256" s="6"/>
      <c r="G1256" s="8">
        <v>14490.0</v>
      </c>
      <c r="H1256" s="5" t="s">
        <v>22</v>
      </c>
      <c r="I1256" s="7">
        <f t="shared" si="1"/>
        <v>21735</v>
      </c>
      <c r="J1256" s="7">
        <f t="shared" si="7"/>
        <v>18837</v>
      </c>
      <c r="K1256" s="7">
        <f t="shared" si="3"/>
        <v>18837</v>
      </c>
      <c r="L1256" s="7">
        <f t="shared" si="4"/>
        <v>17388</v>
      </c>
      <c r="M1256" s="7">
        <f t="shared" si="5"/>
        <v>16663.5</v>
      </c>
      <c r="N1256" s="7">
        <f t="shared" si="6"/>
        <v>15939</v>
      </c>
    </row>
    <row r="1257">
      <c r="A1257" s="5" t="s">
        <v>2448</v>
      </c>
      <c r="B1257" s="6"/>
      <c r="C1257" s="5" t="s">
        <v>2573</v>
      </c>
      <c r="D1257" s="5">
        <v>784856.0</v>
      </c>
      <c r="E1257" s="8">
        <v>141570.0</v>
      </c>
      <c r="F1257" s="6"/>
      <c r="G1257" s="8">
        <v>98910.0</v>
      </c>
      <c r="H1257" s="5" t="s">
        <v>22</v>
      </c>
      <c r="I1257" s="7">
        <f t="shared" si="1"/>
        <v>148365</v>
      </c>
      <c r="J1257" s="7">
        <f t="shared" si="7"/>
        <v>128583</v>
      </c>
      <c r="K1257" s="7">
        <f t="shared" si="3"/>
        <v>128583</v>
      </c>
      <c r="L1257" s="7">
        <f t="shared" si="4"/>
        <v>118692</v>
      </c>
      <c r="M1257" s="7">
        <f t="shared" si="5"/>
        <v>113746.5</v>
      </c>
      <c r="N1257" s="7">
        <f t="shared" si="6"/>
        <v>108801</v>
      </c>
    </row>
    <row r="1258">
      <c r="A1258" s="5" t="s">
        <v>2448</v>
      </c>
      <c r="B1258" s="6"/>
      <c r="C1258" s="5" t="s">
        <v>2574</v>
      </c>
      <c r="D1258" s="5">
        <v>786002.0</v>
      </c>
      <c r="E1258" s="8">
        <v>88660.0</v>
      </c>
      <c r="F1258" s="6"/>
      <c r="G1258" s="8">
        <v>42315.0</v>
      </c>
      <c r="H1258" s="5" t="s">
        <v>22</v>
      </c>
      <c r="I1258" s="7">
        <f t="shared" si="1"/>
        <v>63472.5</v>
      </c>
      <c r="J1258" s="7">
        <f t="shared" si="7"/>
        <v>55009.5</v>
      </c>
      <c r="K1258" s="7">
        <f t="shared" si="3"/>
        <v>55009.5</v>
      </c>
      <c r="L1258" s="7">
        <f t="shared" si="4"/>
        <v>50778</v>
      </c>
      <c r="M1258" s="7">
        <f t="shared" si="5"/>
        <v>48662.25</v>
      </c>
      <c r="N1258" s="7">
        <f t="shared" si="6"/>
        <v>46546.5</v>
      </c>
    </row>
    <row r="1259">
      <c r="A1259" s="5" t="s">
        <v>2448</v>
      </c>
      <c r="B1259" s="6"/>
      <c r="C1259" s="5" t="s">
        <v>2575</v>
      </c>
      <c r="D1259" s="5">
        <v>786100.0</v>
      </c>
      <c r="E1259" s="8">
        <v>3685.83</v>
      </c>
      <c r="F1259" s="6"/>
      <c r="G1259" s="8">
        <v>2639.7</v>
      </c>
      <c r="H1259" s="5" t="s">
        <v>22</v>
      </c>
      <c r="I1259" s="7">
        <f t="shared" si="1"/>
        <v>3959.55</v>
      </c>
      <c r="J1259" s="7">
        <f t="shared" si="7"/>
        <v>3431.61</v>
      </c>
      <c r="K1259" s="7">
        <f t="shared" si="3"/>
        <v>3431.61</v>
      </c>
      <c r="L1259" s="7">
        <f t="shared" si="4"/>
        <v>3167.64</v>
      </c>
      <c r="M1259" s="7">
        <f t="shared" si="5"/>
        <v>3035.655</v>
      </c>
      <c r="N1259" s="7">
        <f t="shared" si="6"/>
        <v>2903.67</v>
      </c>
    </row>
    <row r="1260">
      <c r="A1260" s="5" t="s">
        <v>2448</v>
      </c>
      <c r="B1260" s="6"/>
      <c r="C1260" s="5" t="s">
        <v>2576</v>
      </c>
      <c r="D1260" s="5">
        <v>786102.0</v>
      </c>
      <c r="E1260" s="8">
        <v>98670.0</v>
      </c>
      <c r="F1260" s="6"/>
      <c r="G1260" s="8">
        <v>69300.0</v>
      </c>
      <c r="H1260" s="5" t="s">
        <v>22</v>
      </c>
      <c r="I1260" s="7">
        <f t="shared" si="1"/>
        <v>103950</v>
      </c>
      <c r="J1260" s="7">
        <f t="shared" si="7"/>
        <v>90090</v>
      </c>
      <c r="K1260" s="7">
        <f t="shared" si="3"/>
        <v>90090</v>
      </c>
      <c r="L1260" s="7">
        <f t="shared" si="4"/>
        <v>83160</v>
      </c>
      <c r="M1260" s="7">
        <f t="shared" si="5"/>
        <v>79695</v>
      </c>
      <c r="N1260" s="7">
        <f t="shared" si="6"/>
        <v>76230</v>
      </c>
    </row>
    <row r="1261">
      <c r="A1261" s="5" t="s">
        <v>2448</v>
      </c>
      <c r="B1261" s="6"/>
      <c r="C1261" s="5" t="s">
        <v>2577</v>
      </c>
      <c r="D1261" s="5">
        <v>786126.0</v>
      </c>
      <c r="E1261" s="8">
        <v>97955.0</v>
      </c>
      <c r="F1261" s="6"/>
      <c r="G1261" s="8">
        <v>68355.0</v>
      </c>
      <c r="H1261" s="5" t="s">
        <v>22</v>
      </c>
      <c r="I1261" s="7">
        <f t="shared" si="1"/>
        <v>102532.5</v>
      </c>
      <c r="J1261" s="7">
        <f t="shared" si="7"/>
        <v>88861.5</v>
      </c>
      <c r="K1261" s="7">
        <f t="shared" si="3"/>
        <v>88861.5</v>
      </c>
      <c r="L1261" s="7">
        <f t="shared" si="4"/>
        <v>82026</v>
      </c>
      <c r="M1261" s="7">
        <f t="shared" si="5"/>
        <v>78608.25</v>
      </c>
      <c r="N1261" s="7">
        <f t="shared" si="6"/>
        <v>75190.5</v>
      </c>
    </row>
    <row r="1262">
      <c r="A1262" s="5" t="s">
        <v>2448</v>
      </c>
      <c r="B1262" s="6"/>
      <c r="C1262" s="5" t="s">
        <v>2578</v>
      </c>
      <c r="D1262" s="5" t="s">
        <v>2579</v>
      </c>
      <c r="E1262" s="8">
        <v>20377.5</v>
      </c>
      <c r="F1262" s="6"/>
      <c r="G1262" s="8">
        <v>14175.0</v>
      </c>
      <c r="H1262" s="5" t="s">
        <v>22</v>
      </c>
      <c r="I1262" s="7">
        <f t="shared" si="1"/>
        <v>21262.5</v>
      </c>
      <c r="J1262" s="7">
        <f t="shared" si="7"/>
        <v>18427.5</v>
      </c>
      <c r="K1262" s="7">
        <f t="shared" si="3"/>
        <v>18427.5</v>
      </c>
      <c r="L1262" s="7">
        <f t="shared" si="4"/>
        <v>17010</v>
      </c>
      <c r="M1262" s="7">
        <f t="shared" si="5"/>
        <v>16301.25</v>
      </c>
      <c r="N1262" s="7">
        <f t="shared" si="6"/>
        <v>15592.5</v>
      </c>
    </row>
    <row r="1263">
      <c r="A1263" s="5" t="s">
        <v>2448</v>
      </c>
      <c r="B1263" s="6"/>
      <c r="C1263" s="5" t="s">
        <v>2580</v>
      </c>
      <c r="D1263" s="5">
        <v>808003.0</v>
      </c>
      <c r="E1263" s="8">
        <v>260975.0</v>
      </c>
      <c r="F1263" s="6"/>
      <c r="G1263" s="8">
        <v>198450.0</v>
      </c>
      <c r="H1263" s="5" t="s">
        <v>22</v>
      </c>
      <c r="I1263" s="7">
        <f t="shared" si="1"/>
        <v>297675</v>
      </c>
      <c r="J1263" s="7">
        <f t="shared" si="7"/>
        <v>257985</v>
      </c>
      <c r="K1263" s="7">
        <f t="shared" si="3"/>
        <v>257985</v>
      </c>
      <c r="L1263" s="7">
        <f t="shared" si="4"/>
        <v>238140</v>
      </c>
      <c r="M1263" s="7">
        <f t="shared" si="5"/>
        <v>228217.5</v>
      </c>
      <c r="N1263" s="7">
        <f t="shared" si="6"/>
        <v>218295</v>
      </c>
    </row>
    <row r="1264">
      <c r="A1264" s="5" t="s">
        <v>2448</v>
      </c>
      <c r="B1264" s="6"/>
      <c r="C1264" s="5" t="s">
        <v>2581</v>
      </c>
      <c r="D1264" s="5">
        <v>808004.0</v>
      </c>
      <c r="E1264" s="8">
        <v>286715.0</v>
      </c>
      <c r="F1264" s="6"/>
      <c r="G1264" s="8">
        <v>200340.0</v>
      </c>
      <c r="H1264" s="5" t="s">
        <v>22</v>
      </c>
      <c r="I1264" s="7">
        <f t="shared" si="1"/>
        <v>300510</v>
      </c>
      <c r="J1264" s="7">
        <f t="shared" si="7"/>
        <v>260442</v>
      </c>
      <c r="K1264" s="7">
        <f t="shared" si="3"/>
        <v>260442</v>
      </c>
      <c r="L1264" s="7">
        <f t="shared" si="4"/>
        <v>240408</v>
      </c>
      <c r="M1264" s="7">
        <f t="shared" si="5"/>
        <v>230391</v>
      </c>
      <c r="N1264" s="7">
        <f t="shared" si="6"/>
        <v>220374</v>
      </c>
    </row>
    <row r="1265">
      <c r="A1265" s="5" t="s">
        <v>2448</v>
      </c>
      <c r="B1265" s="6"/>
      <c r="C1265" s="5" t="s">
        <v>2582</v>
      </c>
      <c r="D1265" s="5" t="s">
        <v>2583</v>
      </c>
      <c r="E1265" s="8">
        <v>26455.0</v>
      </c>
      <c r="F1265" s="6"/>
      <c r="G1265" s="8">
        <v>18270.0</v>
      </c>
      <c r="H1265" s="5" t="s">
        <v>22</v>
      </c>
      <c r="I1265" s="7">
        <f t="shared" si="1"/>
        <v>27405</v>
      </c>
      <c r="J1265" s="7">
        <f t="shared" si="7"/>
        <v>23751</v>
      </c>
      <c r="K1265" s="7">
        <f t="shared" si="3"/>
        <v>23751</v>
      </c>
      <c r="L1265" s="7">
        <f t="shared" si="4"/>
        <v>21924</v>
      </c>
      <c r="M1265" s="7">
        <f t="shared" si="5"/>
        <v>21010.5</v>
      </c>
      <c r="N1265" s="7">
        <f t="shared" si="6"/>
        <v>20097</v>
      </c>
    </row>
    <row r="1266">
      <c r="A1266" s="5" t="s">
        <v>2448</v>
      </c>
      <c r="B1266" s="6"/>
      <c r="C1266" s="5" t="s">
        <v>2584</v>
      </c>
      <c r="D1266" s="5" t="s">
        <v>2585</v>
      </c>
      <c r="E1266" s="8">
        <v>28242.5</v>
      </c>
      <c r="F1266" s="6"/>
      <c r="G1266" s="8">
        <v>20727.0</v>
      </c>
      <c r="H1266" s="5" t="s">
        <v>22</v>
      </c>
      <c r="I1266" s="7">
        <f t="shared" si="1"/>
        <v>31090.5</v>
      </c>
      <c r="J1266" s="7">
        <f t="shared" si="7"/>
        <v>26945.1</v>
      </c>
      <c r="K1266" s="7">
        <f t="shared" si="3"/>
        <v>26945.1</v>
      </c>
      <c r="L1266" s="7">
        <f t="shared" si="4"/>
        <v>24872.4</v>
      </c>
      <c r="M1266" s="7">
        <f t="shared" si="5"/>
        <v>23836.05</v>
      </c>
      <c r="N1266" s="7">
        <f t="shared" si="6"/>
        <v>22799.7</v>
      </c>
    </row>
    <row r="1267">
      <c r="A1267" s="5" t="s">
        <v>2448</v>
      </c>
      <c r="B1267" s="6"/>
      <c r="C1267" s="5" t="s">
        <v>2586</v>
      </c>
      <c r="D1267" s="5" t="s">
        <v>2587</v>
      </c>
      <c r="E1267" s="8">
        <v>331760.0</v>
      </c>
      <c r="F1267" s="6"/>
      <c r="G1267" s="8">
        <v>225540.0</v>
      </c>
      <c r="H1267" s="5" t="s">
        <v>22</v>
      </c>
      <c r="I1267" s="7">
        <f t="shared" si="1"/>
        <v>338310</v>
      </c>
      <c r="J1267" s="7">
        <f t="shared" si="7"/>
        <v>293202</v>
      </c>
      <c r="K1267" s="7">
        <f t="shared" si="3"/>
        <v>293202</v>
      </c>
      <c r="L1267" s="7">
        <f t="shared" si="4"/>
        <v>270648</v>
      </c>
      <c r="M1267" s="7">
        <f t="shared" si="5"/>
        <v>259371</v>
      </c>
      <c r="N1267" s="7">
        <f t="shared" si="6"/>
        <v>248094</v>
      </c>
    </row>
    <row r="1268">
      <c r="A1268" s="5" t="s">
        <v>2448</v>
      </c>
      <c r="B1268" s="6"/>
      <c r="C1268" s="5" t="s">
        <v>2588</v>
      </c>
      <c r="D1268" s="5" t="s">
        <v>2589</v>
      </c>
      <c r="E1268" s="8">
        <v>463320.0</v>
      </c>
      <c r="F1268" s="6"/>
      <c r="G1268" s="8">
        <v>324450.0</v>
      </c>
      <c r="H1268" s="5" t="s">
        <v>22</v>
      </c>
      <c r="I1268" s="7">
        <f t="shared" si="1"/>
        <v>486675</v>
      </c>
      <c r="J1268" s="7">
        <f t="shared" si="7"/>
        <v>421785</v>
      </c>
      <c r="K1268" s="7">
        <f t="shared" si="3"/>
        <v>421785</v>
      </c>
      <c r="L1268" s="7">
        <f t="shared" si="4"/>
        <v>389340</v>
      </c>
      <c r="M1268" s="7">
        <f t="shared" si="5"/>
        <v>373117.5</v>
      </c>
      <c r="N1268" s="7">
        <f t="shared" si="6"/>
        <v>356895</v>
      </c>
    </row>
    <row r="1269">
      <c r="A1269" s="5" t="s">
        <v>2448</v>
      </c>
      <c r="B1269" s="6"/>
      <c r="C1269" s="5" t="s">
        <v>2588</v>
      </c>
      <c r="D1269" s="5" t="s">
        <v>2590</v>
      </c>
      <c r="E1269" s="8">
        <v>415415.0</v>
      </c>
      <c r="F1269" s="6"/>
      <c r="G1269" s="8">
        <v>290430.0</v>
      </c>
      <c r="H1269" s="5" t="s">
        <v>22</v>
      </c>
      <c r="I1269" s="7">
        <f t="shared" si="1"/>
        <v>435645</v>
      </c>
      <c r="J1269" s="7">
        <f t="shared" si="7"/>
        <v>377559</v>
      </c>
      <c r="K1269" s="7">
        <f t="shared" si="3"/>
        <v>377559</v>
      </c>
      <c r="L1269" s="7">
        <f t="shared" si="4"/>
        <v>348516</v>
      </c>
      <c r="M1269" s="7">
        <f t="shared" si="5"/>
        <v>333994.5</v>
      </c>
      <c r="N1269" s="7">
        <f t="shared" si="6"/>
        <v>319473</v>
      </c>
    </row>
    <row r="1270">
      <c r="A1270" s="5" t="s">
        <v>2448</v>
      </c>
      <c r="B1270" s="6"/>
      <c r="C1270" s="5" t="s">
        <v>2591</v>
      </c>
      <c r="D1270" s="13" t="s">
        <v>2592</v>
      </c>
      <c r="E1270" s="8">
        <v>331045.0</v>
      </c>
      <c r="F1270" s="6"/>
      <c r="G1270" s="8">
        <v>243432.0</v>
      </c>
      <c r="H1270" s="5" t="s">
        <v>22</v>
      </c>
      <c r="I1270" s="7">
        <f t="shared" si="1"/>
        <v>365148</v>
      </c>
      <c r="J1270" s="7">
        <f t="shared" si="7"/>
        <v>316461.6</v>
      </c>
      <c r="K1270" s="7">
        <f t="shared" si="3"/>
        <v>316461.6</v>
      </c>
      <c r="L1270" s="7">
        <f t="shared" si="4"/>
        <v>292118.4</v>
      </c>
      <c r="M1270" s="7">
        <f t="shared" si="5"/>
        <v>279946.8</v>
      </c>
      <c r="N1270" s="7">
        <f t="shared" si="6"/>
        <v>267775.2</v>
      </c>
    </row>
    <row r="1271">
      <c r="A1271" s="5" t="s">
        <v>2448</v>
      </c>
      <c r="B1271" s="6"/>
      <c r="C1271" s="5" t="s">
        <v>2593</v>
      </c>
      <c r="D1271" s="13" t="s">
        <v>2594</v>
      </c>
      <c r="E1271" s="8">
        <v>181610.0</v>
      </c>
      <c r="F1271" s="6"/>
      <c r="G1271" s="8">
        <v>123480.0</v>
      </c>
      <c r="H1271" s="5" t="s">
        <v>22</v>
      </c>
      <c r="I1271" s="7">
        <f t="shared" si="1"/>
        <v>185220</v>
      </c>
      <c r="J1271" s="7">
        <f t="shared" si="7"/>
        <v>160524</v>
      </c>
      <c r="K1271" s="7">
        <f t="shared" si="3"/>
        <v>160524</v>
      </c>
      <c r="L1271" s="7">
        <f t="shared" si="4"/>
        <v>148176</v>
      </c>
      <c r="M1271" s="7">
        <f t="shared" si="5"/>
        <v>142002</v>
      </c>
      <c r="N1271" s="7">
        <f t="shared" si="6"/>
        <v>135828</v>
      </c>
    </row>
    <row r="1272">
      <c r="A1272" s="5" t="s">
        <v>2448</v>
      </c>
      <c r="B1272" s="6"/>
      <c r="C1272" s="5" t="s">
        <v>2595</v>
      </c>
      <c r="D1272" s="13" t="s">
        <v>2596</v>
      </c>
      <c r="E1272" s="8">
        <v>553410.0</v>
      </c>
      <c r="F1272" s="6"/>
      <c r="G1272" s="8">
        <v>387450.0</v>
      </c>
      <c r="H1272" s="5" t="s">
        <v>22</v>
      </c>
      <c r="I1272" s="7">
        <f t="shared" si="1"/>
        <v>581175</v>
      </c>
      <c r="J1272" s="7">
        <f t="shared" si="7"/>
        <v>503685</v>
      </c>
      <c r="K1272" s="7">
        <f t="shared" si="3"/>
        <v>503685</v>
      </c>
      <c r="L1272" s="7">
        <f t="shared" si="4"/>
        <v>464940</v>
      </c>
      <c r="M1272" s="7">
        <f t="shared" si="5"/>
        <v>445567.5</v>
      </c>
      <c r="N1272" s="7">
        <f t="shared" si="6"/>
        <v>426195</v>
      </c>
    </row>
    <row r="1273">
      <c r="A1273" s="5" t="s">
        <v>2448</v>
      </c>
      <c r="B1273" s="6"/>
      <c r="C1273" s="5" t="s">
        <v>2597</v>
      </c>
      <c r="D1273" s="5" t="s">
        <v>2598</v>
      </c>
      <c r="E1273" s="8">
        <v>7221.5</v>
      </c>
      <c r="F1273" s="6"/>
      <c r="G1273" s="8">
        <v>5481.0</v>
      </c>
      <c r="H1273" s="5" t="s">
        <v>22</v>
      </c>
      <c r="I1273" s="7">
        <f t="shared" si="1"/>
        <v>8221.5</v>
      </c>
      <c r="J1273" s="7">
        <f t="shared" si="7"/>
        <v>7125.3</v>
      </c>
      <c r="K1273" s="7">
        <f t="shared" si="3"/>
        <v>7125.3</v>
      </c>
      <c r="L1273" s="7">
        <f t="shared" si="4"/>
        <v>6577.2</v>
      </c>
      <c r="M1273" s="7">
        <f t="shared" si="5"/>
        <v>6303.15</v>
      </c>
      <c r="N1273" s="7">
        <f t="shared" si="6"/>
        <v>6029.1</v>
      </c>
    </row>
    <row r="1274">
      <c r="A1274" s="5" t="s">
        <v>2448</v>
      </c>
      <c r="B1274" s="6"/>
      <c r="C1274" s="5" t="s">
        <v>2599</v>
      </c>
      <c r="D1274" s="5" t="s">
        <v>2600</v>
      </c>
      <c r="E1274" s="8">
        <v>30745.0</v>
      </c>
      <c r="F1274" s="6"/>
      <c r="G1274" s="8">
        <v>21105.0</v>
      </c>
      <c r="H1274" s="5" t="s">
        <v>22</v>
      </c>
      <c r="I1274" s="7">
        <f t="shared" si="1"/>
        <v>31657.5</v>
      </c>
      <c r="J1274" s="7">
        <f t="shared" si="7"/>
        <v>27436.5</v>
      </c>
      <c r="K1274" s="7">
        <f t="shared" si="3"/>
        <v>27436.5</v>
      </c>
      <c r="L1274" s="7">
        <f t="shared" si="4"/>
        <v>25326</v>
      </c>
      <c r="M1274" s="7">
        <f t="shared" si="5"/>
        <v>24270.75</v>
      </c>
      <c r="N1274" s="7">
        <f t="shared" si="6"/>
        <v>23215.5</v>
      </c>
    </row>
    <row r="1275">
      <c r="A1275" s="5" t="s">
        <v>2448</v>
      </c>
      <c r="B1275" s="6"/>
      <c r="C1275" s="5" t="s">
        <v>2599</v>
      </c>
      <c r="D1275" s="5" t="s">
        <v>2601</v>
      </c>
      <c r="E1275" s="8">
        <v>49692.5</v>
      </c>
      <c r="F1275" s="6"/>
      <c r="G1275" s="8">
        <v>33705.0</v>
      </c>
      <c r="H1275" s="5" t="s">
        <v>22</v>
      </c>
      <c r="I1275" s="7">
        <f t="shared" si="1"/>
        <v>50557.5</v>
      </c>
      <c r="J1275" s="7">
        <f t="shared" si="7"/>
        <v>43816.5</v>
      </c>
      <c r="K1275" s="7">
        <f t="shared" si="3"/>
        <v>43816.5</v>
      </c>
      <c r="L1275" s="7">
        <f t="shared" si="4"/>
        <v>40446</v>
      </c>
      <c r="M1275" s="7">
        <f t="shared" si="5"/>
        <v>38760.75</v>
      </c>
      <c r="N1275" s="7">
        <f t="shared" si="6"/>
        <v>37075.5</v>
      </c>
    </row>
    <row r="1276">
      <c r="A1276" s="5" t="s">
        <v>2448</v>
      </c>
      <c r="B1276" s="6"/>
      <c r="C1276" s="5" t="s">
        <v>2602</v>
      </c>
      <c r="D1276" s="5" t="s">
        <v>2603</v>
      </c>
      <c r="E1276" s="8">
        <v>59702.5</v>
      </c>
      <c r="F1276" s="6"/>
      <c r="G1276" s="8">
        <v>43911.0</v>
      </c>
      <c r="H1276" s="5" t="s">
        <v>22</v>
      </c>
      <c r="I1276" s="7">
        <f t="shared" si="1"/>
        <v>65866.5</v>
      </c>
      <c r="J1276" s="7">
        <f t="shared" si="7"/>
        <v>57084.3</v>
      </c>
      <c r="K1276" s="7">
        <f t="shared" si="3"/>
        <v>57084.3</v>
      </c>
      <c r="L1276" s="7">
        <f t="shared" si="4"/>
        <v>52693.2</v>
      </c>
      <c r="M1276" s="7">
        <f t="shared" si="5"/>
        <v>50497.65</v>
      </c>
      <c r="N1276" s="7">
        <f t="shared" si="6"/>
        <v>48302.1</v>
      </c>
    </row>
    <row r="1277">
      <c r="A1277" s="5" t="s">
        <v>2448</v>
      </c>
      <c r="B1277" s="6"/>
      <c r="C1277" s="5" t="s">
        <v>2602</v>
      </c>
      <c r="D1277" s="5" t="s">
        <v>2604</v>
      </c>
      <c r="E1277" s="8">
        <v>53982.5</v>
      </c>
      <c r="F1277" s="6"/>
      <c r="G1277" s="8">
        <v>36855.0</v>
      </c>
      <c r="H1277" s="5" t="s">
        <v>22</v>
      </c>
      <c r="I1277" s="7">
        <f t="shared" si="1"/>
        <v>55282.5</v>
      </c>
      <c r="J1277" s="7">
        <f t="shared" si="7"/>
        <v>47911.5</v>
      </c>
      <c r="K1277" s="7">
        <f t="shared" si="3"/>
        <v>47911.5</v>
      </c>
      <c r="L1277" s="7">
        <f t="shared" si="4"/>
        <v>44226</v>
      </c>
      <c r="M1277" s="7">
        <f t="shared" si="5"/>
        <v>42383.25</v>
      </c>
      <c r="N1277" s="7">
        <f t="shared" si="6"/>
        <v>40540.5</v>
      </c>
    </row>
    <row r="1278">
      <c r="A1278" s="5" t="s">
        <v>2448</v>
      </c>
      <c r="B1278" s="6"/>
      <c r="C1278" s="5" t="s">
        <v>2605</v>
      </c>
      <c r="D1278" s="13" t="s">
        <v>2606</v>
      </c>
      <c r="E1278" s="8">
        <v>237380.0</v>
      </c>
      <c r="F1278" s="6"/>
      <c r="G1278" s="8">
        <v>161280.0</v>
      </c>
      <c r="H1278" s="5" t="s">
        <v>22</v>
      </c>
      <c r="I1278" s="7">
        <f t="shared" si="1"/>
        <v>241920</v>
      </c>
      <c r="J1278" s="7">
        <f t="shared" si="7"/>
        <v>209664</v>
      </c>
      <c r="K1278" s="7">
        <f t="shared" si="3"/>
        <v>209664</v>
      </c>
      <c r="L1278" s="7">
        <f t="shared" si="4"/>
        <v>193536</v>
      </c>
      <c r="M1278" s="7">
        <f t="shared" si="5"/>
        <v>185472</v>
      </c>
      <c r="N1278" s="7">
        <f t="shared" si="6"/>
        <v>177408</v>
      </c>
    </row>
    <row r="1279">
      <c r="A1279" s="5" t="s">
        <v>2448</v>
      </c>
      <c r="B1279" s="6"/>
      <c r="C1279" s="5" t="s">
        <v>2607</v>
      </c>
      <c r="D1279" s="13" t="s">
        <v>2608</v>
      </c>
      <c r="E1279" s="8">
        <v>260975.0</v>
      </c>
      <c r="F1279" s="6"/>
      <c r="G1279" s="8">
        <v>183330.0</v>
      </c>
      <c r="H1279" s="5" t="s">
        <v>22</v>
      </c>
      <c r="I1279" s="7">
        <f t="shared" si="1"/>
        <v>274995</v>
      </c>
      <c r="J1279" s="7">
        <f t="shared" si="7"/>
        <v>238329</v>
      </c>
      <c r="K1279" s="7">
        <f t="shared" si="3"/>
        <v>238329</v>
      </c>
      <c r="L1279" s="7">
        <f t="shared" si="4"/>
        <v>219996</v>
      </c>
      <c r="M1279" s="7">
        <f t="shared" si="5"/>
        <v>210829.5</v>
      </c>
      <c r="N1279" s="7">
        <f t="shared" si="6"/>
        <v>201663</v>
      </c>
    </row>
    <row r="1280">
      <c r="A1280" s="5" t="s">
        <v>2448</v>
      </c>
      <c r="B1280" s="6"/>
      <c r="C1280" s="5" t="s">
        <v>2609</v>
      </c>
      <c r="D1280" s="5" t="s">
        <v>2610</v>
      </c>
      <c r="E1280" s="8">
        <v>591305.0</v>
      </c>
      <c r="F1280" s="6"/>
      <c r="G1280" s="8">
        <v>433944.0</v>
      </c>
      <c r="H1280" s="5" t="s">
        <v>22</v>
      </c>
      <c r="I1280" s="7">
        <f t="shared" si="1"/>
        <v>650916</v>
      </c>
      <c r="J1280" s="7">
        <f t="shared" si="7"/>
        <v>564127.2</v>
      </c>
      <c r="K1280" s="7">
        <f t="shared" si="3"/>
        <v>564127.2</v>
      </c>
      <c r="L1280" s="7">
        <f t="shared" si="4"/>
        <v>520732.8</v>
      </c>
      <c r="M1280" s="7">
        <f t="shared" si="5"/>
        <v>499035.6</v>
      </c>
      <c r="N1280" s="7">
        <f t="shared" si="6"/>
        <v>477338.4</v>
      </c>
    </row>
    <row r="1281">
      <c r="A1281" s="5" t="s">
        <v>2448</v>
      </c>
      <c r="B1281" s="6"/>
      <c r="C1281" s="5" t="s">
        <v>2611</v>
      </c>
      <c r="D1281" s="5" t="s">
        <v>2612</v>
      </c>
      <c r="E1281" s="8">
        <v>583440.0</v>
      </c>
      <c r="F1281" s="6"/>
      <c r="G1281" s="8">
        <v>395010.0</v>
      </c>
      <c r="H1281" s="5" t="s">
        <v>22</v>
      </c>
      <c r="I1281" s="7">
        <f t="shared" si="1"/>
        <v>592515</v>
      </c>
      <c r="J1281" s="7">
        <f t="shared" si="7"/>
        <v>513513</v>
      </c>
      <c r="K1281" s="7">
        <f t="shared" si="3"/>
        <v>513513</v>
      </c>
      <c r="L1281" s="7">
        <f t="shared" si="4"/>
        <v>474012</v>
      </c>
      <c r="M1281" s="7">
        <f t="shared" si="5"/>
        <v>454261.5</v>
      </c>
      <c r="N1281" s="7">
        <f t="shared" si="6"/>
        <v>434511</v>
      </c>
    </row>
    <row r="1282">
      <c r="A1282" s="5" t="s">
        <v>2448</v>
      </c>
      <c r="B1282" s="6"/>
      <c r="C1282" s="5" t="s">
        <v>2613</v>
      </c>
      <c r="D1282" s="5" t="s">
        <v>2614</v>
      </c>
      <c r="E1282" s="8">
        <v>490490.0</v>
      </c>
      <c r="F1282" s="6"/>
      <c r="G1282" s="8">
        <v>343350.0</v>
      </c>
      <c r="H1282" s="5" t="s">
        <v>22</v>
      </c>
      <c r="I1282" s="7">
        <f t="shared" si="1"/>
        <v>515025</v>
      </c>
      <c r="J1282" s="7">
        <f t="shared" si="7"/>
        <v>446355</v>
      </c>
      <c r="K1282" s="7">
        <f t="shared" si="3"/>
        <v>446355</v>
      </c>
      <c r="L1282" s="7">
        <f t="shared" si="4"/>
        <v>412020</v>
      </c>
      <c r="M1282" s="7">
        <f t="shared" si="5"/>
        <v>394852.5</v>
      </c>
      <c r="N1282" s="7">
        <f t="shared" si="6"/>
        <v>377685</v>
      </c>
    </row>
    <row r="1283">
      <c r="A1283" s="5" t="s">
        <v>2448</v>
      </c>
      <c r="B1283" s="6"/>
      <c r="C1283" s="5" t="s">
        <v>2615</v>
      </c>
      <c r="D1283" s="5" t="s">
        <v>2616</v>
      </c>
      <c r="E1283" s="8">
        <v>893750.0</v>
      </c>
      <c r="F1283" s="6"/>
      <c r="G1283" s="8">
        <v>656271.0</v>
      </c>
      <c r="H1283" s="5" t="s">
        <v>22</v>
      </c>
      <c r="I1283" s="7">
        <f t="shared" si="1"/>
        <v>984406.5</v>
      </c>
      <c r="J1283" s="7">
        <f t="shared" si="7"/>
        <v>853152.3</v>
      </c>
      <c r="K1283" s="7">
        <f t="shared" si="3"/>
        <v>853152.3</v>
      </c>
      <c r="L1283" s="7">
        <f t="shared" si="4"/>
        <v>787525.2</v>
      </c>
      <c r="M1283" s="7">
        <f t="shared" si="5"/>
        <v>754711.65</v>
      </c>
      <c r="N1283" s="7">
        <f t="shared" si="6"/>
        <v>721898.1</v>
      </c>
    </row>
    <row r="1284">
      <c r="A1284" s="5" t="s">
        <v>2448</v>
      </c>
      <c r="B1284" s="6"/>
      <c r="C1284" s="5" t="s">
        <v>2617</v>
      </c>
      <c r="D1284" s="13" t="s">
        <v>2618</v>
      </c>
      <c r="E1284" s="8">
        <v>619190.0</v>
      </c>
      <c r="F1284" s="6"/>
      <c r="G1284" s="8">
        <v>455049.0</v>
      </c>
      <c r="H1284" s="5" t="s">
        <v>22</v>
      </c>
      <c r="I1284" s="7">
        <f t="shared" si="1"/>
        <v>682573.5</v>
      </c>
      <c r="J1284" s="7">
        <f t="shared" si="7"/>
        <v>591563.7</v>
      </c>
      <c r="K1284" s="7">
        <f t="shared" si="3"/>
        <v>591563.7</v>
      </c>
      <c r="L1284" s="7">
        <f t="shared" si="4"/>
        <v>546058.8</v>
      </c>
      <c r="M1284" s="7">
        <f t="shared" si="5"/>
        <v>523306.35</v>
      </c>
      <c r="N1284" s="7">
        <f t="shared" si="6"/>
        <v>500553.9</v>
      </c>
    </row>
    <row r="1285">
      <c r="A1285" s="5" t="s">
        <v>2448</v>
      </c>
      <c r="B1285" s="6"/>
      <c r="C1285" s="5" t="s">
        <v>2619</v>
      </c>
      <c r="D1285" s="5" t="s">
        <v>2620</v>
      </c>
      <c r="E1285" s="8">
        <v>366080.0</v>
      </c>
      <c r="F1285" s="6"/>
      <c r="G1285" s="8">
        <v>256410.0</v>
      </c>
      <c r="H1285" s="5" t="s">
        <v>22</v>
      </c>
      <c r="I1285" s="7">
        <f t="shared" si="1"/>
        <v>384615</v>
      </c>
      <c r="J1285" s="7">
        <f t="shared" si="7"/>
        <v>333333</v>
      </c>
      <c r="K1285" s="7">
        <f t="shared" si="3"/>
        <v>333333</v>
      </c>
      <c r="L1285" s="7">
        <f t="shared" si="4"/>
        <v>307692</v>
      </c>
      <c r="M1285" s="7">
        <f t="shared" si="5"/>
        <v>294871.5</v>
      </c>
      <c r="N1285" s="7">
        <f t="shared" si="6"/>
        <v>282051</v>
      </c>
    </row>
    <row r="1286">
      <c r="A1286" s="5" t="s">
        <v>2448</v>
      </c>
      <c r="B1286" s="6"/>
      <c r="C1286" s="5" t="s">
        <v>2621</v>
      </c>
      <c r="D1286" s="5" t="s">
        <v>2622</v>
      </c>
      <c r="E1286" s="8">
        <v>401115.0</v>
      </c>
      <c r="F1286" s="6"/>
      <c r="G1286" s="8">
        <v>280980.0</v>
      </c>
      <c r="H1286" s="5" t="s">
        <v>22</v>
      </c>
      <c r="I1286" s="7">
        <f t="shared" si="1"/>
        <v>421470</v>
      </c>
      <c r="J1286" s="7">
        <f t="shared" si="7"/>
        <v>365274</v>
      </c>
      <c r="K1286" s="7">
        <f t="shared" si="3"/>
        <v>365274</v>
      </c>
      <c r="L1286" s="7">
        <f t="shared" si="4"/>
        <v>337176</v>
      </c>
      <c r="M1286" s="7">
        <f t="shared" si="5"/>
        <v>323127</v>
      </c>
      <c r="N1286" s="7">
        <f t="shared" si="6"/>
        <v>309078</v>
      </c>
    </row>
    <row r="1287">
      <c r="A1287" s="5" t="s">
        <v>2448</v>
      </c>
      <c r="B1287" s="6"/>
      <c r="C1287" s="5" t="s">
        <v>2623</v>
      </c>
      <c r="D1287" s="5" t="s">
        <v>2624</v>
      </c>
      <c r="E1287" s="8">
        <v>388245.0</v>
      </c>
      <c r="F1287" s="6"/>
      <c r="G1287" s="8">
        <v>271530.0</v>
      </c>
      <c r="H1287" s="5" t="s">
        <v>22</v>
      </c>
      <c r="I1287" s="7">
        <f t="shared" si="1"/>
        <v>407295</v>
      </c>
      <c r="J1287" s="7">
        <f t="shared" si="7"/>
        <v>352989</v>
      </c>
      <c r="K1287" s="7">
        <f t="shared" si="3"/>
        <v>352989</v>
      </c>
      <c r="L1287" s="7">
        <f t="shared" si="4"/>
        <v>325836</v>
      </c>
      <c r="M1287" s="7">
        <f t="shared" si="5"/>
        <v>312259.5</v>
      </c>
      <c r="N1287" s="7">
        <f t="shared" si="6"/>
        <v>298683</v>
      </c>
    </row>
    <row r="1288">
      <c r="A1288" s="5" t="s">
        <v>2448</v>
      </c>
      <c r="B1288" s="6"/>
      <c r="C1288" s="5" t="s">
        <v>2625</v>
      </c>
      <c r="D1288" s="13" t="s">
        <v>2626</v>
      </c>
      <c r="E1288" s="8">
        <v>347490.0</v>
      </c>
      <c r="F1288" s="6"/>
      <c r="G1288" s="8">
        <v>243180.0</v>
      </c>
      <c r="H1288" s="5" t="s">
        <v>22</v>
      </c>
      <c r="I1288" s="7">
        <f t="shared" si="1"/>
        <v>364770</v>
      </c>
      <c r="J1288" s="7">
        <f t="shared" si="7"/>
        <v>316134</v>
      </c>
      <c r="K1288" s="7">
        <f t="shared" si="3"/>
        <v>316134</v>
      </c>
      <c r="L1288" s="7">
        <f t="shared" si="4"/>
        <v>291816</v>
      </c>
      <c r="M1288" s="7">
        <f t="shared" si="5"/>
        <v>279657</v>
      </c>
      <c r="N1288" s="7">
        <f t="shared" si="6"/>
        <v>267498</v>
      </c>
    </row>
    <row r="1289">
      <c r="A1289" s="5" t="s">
        <v>2448</v>
      </c>
      <c r="B1289" s="6"/>
      <c r="C1289" s="5" t="s">
        <v>2627</v>
      </c>
      <c r="D1289" s="5" t="s">
        <v>2628</v>
      </c>
      <c r="E1289" s="8">
        <v>36822.5</v>
      </c>
      <c r="F1289" s="6"/>
      <c r="G1289" s="8">
        <v>25830.0</v>
      </c>
      <c r="H1289" s="5" t="s">
        <v>22</v>
      </c>
      <c r="I1289" s="7">
        <f t="shared" si="1"/>
        <v>38745</v>
      </c>
      <c r="J1289" s="7">
        <f t="shared" si="7"/>
        <v>33579</v>
      </c>
      <c r="K1289" s="7">
        <f t="shared" si="3"/>
        <v>33579</v>
      </c>
      <c r="L1289" s="7">
        <f t="shared" si="4"/>
        <v>30996</v>
      </c>
      <c r="M1289" s="7">
        <f t="shared" si="5"/>
        <v>29704.5</v>
      </c>
      <c r="N1289" s="7">
        <f t="shared" si="6"/>
        <v>28413</v>
      </c>
    </row>
    <row r="1290">
      <c r="A1290" s="5" t="s">
        <v>2448</v>
      </c>
      <c r="B1290" s="6"/>
      <c r="C1290" s="5" t="s">
        <v>2629</v>
      </c>
      <c r="D1290" s="5" t="s">
        <v>2630</v>
      </c>
      <c r="E1290" s="8">
        <v>36822.5</v>
      </c>
      <c r="F1290" s="6"/>
      <c r="G1290" s="8">
        <v>25830.0</v>
      </c>
      <c r="H1290" s="5" t="s">
        <v>22</v>
      </c>
      <c r="I1290" s="7">
        <f t="shared" si="1"/>
        <v>38745</v>
      </c>
      <c r="J1290" s="7">
        <f t="shared" si="7"/>
        <v>33579</v>
      </c>
      <c r="K1290" s="7">
        <f t="shared" si="3"/>
        <v>33579</v>
      </c>
      <c r="L1290" s="7">
        <f t="shared" si="4"/>
        <v>30996</v>
      </c>
      <c r="M1290" s="7">
        <f t="shared" si="5"/>
        <v>29704.5</v>
      </c>
      <c r="N1290" s="7">
        <f t="shared" si="6"/>
        <v>28413</v>
      </c>
    </row>
    <row r="1291">
      <c r="A1291" s="5" t="s">
        <v>2448</v>
      </c>
      <c r="B1291" s="6"/>
      <c r="C1291" s="5" t="s">
        <v>2631</v>
      </c>
      <c r="D1291" s="5" t="s">
        <v>2632</v>
      </c>
      <c r="E1291" s="8">
        <v>70427.5</v>
      </c>
      <c r="F1291" s="6"/>
      <c r="G1291" s="8">
        <v>50400.0</v>
      </c>
      <c r="H1291" s="5" t="s">
        <v>22</v>
      </c>
      <c r="I1291" s="7">
        <f t="shared" si="1"/>
        <v>75600</v>
      </c>
      <c r="J1291" s="7">
        <f t="shared" si="7"/>
        <v>65520</v>
      </c>
      <c r="K1291" s="7">
        <f t="shared" si="3"/>
        <v>65520</v>
      </c>
      <c r="L1291" s="7">
        <f t="shared" si="4"/>
        <v>60480</v>
      </c>
      <c r="M1291" s="7">
        <f t="shared" si="5"/>
        <v>57960</v>
      </c>
      <c r="N1291" s="7">
        <f t="shared" si="6"/>
        <v>55440</v>
      </c>
    </row>
    <row r="1292">
      <c r="A1292" s="5" t="s">
        <v>2448</v>
      </c>
      <c r="B1292" s="6"/>
      <c r="C1292" s="5" t="s">
        <v>2633</v>
      </c>
      <c r="D1292" s="5" t="s">
        <v>2634</v>
      </c>
      <c r="E1292" s="8">
        <v>46832.5</v>
      </c>
      <c r="F1292" s="6"/>
      <c r="G1292" s="8">
        <v>33705.0</v>
      </c>
      <c r="H1292" s="5" t="s">
        <v>22</v>
      </c>
      <c r="I1292" s="7">
        <f t="shared" si="1"/>
        <v>50557.5</v>
      </c>
      <c r="J1292" s="7">
        <f t="shared" si="7"/>
        <v>43816.5</v>
      </c>
      <c r="K1292" s="7">
        <f t="shared" si="3"/>
        <v>43816.5</v>
      </c>
      <c r="L1292" s="7">
        <f t="shared" si="4"/>
        <v>40446</v>
      </c>
      <c r="M1292" s="7">
        <f t="shared" si="5"/>
        <v>38760.75</v>
      </c>
      <c r="N1292" s="7">
        <f t="shared" si="6"/>
        <v>37075.5</v>
      </c>
    </row>
    <row r="1293">
      <c r="A1293" s="5" t="s">
        <v>2448</v>
      </c>
      <c r="B1293" s="6"/>
      <c r="C1293" s="5" t="s">
        <v>2635</v>
      </c>
      <c r="D1293" s="5" t="s">
        <v>2636</v>
      </c>
      <c r="E1293" s="8">
        <v>32175.0</v>
      </c>
      <c r="F1293" s="6"/>
      <c r="G1293" s="8">
        <v>22680.0</v>
      </c>
      <c r="H1293" s="5" t="s">
        <v>22</v>
      </c>
      <c r="I1293" s="7">
        <f t="shared" si="1"/>
        <v>34020</v>
      </c>
      <c r="J1293" s="7">
        <f t="shared" si="7"/>
        <v>29484</v>
      </c>
      <c r="K1293" s="7">
        <f t="shared" si="3"/>
        <v>29484</v>
      </c>
      <c r="L1293" s="7">
        <f t="shared" si="4"/>
        <v>27216</v>
      </c>
      <c r="M1293" s="7">
        <f t="shared" si="5"/>
        <v>26082</v>
      </c>
      <c r="N1293" s="7">
        <f t="shared" si="6"/>
        <v>24948</v>
      </c>
    </row>
    <row r="1294">
      <c r="A1294" s="5" t="s">
        <v>2448</v>
      </c>
      <c r="B1294" s="6"/>
      <c r="C1294" s="5" t="s">
        <v>2637</v>
      </c>
      <c r="D1294" s="5" t="s">
        <v>2638</v>
      </c>
      <c r="E1294" s="8">
        <v>26812.5</v>
      </c>
      <c r="F1294" s="6"/>
      <c r="G1294" s="8">
        <v>19215.0</v>
      </c>
      <c r="H1294" s="5" t="s">
        <v>22</v>
      </c>
      <c r="I1294" s="7">
        <f t="shared" si="1"/>
        <v>28822.5</v>
      </c>
      <c r="J1294" s="7">
        <f t="shared" si="7"/>
        <v>24979.5</v>
      </c>
      <c r="K1294" s="7">
        <f t="shared" si="3"/>
        <v>24979.5</v>
      </c>
      <c r="L1294" s="7">
        <f t="shared" si="4"/>
        <v>23058</v>
      </c>
      <c r="M1294" s="7">
        <f t="shared" si="5"/>
        <v>22097.25</v>
      </c>
      <c r="N1294" s="7">
        <f t="shared" si="6"/>
        <v>21136.5</v>
      </c>
    </row>
    <row r="1295">
      <c r="A1295" s="5" t="s">
        <v>2448</v>
      </c>
      <c r="B1295" s="6"/>
      <c r="C1295" s="5" t="s">
        <v>2639</v>
      </c>
      <c r="D1295" s="5" t="s">
        <v>2640</v>
      </c>
      <c r="E1295" s="8">
        <v>56127.5</v>
      </c>
      <c r="F1295" s="6"/>
      <c r="G1295" s="8">
        <v>40005.0</v>
      </c>
      <c r="H1295" s="5" t="s">
        <v>22</v>
      </c>
      <c r="I1295" s="7">
        <f t="shared" si="1"/>
        <v>60007.5</v>
      </c>
      <c r="J1295" s="7">
        <f t="shared" si="7"/>
        <v>52006.5</v>
      </c>
      <c r="K1295" s="7">
        <f t="shared" si="3"/>
        <v>52006.5</v>
      </c>
      <c r="L1295" s="7">
        <f t="shared" si="4"/>
        <v>48006</v>
      </c>
      <c r="M1295" s="7">
        <f t="shared" si="5"/>
        <v>46005.75</v>
      </c>
      <c r="N1295" s="7">
        <f t="shared" si="6"/>
        <v>44005.5</v>
      </c>
    </row>
    <row r="1296">
      <c r="A1296" s="5" t="s">
        <v>2448</v>
      </c>
      <c r="B1296" s="6"/>
      <c r="C1296" s="5" t="s">
        <v>2641</v>
      </c>
      <c r="D1296" s="5" t="s">
        <v>2642</v>
      </c>
      <c r="E1296" s="8">
        <v>41112.5</v>
      </c>
      <c r="F1296" s="6"/>
      <c r="G1296" s="8">
        <v>28665.0</v>
      </c>
      <c r="H1296" s="5" t="s">
        <v>22</v>
      </c>
      <c r="I1296" s="7">
        <f t="shared" si="1"/>
        <v>42997.5</v>
      </c>
      <c r="J1296" s="7">
        <f t="shared" si="7"/>
        <v>37264.5</v>
      </c>
      <c r="K1296" s="7">
        <f t="shared" si="3"/>
        <v>37264.5</v>
      </c>
      <c r="L1296" s="7">
        <f t="shared" si="4"/>
        <v>34398</v>
      </c>
      <c r="M1296" s="7">
        <f t="shared" si="5"/>
        <v>32964.75</v>
      </c>
      <c r="N1296" s="7">
        <f t="shared" si="6"/>
        <v>31531.5</v>
      </c>
    </row>
    <row r="1297">
      <c r="A1297" s="5" t="s">
        <v>2448</v>
      </c>
      <c r="B1297" s="6"/>
      <c r="C1297" s="5" t="s">
        <v>2564</v>
      </c>
      <c r="D1297" s="5" t="s">
        <v>2643</v>
      </c>
      <c r="E1297" s="8">
        <v>25740.0</v>
      </c>
      <c r="F1297" s="6"/>
      <c r="G1297" s="8">
        <v>17955.0</v>
      </c>
      <c r="H1297" s="5" t="s">
        <v>22</v>
      </c>
      <c r="I1297" s="7">
        <f t="shared" si="1"/>
        <v>26932.5</v>
      </c>
      <c r="J1297" s="7">
        <f t="shared" si="7"/>
        <v>23341.5</v>
      </c>
      <c r="K1297" s="7">
        <f t="shared" si="3"/>
        <v>23341.5</v>
      </c>
      <c r="L1297" s="7">
        <f t="shared" si="4"/>
        <v>21546</v>
      </c>
      <c r="M1297" s="7">
        <f t="shared" si="5"/>
        <v>20648.25</v>
      </c>
      <c r="N1297" s="7">
        <f t="shared" si="6"/>
        <v>19750.5</v>
      </c>
    </row>
    <row r="1298">
      <c r="A1298" s="5" t="s">
        <v>2448</v>
      </c>
      <c r="B1298" s="6"/>
      <c r="C1298" s="5" t="s">
        <v>2644</v>
      </c>
      <c r="D1298" s="5" t="s">
        <v>2645</v>
      </c>
      <c r="E1298" s="8">
        <v>20377.5</v>
      </c>
      <c r="F1298" s="6"/>
      <c r="G1298" s="8">
        <v>14175.0</v>
      </c>
      <c r="H1298" s="5" t="s">
        <v>22</v>
      </c>
      <c r="I1298" s="7">
        <f t="shared" si="1"/>
        <v>21262.5</v>
      </c>
      <c r="J1298" s="7">
        <f t="shared" si="7"/>
        <v>18427.5</v>
      </c>
      <c r="K1298" s="7">
        <f t="shared" si="3"/>
        <v>18427.5</v>
      </c>
      <c r="L1298" s="7">
        <f t="shared" si="4"/>
        <v>17010</v>
      </c>
      <c r="M1298" s="7">
        <f t="shared" si="5"/>
        <v>16301.25</v>
      </c>
      <c r="N1298" s="7">
        <f t="shared" si="6"/>
        <v>15592.5</v>
      </c>
    </row>
    <row r="1299">
      <c r="A1299" s="5" t="s">
        <v>2448</v>
      </c>
      <c r="B1299" s="6"/>
      <c r="C1299" s="5" t="s">
        <v>2646</v>
      </c>
      <c r="D1299" s="5" t="s">
        <v>2647</v>
      </c>
      <c r="E1299" s="8">
        <v>27527.5</v>
      </c>
      <c r="F1299" s="6"/>
      <c r="G1299" s="8">
        <v>19215.0</v>
      </c>
      <c r="H1299" s="5" t="s">
        <v>22</v>
      </c>
      <c r="I1299" s="7">
        <f t="shared" si="1"/>
        <v>28822.5</v>
      </c>
      <c r="J1299" s="7">
        <f t="shared" si="7"/>
        <v>24979.5</v>
      </c>
      <c r="K1299" s="7">
        <f t="shared" si="3"/>
        <v>24979.5</v>
      </c>
      <c r="L1299" s="7">
        <f t="shared" si="4"/>
        <v>23058</v>
      </c>
      <c r="M1299" s="7">
        <f t="shared" si="5"/>
        <v>22097.25</v>
      </c>
      <c r="N1299" s="7">
        <f t="shared" si="6"/>
        <v>21136.5</v>
      </c>
    </row>
    <row r="1300">
      <c r="A1300" s="5" t="s">
        <v>2448</v>
      </c>
      <c r="B1300" s="6"/>
      <c r="C1300" s="5" t="s">
        <v>2648</v>
      </c>
      <c r="D1300" s="5">
        <v>783312.0</v>
      </c>
      <c r="E1300" s="8">
        <v>13585.0</v>
      </c>
      <c r="F1300" s="6"/>
      <c r="G1300" s="8">
        <v>10395.0</v>
      </c>
      <c r="H1300" s="5" t="s">
        <v>22</v>
      </c>
      <c r="I1300" s="7">
        <f t="shared" si="1"/>
        <v>15592.5</v>
      </c>
      <c r="J1300" s="7">
        <f t="shared" si="7"/>
        <v>13513.5</v>
      </c>
      <c r="K1300" s="7">
        <f t="shared" si="3"/>
        <v>13513.5</v>
      </c>
      <c r="L1300" s="7">
        <f t="shared" si="4"/>
        <v>12474</v>
      </c>
      <c r="M1300" s="7">
        <f t="shared" si="5"/>
        <v>11954.25</v>
      </c>
      <c r="N1300" s="7">
        <f t="shared" si="6"/>
        <v>11434.5</v>
      </c>
    </row>
    <row r="1301">
      <c r="A1301" s="5" t="s">
        <v>2448</v>
      </c>
      <c r="B1301" s="6"/>
      <c r="C1301" s="5" t="s">
        <v>2649</v>
      </c>
      <c r="D1301" s="5">
        <v>783313.0</v>
      </c>
      <c r="E1301" s="8">
        <v>51480.0</v>
      </c>
      <c r="F1301" s="6"/>
      <c r="G1301" s="8">
        <v>39123.0</v>
      </c>
      <c r="H1301" s="5" t="s">
        <v>22</v>
      </c>
      <c r="I1301" s="7">
        <f t="shared" si="1"/>
        <v>58684.5</v>
      </c>
      <c r="J1301" s="7">
        <f t="shared" si="7"/>
        <v>50859.9</v>
      </c>
      <c r="K1301" s="7">
        <f t="shared" si="3"/>
        <v>50859.9</v>
      </c>
      <c r="L1301" s="7">
        <f t="shared" si="4"/>
        <v>46947.6</v>
      </c>
      <c r="M1301" s="7">
        <f t="shared" si="5"/>
        <v>44991.45</v>
      </c>
      <c r="N1301" s="7">
        <f t="shared" si="6"/>
        <v>43035.3</v>
      </c>
    </row>
    <row r="1302">
      <c r="A1302" s="5" t="s">
        <v>2448</v>
      </c>
      <c r="B1302" s="6"/>
      <c r="C1302" s="5" t="s">
        <v>2650</v>
      </c>
      <c r="D1302" s="5">
        <v>784716.0</v>
      </c>
      <c r="E1302" s="8">
        <v>100100.0</v>
      </c>
      <c r="F1302" s="6"/>
      <c r="G1302" s="8">
        <v>76230.0</v>
      </c>
      <c r="H1302" s="5" t="s">
        <v>22</v>
      </c>
      <c r="I1302" s="7">
        <f t="shared" si="1"/>
        <v>114345</v>
      </c>
      <c r="J1302" s="7">
        <f t="shared" si="7"/>
        <v>99099</v>
      </c>
      <c r="K1302" s="7">
        <f t="shared" si="3"/>
        <v>99099</v>
      </c>
      <c r="L1302" s="7">
        <f t="shared" si="4"/>
        <v>91476</v>
      </c>
      <c r="M1302" s="7">
        <f t="shared" si="5"/>
        <v>87664.5</v>
      </c>
      <c r="N1302" s="7">
        <f t="shared" si="6"/>
        <v>83853</v>
      </c>
    </row>
    <row r="1303">
      <c r="A1303" s="5" t="s">
        <v>2448</v>
      </c>
      <c r="B1303" s="6"/>
      <c r="C1303" s="5" t="s">
        <v>2651</v>
      </c>
      <c r="D1303" s="5">
        <v>784717.0</v>
      </c>
      <c r="E1303" s="8">
        <v>45045.0</v>
      </c>
      <c r="F1303" s="6"/>
      <c r="G1303" s="8">
        <v>34335.0</v>
      </c>
      <c r="H1303" s="5" t="s">
        <v>22</v>
      </c>
      <c r="I1303" s="7">
        <f t="shared" si="1"/>
        <v>51502.5</v>
      </c>
      <c r="J1303" s="7">
        <f t="shared" si="7"/>
        <v>44635.5</v>
      </c>
      <c r="K1303" s="7">
        <f t="shared" si="3"/>
        <v>44635.5</v>
      </c>
      <c r="L1303" s="7">
        <f t="shared" si="4"/>
        <v>41202</v>
      </c>
      <c r="M1303" s="7">
        <f t="shared" si="5"/>
        <v>39485.25</v>
      </c>
      <c r="N1303" s="7">
        <f t="shared" si="6"/>
        <v>37768.5</v>
      </c>
    </row>
    <row r="1304">
      <c r="A1304" s="5" t="s">
        <v>2448</v>
      </c>
      <c r="B1304" s="6"/>
      <c r="C1304" s="5" t="s">
        <v>2652</v>
      </c>
      <c r="D1304" s="5">
        <v>787531.0</v>
      </c>
      <c r="E1304" s="8">
        <v>11440.0</v>
      </c>
      <c r="F1304" s="6"/>
      <c r="G1304" s="8">
        <v>8631.0</v>
      </c>
      <c r="H1304" s="5" t="s">
        <v>22</v>
      </c>
      <c r="I1304" s="7">
        <f t="shared" si="1"/>
        <v>12946.5</v>
      </c>
      <c r="J1304" s="7">
        <f t="shared" si="7"/>
        <v>11220.3</v>
      </c>
      <c r="K1304" s="7">
        <f t="shared" si="3"/>
        <v>11220.3</v>
      </c>
      <c r="L1304" s="7">
        <f t="shared" si="4"/>
        <v>10357.2</v>
      </c>
      <c r="M1304" s="7">
        <f t="shared" si="5"/>
        <v>9925.65</v>
      </c>
      <c r="N1304" s="7">
        <f t="shared" si="6"/>
        <v>9494.1</v>
      </c>
    </row>
    <row r="1305">
      <c r="A1305" s="5" t="s">
        <v>2448</v>
      </c>
      <c r="B1305" s="6"/>
      <c r="C1305" s="5" t="s">
        <v>2653</v>
      </c>
      <c r="D1305" s="5">
        <v>787532.0</v>
      </c>
      <c r="E1305" s="8">
        <v>25740.0</v>
      </c>
      <c r="F1305" s="6"/>
      <c r="G1305" s="8">
        <v>19467.0</v>
      </c>
      <c r="H1305" s="5" t="s">
        <v>22</v>
      </c>
      <c r="I1305" s="7">
        <f t="shared" si="1"/>
        <v>29200.5</v>
      </c>
      <c r="J1305" s="7">
        <f t="shared" si="7"/>
        <v>25307.1</v>
      </c>
      <c r="K1305" s="7">
        <f t="shared" si="3"/>
        <v>25307.1</v>
      </c>
      <c r="L1305" s="7">
        <f t="shared" si="4"/>
        <v>23360.4</v>
      </c>
      <c r="M1305" s="7">
        <f t="shared" si="5"/>
        <v>22387.05</v>
      </c>
      <c r="N1305" s="7">
        <f t="shared" si="6"/>
        <v>21413.7</v>
      </c>
    </row>
    <row r="1306">
      <c r="A1306" s="5" t="s">
        <v>2448</v>
      </c>
      <c r="B1306" s="6"/>
      <c r="C1306" s="5" t="s">
        <v>2654</v>
      </c>
      <c r="D1306" s="5">
        <v>804473.1</v>
      </c>
      <c r="E1306" s="8">
        <v>14657.5</v>
      </c>
      <c r="F1306" s="6"/>
      <c r="G1306" s="8">
        <v>10143.0</v>
      </c>
      <c r="H1306" s="5" t="s">
        <v>22</v>
      </c>
      <c r="I1306" s="7">
        <f t="shared" si="1"/>
        <v>15214.5</v>
      </c>
      <c r="J1306" s="7">
        <f t="shared" si="7"/>
        <v>13185.9</v>
      </c>
      <c r="K1306" s="7">
        <f t="shared" si="3"/>
        <v>13185.9</v>
      </c>
      <c r="L1306" s="7">
        <f t="shared" si="4"/>
        <v>12171.6</v>
      </c>
      <c r="M1306" s="7">
        <f t="shared" si="5"/>
        <v>11664.45</v>
      </c>
      <c r="N1306" s="7">
        <f t="shared" si="6"/>
        <v>11157.3</v>
      </c>
    </row>
    <row r="1307">
      <c r="A1307" s="5" t="s">
        <v>2448</v>
      </c>
      <c r="B1307" s="6"/>
      <c r="C1307" s="5" t="s">
        <v>2506</v>
      </c>
      <c r="D1307" s="5">
        <v>804744.0</v>
      </c>
      <c r="E1307" s="8">
        <v>135135.0</v>
      </c>
      <c r="F1307" s="6"/>
      <c r="G1307" s="8">
        <v>102690.0</v>
      </c>
      <c r="H1307" s="5" t="s">
        <v>22</v>
      </c>
      <c r="I1307" s="7">
        <f t="shared" si="1"/>
        <v>154035</v>
      </c>
      <c r="J1307" s="7">
        <f t="shared" si="7"/>
        <v>133497</v>
      </c>
      <c r="K1307" s="7">
        <f t="shared" si="3"/>
        <v>133497</v>
      </c>
      <c r="L1307" s="7">
        <f t="shared" si="4"/>
        <v>123228</v>
      </c>
      <c r="M1307" s="7">
        <f t="shared" si="5"/>
        <v>118093.5</v>
      </c>
      <c r="N1307" s="7">
        <f t="shared" si="6"/>
        <v>112959</v>
      </c>
    </row>
    <row r="1308">
      <c r="A1308" s="5" t="s">
        <v>2448</v>
      </c>
      <c r="B1308" s="6"/>
      <c r="C1308" s="5" t="s">
        <v>2655</v>
      </c>
      <c r="D1308" s="5">
        <v>804791.0</v>
      </c>
      <c r="E1308" s="8">
        <v>133705.0</v>
      </c>
      <c r="F1308" s="6"/>
      <c r="G1308" s="8">
        <v>101556.0</v>
      </c>
      <c r="H1308" s="5" t="s">
        <v>22</v>
      </c>
      <c r="I1308" s="7">
        <f t="shared" si="1"/>
        <v>152334</v>
      </c>
      <c r="J1308" s="7">
        <f t="shared" si="7"/>
        <v>132022.8</v>
      </c>
      <c r="K1308" s="7">
        <f t="shared" si="3"/>
        <v>132022.8</v>
      </c>
      <c r="L1308" s="7">
        <f t="shared" si="4"/>
        <v>121867.2</v>
      </c>
      <c r="M1308" s="7">
        <f t="shared" si="5"/>
        <v>116789.4</v>
      </c>
      <c r="N1308" s="7">
        <f t="shared" si="6"/>
        <v>111711.6</v>
      </c>
    </row>
    <row r="1309">
      <c r="A1309" s="5" t="s">
        <v>2448</v>
      </c>
      <c r="B1309" s="6"/>
      <c r="C1309" s="5" t="s">
        <v>2656</v>
      </c>
      <c r="D1309" s="5">
        <v>804867.0</v>
      </c>
      <c r="E1309" s="8">
        <v>23952.5</v>
      </c>
      <c r="F1309" s="6"/>
      <c r="G1309" s="8">
        <v>16695.0</v>
      </c>
      <c r="H1309" s="5" t="s">
        <v>22</v>
      </c>
      <c r="I1309" s="7">
        <f t="shared" si="1"/>
        <v>25042.5</v>
      </c>
      <c r="J1309" s="7">
        <f t="shared" si="7"/>
        <v>21703.5</v>
      </c>
      <c r="K1309" s="7">
        <f t="shared" si="3"/>
        <v>21703.5</v>
      </c>
      <c r="L1309" s="7">
        <f t="shared" si="4"/>
        <v>20034</v>
      </c>
      <c r="M1309" s="7">
        <f t="shared" si="5"/>
        <v>19199.25</v>
      </c>
      <c r="N1309" s="7">
        <f t="shared" si="6"/>
        <v>18364.5</v>
      </c>
    </row>
    <row r="1310">
      <c r="A1310" s="5" t="s">
        <v>2448</v>
      </c>
      <c r="B1310" s="6"/>
      <c r="C1310" s="5" t="s">
        <v>2657</v>
      </c>
      <c r="D1310" s="5" t="s">
        <v>2658</v>
      </c>
      <c r="E1310" s="8">
        <v>10367.5</v>
      </c>
      <c r="F1310" s="6"/>
      <c r="G1310" s="8">
        <v>7182.0</v>
      </c>
      <c r="H1310" s="5" t="s">
        <v>22</v>
      </c>
      <c r="I1310" s="7">
        <f t="shared" si="1"/>
        <v>10773</v>
      </c>
      <c r="J1310" s="7">
        <f t="shared" si="7"/>
        <v>9336.6</v>
      </c>
      <c r="K1310" s="7">
        <f t="shared" si="3"/>
        <v>9336.6</v>
      </c>
      <c r="L1310" s="7">
        <f t="shared" si="4"/>
        <v>8618.4</v>
      </c>
      <c r="M1310" s="7">
        <f t="shared" si="5"/>
        <v>8259.3</v>
      </c>
      <c r="N1310" s="7">
        <f t="shared" si="6"/>
        <v>7900.2</v>
      </c>
    </row>
    <row r="1311">
      <c r="A1311" s="5" t="s">
        <v>2448</v>
      </c>
      <c r="B1311" s="6"/>
      <c r="C1311" s="5" t="s">
        <v>2659</v>
      </c>
      <c r="D1311" s="5" t="s">
        <v>2660</v>
      </c>
      <c r="E1311" s="8">
        <v>208780.0</v>
      </c>
      <c r="F1311" s="6"/>
      <c r="G1311" s="8">
        <v>158697.0</v>
      </c>
      <c r="H1311" s="5" t="s">
        <v>22</v>
      </c>
      <c r="I1311" s="7">
        <f t="shared" si="1"/>
        <v>238045.5</v>
      </c>
      <c r="J1311" s="7">
        <f t="shared" si="7"/>
        <v>206306.1</v>
      </c>
      <c r="K1311" s="7">
        <f t="shared" si="3"/>
        <v>206306.1</v>
      </c>
      <c r="L1311" s="7">
        <f t="shared" si="4"/>
        <v>190436.4</v>
      </c>
      <c r="M1311" s="7">
        <f t="shared" si="5"/>
        <v>182501.55</v>
      </c>
      <c r="N1311" s="7">
        <f t="shared" si="6"/>
        <v>174566.7</v>
      </c>
    </row>
    <row r="1312">
      <c r="A1312" s="5" t="s">
        <v>2448</v>
      </c>
      <c r="B1312" s="6"/>
      <c r="C1312" s="5" t="s">
        <v>2661</v>
      </c>
      <c r="D1312" s="5" t="s">
        <v>2662</v>
      </c>
      <c r="E1312" s="8">
        <v>321750.0</v>
      </c>
      <c r="F1312" s="6"/>
      <c r="G1312" s="8">
        <v>244125.0</v>
      </c>
      <c r="H1312" s="5" t="s">
        <v>22</v>
      </c>
      <c r="I1312" s="7">
        <f t="shared" si="1"/>
        <v>366187.5</v>
      </c>
      <c r="J1312" s="7">
        <f t="shared" si="7"/>
        <v>317362.5</v>
      </c>
      <c r="K1312" s="7">
        <f t="shared" si="3"/>
        <v>317362.5</v>
      </c>
      <c r="L1312" s="7">
        <f t="shared" si="4"/>
        <v>292950</v>
      </c>
      <c r="M1312" s="7">
        <f t="shared" si="5"/>
        <v>280743.75</v>
      </c>
      <c r="N1312" s="7">
        <f t="shared" si="6"/>
        <v>268537.5</v>
      </c>
    </row>
    <row r="1313">
      <c r="A1313" s="5" t="s">
        <v>2448</v>
      </c>
      <c r="B1313" s="6"/>
      <c r="C1313" s="5" t="s">
        <v>2663</v>
      </c>
      <c r="D1313" s="13" t="s">
        <v>2664</v>
      </c>
      <c r="E1313" s="8">
        <v>1404260.0</v>
      </c>
      <c r="F1313" s="6"/>
      <c r="G1313" s="8">
        <v>1031373.0</v>
      </c>
      <c r="H1313" s="5" t="s">
        <v>22</v>
      </c>
      <c r="I1313" s="7">
        <f t="shared" si="1"/>
        <v>1547059.5</v>
      </c>
      <c r="J1313" s="7">
        <f t="shared" si="7"/>
        <v>1340784.9</v>
      </c>
      <c r="K1313" s="7">
        <f t="shared" si="3"/>
        <v>1340784.9</v>
      </c>
      <c r="L1313" s="7">
        <f t="shared" si="4"/>
        <v>1237647.6</v>
      </c>
      <c r="M1313" s="7">
        <f t="shared" si="5"/>
        <v>1186078.95</v>
      </c>
      <c r="N1313" s="7">
        <f t="shared" si="6"/>
        <v>1134510.3</v>
      </c>
    </row>
    <row r="1314">
      <c r="A1314" s="5" t="s">
        <v>2448</v>
      </c>
      <c r="B1314" s="6"/>
      <c r="C1314" s="5" t="s">
        <v>2665</v>
      </c>
      <c r="D1314" s="5" t="s">
        <v>2666</v>
      </c>
      <c r="E1314" s="8">
        <v>316745.0</v>
      </c>
      <c r="F1314" s="6"/>
      <c r="G1314" s="8">
        <v>240723.0</v>
      </c>
      <c r="H1314" s="5" t="s">
        <v>22</v>
      </c>
      <c r="I1314" s="7">
        <f t="shared" si="1"/>
        <v>361084.5</v>
      </c>
      <c r="J1314" s="7">
        <f t="shared" si="7"/>
        <v>312939.9</v>
      </c>
      <c r="K1314" s="7">
        <f t="shared" si="3"/>
        <v>312939.9</v>
      </c>
      <c r="L1314" s="7">
        <f t="shared" si="4"/>
        <v>288867.6</v>
      </c>
      <c r="M1314" s="7">
        <f t="shared" si="5"/>
        <v>276831.45</v>
      </c>
      <c r="N1314" s="7">
        <f t="shared" si="6"/>
        <v>264795.3</v>
      </c>
    </row>
    <row r="1315">
      <c r="A1315" s="5" t="s">
        <v>2448</v>
      </c>
      <c r="B1315" s="6"/>
      <c r="C1315" s="5" t="s">
        <v>2665</v>
      </c>
      <c r="D1315" s="5" t="s">
        <v>2667</v>
      </c>
      <c r="E1315" s="8">
        <v>361075.0</v>
      </c>
      <c r="F1315" s="6"/>
      <c r="G1315" s="8">
        <v>274113.0</v>
      </c>
      <c r="H1315" s="5" t="s">
        <v>22</v>
      </c>
      <c r="I1315" s="7">
        <f t="shared" si="1"/>
        <v>411169.5</v>
      </c>
      <c r="J1315" s="7">
        <f t="shared" si="7"/>
        <v>356346.9</v>
      </c>
      <c r="K1315" s="7">
        <f t="shared" si="3"/>
        <v>356346.9</v>
      </c>
      <c r="L1315" s="7">
        <f t="shared" si="4"/>
        <v>328935.6</v>
      </c>
      <c r="M1315" s="7">
        <f t="shared" si="5"/>
        <v>315229.95</v>
      </c>
      <c r="N1315" s="7">
        <f t="shared" si="6"/>
        <v>301524.3</v>
      </c>
    </row>
    <row r="1316">
      <c r="A1316" s="5" t="s">
        <v>2448</v>
      </c>
      <c r="B1316" s="6"/>
      <c r="C1316" s="5" t="s">
        <v>2668</v>
      </c>
      <c r="D1316" s="5" t="s">
        <v>2669</v>
      </c>
      <c r="E1316" s="8">
        <v>752895.0</v>
      </c>
      <c r="F1316" s="6"/>
      <c r="G1316" s="8">
        <v>546273.0</v>
      </c>
      <c r="H1316" s="5" t="s">
        <v>22</v>
      </c>
      <c r="I1316" s="7">
        <f t="shared" si="1"/>
        <v>819409.5</v>
      </c>
      <c r="J1316" s="7">
        <f t="shared" si="7"/>
        <v>710154.9</v>
      </c>
      <c r="K1316" s="7">
        <f t="shared" si="3"/>
        <v>710154.9</v>
      </c>
      <c r="L1316" s="7">
        <f t="shared" si="4"/>
        <v>655527.6</v>
      </c>
      <c r="M1316" s="7">
        <f t="shared" si="5"/>
        <v>628213.95</v>
      </c>
      <c r="N1316" s="7">
        <f t="shared" si="6"/>
        <v>600900.3</v>
      </c>
    </row>
    <row r="1317">
      <c r="A1317" s="5" t="s">
        <v>2448</v>
      </c>
      <c r="B1317" s="6"/>
      <c r="C1317" s="5" t="s">
        <v>2670</v>
      </c>
      <c r="D1317" s="5" t="s">
        <v>2671</v>
      </c>
      <c r="E1317" s="8">
        <v>192335.0</v>
      </c>
      <c r="F1317" s="6"/>
      <c r="G1317" s="8">
        <v>139986.0</v>
      </c>
      <c r="H1317" s="5" t="s">
        <v>22</v>
      </c>
      <c r="I1317" s="7">
        <f t="shared" si="1"/>
        <v>209979</v>
      </c>
      <c r="J1317" s="7">
        <f t="shared" si="7"/>
        <v>181981.8</v>
      </c>
      <c r="K1317" s="7">
        <f t="shared" si="3"/>
        <v>181981.8</v>
      </c>
      <c r="L1317" s="7">
        <f t="shared" si="4"/>
        <v>167983.2</v>
      </c>
      <c r="M1317" s="7">
        <f t="shared" si="5"/>
        <v>160983.9</v>
      </c>
      <c r="N1317" s="7">
        <f t="shared" si="6"/>
        <v>153984.6</v>
      </c>
    </row>
    <row r="1318">
      <c r="A1318" s="5" t="s">
        <v>2448</v>
      </c>
      <c r="B1318" s="6"/>
      <c r="C1318" s="5" t="s">
        <v>2672</v>
      </c>
      <c r="D1318" s="5">
        <v>781814.0</v>
      </c>
      <c r="E1318" s="8">
        <v>2155.73</v>
      </c>
      <c r="F1318" s="6"/>
      <c r="G1318" s="8">
        <v>1638.0</v>
      </c>
      <c r="H1318" s="5" t="s">
        <v>22</v>
      </c>
      <c r="I1318" s="7">
        <f t="shared" si="1"/>
        <v>2457</v>
      </c>
      <c r="J1318" s="7">
        <f t="shared" si="7"/>
        <v>2129.4</v>
      </c>
      <c r="K1318" s="7">
        <f t="shared" si="3"/>
        <v>2129.4</v>
      </c>
      <c r="L1318" s="7">
        <f t="shared" si="4"/>
        <v>1965.6</v>
      </c>
      <c r="M1318" s="7">
        <f t="shared" si="5"/>
        <v>1883.7</v>
      </c>
      <c r="N1318" s="7">
        <f t="shared" si="6"/>
        <v>1801.8</v>
      </c>
    </row>
    <row r="1319">
      <c r="A1319" s="5" t="s">
        <v>2448</v>
      </c>
      <c r="B1319" s="6"/>
      <c r="C1319" s="5" t="s">
        <v>2670</v>
      </c>
      <c r="D1319" s="5" t="s">
        <v>2673</v>
      </c>
      <c r="E1319" s="8">
        <v>184470.0</v>
      </c>
      <c r="F1319" s="6"/>
      <c r="G1319" s="8">
        <v>124740.0</v>
      </c>
      <c r="H1319" s="5" t="s">
        <v>22</v>
      </c>
      <c r="I1319" s="7">
        <f t="shared" si="1"/>
        <v>187110</v>
      </c>
      <c r="J1319" s="7">
        <f t="shared" si="7"/>
        <v>162162</v>
      </c>
      <c r="K1319" s="7">
        <f t="shared" si="3"/>
        <v>162162</v>
      </c>
      <c r="L1319" s="7">
        <f t="shared" si="4"/>
        <v>149688</v>
      </c>
      <c r="M1319" s="7">
        <f t="shared" si="5"/>
        <v>143451</v>
      </c>
      <c r="N1319" s="7">
        <f t="shared" si="6"/>
        <v>137214</v>
      </c>
    </row>
    <row r="1320">
      <c r="A1320" s="5" t="s">
        <v>2448</v>
      </c>
      <c r="B1320" s="6"/>
      <c r="C1320" s="5" t="s">
        <v>2674</v>
      </c>
      <c r="D1320" s="5">
        <v>782311.0</v>
      </c>
      <c r="E1320" s="8">
        <v>616330.0</v>
      </c>
      <c r="F1320" s="6"/>
      <c r="G1320" s="8">
        <v>467964.0</v>
      </c>
      <c r="H1320" s="5" t="s">
        <v>22</v>
      </c>
      <c r="I1320" s="7">
        <f t="shared" si="1"/>
        <v>701946</v>
      </c>
      <c r="J1320" s="7">
        <f t="shared" si="7"/>
        <v>608353.2</v>
      </c>
      <c r="K1320" s="7">
        <f t="shared" si="3"/>
        <v>608353.2</v>
      </c>
      <c r="L1320" s="7">
        <f t="shared" si="4"/>
        <v>561556.8</v>
      </c>
      <c r="M1320" s="7">
        <f t="shared" si="5"/>
        <v>538158.6</v>
      </c>
      <c r="N1320" s="7">
        <f t="shared" si="6"/>
        <v>514760.4</v>
      </c>
    </row>
    <row r="1321">
      <c r="A1321" s="5" t="s">
        <v>2448</v>
      </c>
      <c r="B1321" s="6"/>
      <c r="C1321" s="5" t="s">
        <v>2675</v>
      </c>
      <c r="D1321" s="5">
        <v>772386.0</v>
      </c>
      <c r="E1321" s="8">
        <v>28957.5</v>
      </c>
      <c r="F1321" s="6"/>
      <c r="G1321" s="8">
        <v>20790.0</v>
      </c>
      <c r="H1321" s="5" t="s">
        <v>22</v>
      </c>
      <c r="I1321" s="7">
        <f t="shared" si="1"/>
        <v>31185</v>
      </c>
      <c r="J1321" s="7">
        <f t="shared" si="7"/>
        <v>27027</v>
      </c>
      <c r="K1321" s="7">
        <f t="shared" si="3"/>
        <v>27027</v>
      </c>
      <c r="L1321" s="7">
        <f t="shared" si="4"/>
        <v>24948</v>
      </c>
      <c r="M1321" s="7">
        <f t="shared" si="5"/>
        <v>23908.5</v>
      </c>
      <c r="N1321" s="7">
        <f t="shared" si="6"/>
        <v>22869</v>
      </c>
    </row>
    <row r="1322">
      <c r="A1322" s="5" t="s">
        <v>2448</v>
      </c>
      <c r="B1322" s="6"/>
      <c r="C1322" s="5" t="s">
        <v>2676</v>
      </c>
      <c r="D1322" s="5">
        <v>772387.0</v>
      </c>
      <c r="E1322" s="8">
        <v>20377.5</v>
      </c>
      <c r="F1322" s="6"/>
      <c r="G1322" s="8">
        <v>14175.0</v>
      </c>
      <c r="H1322" s="5" t="s">
        <v>22</v>
      </c>
      <c r="I1322" s="7">
        <f t="shared" si="1"/>
        <v>21262.5</v>
      </c>
      <c r="J1322" s="7">
        <f t="shared" si="7"/>
        <v>18427.5</v>
      </c>
      <c r="K1322" s="7">
        <f t="shared" si="3"/>
        <v>18427.5</v>
      </c>
      <c r="L1322" s="7">
        <f t="shared" si="4"/>
        <v>17010</v>
      </c>
      <c r="M1322" s="7">
        <f t="shared" si="5"/>
        <v>16301.25</v>
      </c>
      <c r="N1322" s="7">
        <f t="shared" si="6"/>
        <v>15592.5</v>
      </c>
    </row>
    <row r="1323">
      <c r="A1323" s="5" t="s">
        <v>2448</v>
      </c>
      <c r="B1323" s="6"/>
      <c r="C1323" s="5" t="s">
        <v>2677</v>
      </c>
      <c r="D1323" s="5">
        <v>784768.0</v>
      </c>
      <c r="E1323" s="8">
        <v>118690.0</v>
      </c>
      <c r="F1323" s="6"/>
      <c r="G1323" s="8">
        <v>83160.0</v>
      </c>
      <c r="H1323" s="5" t="s">
        <v>22</v>
      </c>
      <c r="I1323" s="7">
        <f t="shared" si="1"/>
        <v>124740</v>
      </c>
      <c r="J1323" s="7">
        <f t="shared" si="7"/>
        <v>108108</v>
      </c>
      <c r="K1323" s="7">
        <f t="shared" si="3"/>
        <v>108108</v>
      </c>
      <c r="L1323" s="7">
        <f t="shared" si="4"/>
        <v>99792</v>
      </c>
      <c r="M1323" s="7">
        <f t="shared" si="5"/>
        <v>95634</v>
      </c>
      <c r="N1323" s="7">
        <f t="shared" si="6"/>
        <v>91476</v>
      </c>
    </row>
    <row r="1324">
      <c r="A1324" s="5" t="s">
        <v>2448</v>
      </c>
      <c r="B1324" s="6"/>
      <c r="C1324" s="5" t="s">
        <v>2678</v>
      </c>
      <c r="D1324" s="5">
        <v>784769.0</v>
      </c>
      <c r="E1324" s="8">
        <v>283855.0</v>
      </c>
      <c r="F1324" s="6"/>
      <c r="G1324" s="8">
        <v>215523.0</v>
      </c>
      <c r="H1324" s="5" t="s">
        <v>22</v>
      </c>
      <c r="I1324" s="7">
        <f t="shared" si="1"/>
        <v>323284.5</v>
      </c>
      <c r="J1324" s="7">
        <f t="shared" si="7"/>
        <v>280179.9</v>
      </c>
      <c r="K1324" s="7">
        <f t="shared" si="3"/>
        <v>280179.9</v>
      </c>
      <c r="L1324" s="7">
        <f t="shared" si="4"/>
        <v>258627.6</v>
      </c>
      <c r="M1324" s="7">
        <f t="shared" si="5"/>
        <v>247851.45</v>
      </c>
      <c r="N1324" s="7">
        <f t="shared" si="6"/>
        <v>237075.3</v>
      </c>
    </row>
    <row r="1325">
      <c r="A1325" s="5" t="s">
        <v>2448</v>
      </c>
      <c r="B1325" s="6"/>
      <c r="C1325" s="5" t="s">
        <v>2679</v>
      </c>
      <c r="D1325" s="5">
        <v>784842.0</v>
      </c>
      <c r="E1325" s="8">
        <v>36465.0</v>
      </c>
      <c r="F1325" s="6"/>
      <c r="G1325" s="8">
        <v>27594.0</v>
      </c>
      <c r="H1325" s="5" t="s">
        <v>22</v>
      </c>
      <c r="I1325" s="7">
        <f t="shared" si="1"/>
        <v>41391</v>
      </c>
      <c r="J1325" s="7">
        <f t="shared" si="7"/>
        <v>35872.2</v>
      </c>
      <c r="K1325" s="7">
        <f t="shared" si="3"/>
        <v>35872.2</v>
      </c>
      <c r="L1325" s="7">
        <f t="shared" si="4"/>
        <v>33112.8</v>
      </c>
      <c r="M1325" s="7">
        <f t="shared" si="5"/>
        <v>31733.1</v>
      </c>
      <c r="N1325" s="7">
        <f t="shared" si="6"/>
        <v>30353.4</v>
      </c>
    </row>
    <row r="1326">
      <c r="A1326" s="5" t="s">
        <v>2448</v>
      </c>
      <c r="B1326" s="6"/>
      <c r="C1326" s="5" t="s">
        <v>2680</v>
      </c>
      <c r="D1326" s="5">
        <v>784853.0</v>
      </c>
      <c r="E1326" s="8">
        <v>556270.0</v>
      </c>
      <c r="F1326" s="6"/>
      <c r="G1326" s="8">
        <v>398160.0</v>
      </c>
      <c r="H1326" s="5" t="s">
        <v>22</v>
      </c>
      <c r="I1326" s="7">
        <f t="shared" si="1"/>
        <v>597240</v>
      </c>
      <c r="J1326" s="7">
        <f t="shared" si="7"/>
        <v>517608</v>
      </c>
      <c r="K1326" s="7">
        <f t="shared" si="3"/>
        <v>517608</v>
      </c>
      <c r="L1326" s="7">
        <f t="shared" si="4"/>
        <v>477792</v>
      </c>
      <c r="M1326" s="7">
        <f t="shared" si="5"/>
        <v>457884</v>
      </c>
      <c r="N1326" s="7">
        <f t="shared" si="6"/>
        <v>437976</v>
      </c>
    </row>
    <row r="1327">
      <c r="A1327" s="5" t="s">
        <v>2448</v>
      </c>
      <c r="B1327" s="6"/>
      <c r="C1327" s="5" t="s">
        <v>2681</v>
      </c>
      <c r="D1327" s="5">
        <v>784871.0</v>
      </c>
      <c r="E1327" s="8">
        <v>28242.5</v>
      </c>
      <c r="F1327" s="6"/>
      <c r="G1327" s="8">
        <v>19845.0</v>
      </c>
      <c r="H1327" s="5" t="s">
        <v>22</v>
      </c>
      <c r="I1327" s="7">
        <f t="shared" si="1"/>
        <v>29767.5</v>
      </c>
      <c r="J1327" s="7">
        <f t="shared" si="7"/>
        <v>25798.5</v>
      </c>
      <c r="K1327" s="7">
        <f t="shared" si="3"/>
        <v>25798.5</v>
      </c>
      <c r="L1327" s="7">
        <f t="shared" si="4"/>
        <v>23814</v>
      </c>
      <c r="M1327" s="7">
        <f t="shared" si="5"/>
        <v>22821.75</v>
      </c>
      <c r="N1327" s="7">
        <f t="shared" si="6"/>
        <v>21829.5</v>
      </c>
    </row>
    <row r="1328">
      <c r="A1328" s="5" t="s">
        <v>2448</v>
      </c>
      <c r="B1328" s="6"/>
      <c r="C1328" s="5" t="s">
        <v>2682</v>
      </c>
      <c r="D1328" s="5">
        <v>789864.0</v>
      </c>
      <c r="E1328" s="8">
        <v>8937.5</v>
      </c>
      <c r="F1328" s="6"/>
      <c r="G1328" s="8">
        <v>6741.0</v>
      </c>
      <c r="H1328" s="5" t="s">
        <v>22</v>
      </c>
      <c r="I1328" s="7">
        <f t="shared" si="1"/>
        <v>10111.5</v>
      </c>
      <c r="J1328" s="7">
        <f t="shared" si="7"/>
        <v>8763.3</v>
      </c>
      <c r="K1328" s="7">
        <f t="shared" si="3"/>
        <v>8763.3</v>
      </c>
      <c r="L1328" s="7">
        <f t="shared" si="4"/>
        <v>8089.2</v>
      </c>
      <c r="M1328" s="7">
        <f t="shared" si="5"/>
        <v>7752.15</v>
      </c>
      <c r="N1328" s="7">
        <f t="shared" si="6"/>
        <v>7415.1</v>
      </c>
    </row>
    <row r="1329">
      <c r="A1329" s="5" t="s">
        <v>2448</v>
      </c>
      <c r="B1329" s="6"/>
      <c r="C1329" s="5" t="s">
        <v>2683</v>
      </c>
      <c r="D1329" s="5">
        <v>784840.1</v>
      </c>
      <c r="E1329" s="8">
        <v>94380.0</v>
      </c>
      <c r="F1329" s="6"/>
      <c r="G1329" s="8">
        <v>72072.0</v>
      </c>
      <c r="H1329" s="5" t="s">
        <v>22</v>
      </c>
      <c r="I1329" s="7">
        <f t="shared" si="1"/>
        <v>108108</v>
      </c>
      <c r="J1329" s="7">
        <f t="shared" si="7"/>
        <v>93693.6</v>
      </c>
      <c r="K1329" s="7">
        <f t="shared" si="3"/>
        <v>93693.6</v>
      </c>
      <c r="L1329" s="7">
        <f t="shared" si="4"/>
        <v>86486.4</v>
      </c>
      <c r="M1329" s="7">
        <f t="shared" si="5"/>
        <v>82882.8</v>
      </c>
      <c r="N1329" s="7">
        <f t="shared" si="6"/>
        <v>79279.2</v>
      </c>
    </row>
    <row r="1330">
      <c r="A1330" s="5" t="s">
        <v>2448</v>
      </c>
      <c r="B1330" s="6"/>
      <c r="C1330" s="5" t="s">
        <v>2684</v>
      </c>
      <c r="D1330" s="5">
        <v>784841.1</v>
      </c>
      <c r="E1330" s="8">
        <v>83655.0</v>
      </c>
      <c r="F1330" s="6"/>
      <c r="G1330" s="8">
        <v>63567.0</v>
      </c>
      <c r="H1330" s="5" t="s">
        <v>22</v>
      </c>
      <c r="I1330" s="7">
        <f t="shared" si="1"/>
        <v>95350.5</v>
      </c>
      <c r="J1330" s="7">
        <f t="shared" si="7"/>
        <v>82637.1</v>
      </c>
      <c r="K1330" s="7">
        <f t="shared" si="3"/>
        <v>82637.1</v>
      </c>
      <c r="L1330" s="7">
        <f t="shared" si="4"/>
        <v>76280.4</v>
      </c>
      <c r="M1330" s="7">
        <f t="shared" si="5"/>
        <v>73102.05</v>
      </c>
      <c r="N1330" s="7">
        <f t="shared" si="6"/>
        <v>69923.7</v>
      </c>
    </row>
    <row r="1331">
      <c r="A1331" s="5" t="s">
        <v>2448</v>
      </c>
      <c r="B1331" s="6"/>
      <c r="C1331" s="5" t="s">
        <v>2685</v>
      </c>
      <c r="D1331" s="5">
        <v>784843.0</v>
      </c>
      <c r="E1331" s="8">
        <v>471900.0</v>
      </c>
      <c r="F1331" s="6"/>
      <c r="G1331" s="8">
        <v>358596.0</v>
      </c>
      <c r="H1331" s="5" t="s">
        <v>22</v>
      </c>
      <c r="I1331" s="7">
        <f t="shared" si="1"/>
        <v>537894</v>
      </c>
      <c r="J1331" s="7">
        <f t="shared" si="7"/>
        <v>466174.8</v>
      </c>
      <c r="K1331" s="7">
        <f t="shared" si="3"/>
        <v>466174.8</v>
      </c>
      <c r="L1331" s="7">
        <f t="shared" si="4"/>
        <v>430315.2</v>
      </c>
      <c r="M1331" s="7">
        <f t="shared" si="5"/>
        <v>412385.4</v>
      </c>
      <c r="N1331" s="7">
        <f t="shared" si="6"/>
        <v>394455.6</v>
      </c>
    </row>
    <row r="1332">
      <c r="A1332" s="5" t="s">
        <v>2448</v>
      </c>
      <c r="B1332" s="6"/>
      <c r="C1332" s="5" t="s">
        <v>2686</v>
      </c>
      <c r="D1332" s="5">
        <v>784850.0</v>
      </c>
      <c r="E1332" s="8">
        <v>268840.0</v>
      </c>
      <c r="F1332" s="6"/>
      <c r="G1332" s="8">
        <v>204246.0</v>
      </c>
      <c r="H1332" s="5" t="s">
        <v>22</v>
      </c>
      <c r="I1332" s="7">
        <f t="shared" si="1"/>
        <v>306369</v>
      </c>
      <c r="J1332" s="7">
        <f t="shared" si="7"/>
        <v>265519.8</v>
      </c>
      <c r="K1332" s="7">
        <f t="shared" si="3"/>
        <v>265519.8</v>
      </c>
      <c r="L1332" s="7">
        <f t="shared" si="4"/>
        <v>245095.2</v>
      </c>
      <c r="M1332" s="7">
        <f t="shared" si="5"/>
        <v>234882.9</v>
      </c>
      <c r="N1332" s="7">
        <f t="shared" si="6"/>
        <v>224670.6</v>
      </c>
    </row>
    <row r="1333">
      <c r="A1333" s="5" t="s">
        <v>2448</v>
      </c>
      <c r="B1333" s="6"/>
      <c r="C1333" s="5" t="s">
        <v>2687</v>
      </c>
      <c r="D1333" s="5">
        <v>784870.0</v>
      </c>
      <c r="E1333" s="8">
        <v>35750.0</v>
      </c>
      <c r="F1333" s="6"/>
      <c r="G1333" s="8">
        <v>25326.0</v>
      </c>
      <c r="H1333" s="5" t="s">
        <v>22</v>
      </c>
      <c r="I1333" s="7">
        <f t="shared" si="1"/>
        <v>37989</v>
      </c>
      <c r="J1333" s="7">
        <f t="shared" si="7"/>
        <v>32923.8</v>
      </c>
      <c r="K1333" s="7">
        <f t="shared" si="3"/>
        <v>32923.8</v>
      </c>
      <c r="L1333" s="7">
        <f t="shared" si="4"/>
        <v>30391.2</v>
      </c>
      <c r="M1333" s="7">
        <f t="shared" si="5"/>
        <v>29124.9</v>
      </c>
      <c r="N1333" s="7">
        <f t="shared" si="6"/>
        <v>27858.6</v>
      </c>
    </row>
    <row r="1334">
      <c r="A1334" s="5" t="s">
        <v>2448</v>
      </c>
      <c r="B1334" s="6"/>
      <c r="C1334" s="5" t="s">
        <v>2688</v>
      </c>
      <c r="D1334" s="5">
        <v>784872.0</v>
      </c>
      <c r="E1334" s="8">
        <v>23952.5</v>
      </c>
      <c r="F1334" s="6"/>
      <c r="G1334" s="8">
        <v>16821.0</v>
      </c>
      <c r="H1334" s="5" t="s">
        <v>22</v>
      </c>
      <c r="I1334" s="7">
        <f t="shared" si="1"/>
        <v>25231.5</v>
      </c>
      <c r="J1334" s="7">
        <f t="shared" si="7"/>
        <v>21867.3</v>
      </c>
      <c r="K1334" s="7">
        <f t="shared" si="3"/>
        <v>21867.3</v>
      </c>
      <c r="L1334" s="7">
        <f t="shared" si="4"/>
        <v>20185.2</v>
      </c>
      <c r="M1334" s="7">
        <f t="shared" si="5"/>
        <v>19344.15</v>
      </c>
      <c r="N1334" s="7">
        <f t="shared" si="6"/>
        <v>18503.1</v>
      </c>
    </row>
    <row r="1335">
      <c r="A1335" s="5" t="s">
        <v>2448</v>
      </c>
      <c r="B1335" s="6"/>
      <c r="C1335" s="5" t="s">
        <v>2689</v>
      </c>
      <c r="D1335" s="5">
        <v>13611.0</v>
      </c>
      <c r="E1335" s="8">
        <v>1416415.0</v>
      </c>
      <c r="F1335" s="6"/>
      <c r="G1335" s="8">
        <v>992250.0</v>
      </c>
      <c r="H1335" s="5" t="s">
        <v>22</v>
      </c>
      <c r="I1335" s="7">
        <f t="shared" si="1"/>
        <v>1488375</v>
      </c>
      <c r="J1335" s="7">
        <f t="shared" si="7"/>
        <v>1289925</v>
      </c>
      <c r="K1335" s="7">
        <f t="shared" si="3"/>
        <v>1289925</v>
      </c>
      <c r="L1335" s="7">
        <f t="shared" si="4"/>
        <v>1190700</v>
      </c>
      <c r="M1335" s="7">
        <f t="shared" si="5"/>
        <v>1141087.5</v>
      </c>
      <c r="N1335" s="7">
        <f t="shared" si="6"/>
        <v>1091475</v>
      </c>
    </row>
    <row r="1336">
      <c r="A1336" s="5" t="s">
        <v>2448</v>
      </c>
      <c r="B1336" s="6"/>
      <c r="C1336" s="5" t="s">
        <v>2690</v>
      </c>
      <c r="D1336" s="5">
        <v>13612.0</v>
      </c>
      <c r="E1336" s="8">
        <v>1110395.0</v>
      </c>
      <c r="F1336" s="6"/>
      <c r="G1336" s="8">
        <v>778050.0</v>
      </c>
      <c r="H1336" s="5" t="s">
        <v>22</v>
      </c>
      <c r="I1336" s="7">
        <f t="shared" si="1"/>
        <v>1167075</v>
      </c>
      <c r="J1336" s="7">
        <f t="shared" si="7"/>
        <v>1011465</v>
      </c>
      <c r="K1336" s="7">
        <f t="shared" si="3"/>
        <v>1011465</v>
      </c>
      <c r="L1336" s="7">
        <f t="shared" si="4"/>
        <v>933660</v>
      </c>
      <c r="M1336" s="7">
        <f t="shared" si="5"/>
        <v>894757.5</v>
      </c>
      <c r="N1336" s="7">
        <f t="shared" si="6"/>
        <v>855855</v>
      </c>
    </row>
    <row r="1337">
      <c r="A1337" s="5" t="s">
        <v>2448</v>
      </c>
      <c r="B1337" s="6"/>
      <c r="C1337" s="5" t="s">
        <v>2691</v>
      </c>
      <c r="D1337" s="5">
        <v>13618.0</v>
      </c>
      <c r="E1337" s="8">
        <v>539110.0</v>
      </c>
      <c r="F1337" s="6"/>
      <c r="G1337" s="8">
        <v>378000.0</v>
      </c>
      <c r="H1337" s="5" t="s">
        <v>22</v>
      </c>
      <c r="I1337" s="7">
        <f t="shared" si="1"/>
        <v>567000</v>
      </c>
      <c r="J1337" s="7">
        <f t="shared" si="7"/>
        <v>491400</v>
      </c>
      <c r="K1337" s="7">
        <f t="shared" si="3"/>
        <v>491400</v>
      </c>
      <c r="L1337" s="7">
        <f t="shared" si="4"/>
        <v>453600</v>
      </c>
      <c r="M1337" s="7">
        <f t="shared" si="5"/>
        <v>434700</v>
      </c>
      <c r="N1337" s="7">
        <f t="shared" si="6"/>
        <v>415800</v>
      </c>
    </row>
    <row r="1338">
      <c r="A1338" s="5" t="s">
        <v>2448</v>
      </c>
      <c r="B1338" s="6"/>
      <c r="C1338" s="5" t="s">
        <v>2692</v>
      </c>
      <c r="D1338" s="5">
        <v>13625.0</v>
      </c>
      <c r="E1338" s="8">
        <v>951665.0</v>
      </c>
      <c r="F1338" s="6"/>
      <c r="G1338" s="8">
        <v>681030.0</v>
      </c>
      <c r="H1338" s="5" t="s">
        <v>22</v>
      </c>
      <c r="I1338" s="7">
        <f t="shared" si="1"/>
        <v>1021545</v>
      </c>
      <c r="J1338" s="7">
        <f t="shared" si="7"/>
        <v>885339</v>
      </c>
      <c r="K1338" s="7">
        <f t="shared" si="3"/>
        <v>885339</v>
      </c>
      <c r="L1338" s="7">
        <f t="shared" si="4"/>
        <v>817236</v>
      </c>
      <c r="M1338" s="7">
        <f t="shared" si="5"/>
        <v>783184.5</v>
      </c>
      <c r="N1338" s="7">
        <f t="shared" si="6"/>
        <v>749133</v>
      </c>
    </row>
    <row r="1339">
      <c r="A1339" s="5" t="s">
        <v>2448</v>
      </c>
      <c r="B1339" s="6"/>
      <c r="C1339" s="5" t="s">
        <v>2693</v>
      </c>
      <c r="D1339" s="5">
        <v>13626.0</v>
      </c>
      <c r="E1339" s="8">
        <v>167310.0</v>
      </c>
      <c r="F1339" s="6"/>
      <c r="G1339" s="8">
        <v>681030.0</v>
      </c>
      <c r="H1339" s="5" t="s">
        <v>22</v>
      </c>
      <c r="I1339" s="7">
        <f t="shared" si="1"/>
        <v>1021545</v>
      </c>
      <c r="J1339" s="7">
        <f t="shared" si="7"/>
        <v>885339</v>
      </c>
      <c r="K1339" s="7">
        <f t="shared" si="3"/>
        <v>885339</v>
      </c>
      <c r="L1339" s="7">
        <f t="shared" si="4"/>
        <v>817236</v>
      </c>
      <c r="M1339" s="7">
        <f t="shared" si="5"/>
        <v>783184.5</v>
      </c>
      <c r="N1339" s="7">
        <f t="shared" si="6"/>
        <v>749133</v>
      </c>
    </row>
    <row r="1340">
      <c r="A1340" s="5" t="s">
        <v>2448</v>
      </c>
      <c r="B1340" s="6"/>
      <c r="C1340" s="5" t="s">
        <v>2694</v>
      </c>
      <c r="D1340" s="5">
        <v>13631.0</v>
      </c>
      <c r="E1340" s="8">
        <v>1408550.0</v>
      </c>
      <c r="F1340" s="6"/>
      <c r="G1340" s="8">
        <v>117180.0</v>
      </c>
      <c r="H1340" s="5" t="s">
        <v>22</v>
      </c>
      <c r="I1340" s="7">
        <f t="shared" si="1"/>
        <v>175770</v>
      </c>
      <c r="J1340" s="7">
        <f t="shared" si="7"/>
        <v>152334</v>
      </c>
      <c r="K1340" s="7">
        <f t="shared" si="3"/>
        <v>152334</v>
      </c>
      <c r="L1340" s="7">
        <f t="shared" si="4"/>
        <v>140616</v>
      </c>
      <c r="M1340" s="7">
        <f t="shared" si="5"/>
        <v>134757</v>
      </c>
      <c r="N1340" s="7">
        <f t="shared" si="6"/>
        <v>128898</v>
      </c>
    </row>
    <row r="1341">
      <c r="A1341" s="5" t="s">
        <v>2448</v>
      </c>
      <c r="B1341" s="6"/>
      <c r="C1341" s="5" t="s">
        <v>2695</v>
      </c>
      <c r="D1341" s="5">
        <v>13636.0</v>
      </c>
      <c r="E1341" s="8">
        <v>1002430.0</v>
      </c>
      <c r="F1341" s="6"/>
      <c r="G1341" s="8">
        <v>985950.0</v>
      </c>
      <c r="H1341" s="5" t="s">
        <v>22</v>
      </c>
      <c r="I1341" s="7">
        <f t="shared" si="1"/>
        <v>1478925</v>
      </c>
      <c r="J1341" s="7">
        <f t="shared" si="7"/>
        <v>1281735</v>
      </c>
      <c r="K1341" s="7">
        <f t="shared" si="3"/>
        <v>1281735</v>
      </c>
      <c r="L1341" s="7">
        <f t="shared" si="4"/>
        <v>1183140</v>
      </c>
      <c r="M1341" s="7">
        <f t="shared" si="5"/>
        <v>1133842.5</v>
      </c>
      <c r="N1341" s="7">
        <f t="shared" si="6"/>
        <v>1084545</v>
      </c>
    </row>
    <row r="1342">
      <c r="A1342" s="5" t="s">
        <v>2448</v>
      </c>
      <c r="B1342" s="6"/>
      <c r="C1342" s="5" t="s">
        <v>2696</v>
      </c>
      <c r="D1342" s="5">
        <v>13405.2</v>
      </c>
      <c r="E1342" s="8">
        <v>84370.0</v>
      </c>
      <c r="F1342" s="6"/>
      <c r="G1342" s="8">
        <v>702450.0</v>
      </c>
      <c r="H1342" s="5" t="s">
        <v>22</v>
      </c>
      <c r="I1342" s="7">
        <f t="shared" si="1"/>
        <v>1053675</v>
      </c>
      <c r="J1342" s="7">
        <f t="shared" si="7"/>
        <v>913185</v>
      </c>
      <c r="K1342" s="7">
        <f t="shared" si="3"/>
        <v>913185</v>
      </c>
      <c r="L1342" s="7">
        <f t="shared" si="4"/>
        <v>842940</v>
      </c>
      <c r="M1342" s="7">
        <f t="shared" si="5"/>
        <v>807817.5</v>
      </c>
      <c r="N1342" s="7">
        <f t="shared" si="6"/>
        <v>772695</v>
      </c>
    </row>
    <row r="1343">
      <c r="A1343" s="5" t="s">
        <v>2448</v>
      </c>
      <c r="B1343" s="6"/>
      <c r="C1343" s="5" t="s">
        <v>2697</v>
      </c>
      <c r="D1343" s="5">
        <v>13616.0</v>
      </c>
      <c r="E1343" s="8">
        <v>408980.0</v>
      </c>
      <c r="F1343" s="6"/>
      <c r="G1343" s="8">
        <v>59850.0</v>
      </c>
      <c r="H1343" s="5" t="s">
        <v>22</v>
      </c>
      <c r="I1343" s="7">
        <f t="shared" si="1"/>
        <v>89775</v>
      </c>
      <c r="J1343" s="7">
        <f t="shared" si="7"/>
        <v>77805</v>
      </c>
      <c r="K1343" s="7">
        <f t="shared" si="3"/>
        <v>77805</v>
      </c>
      <c r="L1343" s="7">
        <f t="shared" si="4"/>
        <v>71820</v>
      </c>
      <c r="M1343" s="7">
        <f t="shared" si="5"/>
        <v>68827.5</v>
      </c>
      <c r="N1343" s="7">
        <f t="shared" si="6"/>
        <v>65835</v>
      </c>
    </row>
    <row r="1344">
      <c r="A1344" s="5" t="s">
        <v>2448</v>
      </c>
      <c r="B1344" s="6"/>
      <c r="C1344" s="5" t="s">
        <v>2698</v>
      </c>
      <c r="D1344" s="5">
        <v>13635.0</v>
      </c>
      <c r="E1344" s="8">
        <v>537680.0</v>
      </c>
      <c r="F1344" s="6"/>
      <c r="G1344" s="8">
        <v>292320.0</v>
      </c>
      <c r="H1344" s="5" t="s">
        <v>22</v>
      </c>
      <c r="I1344" s="7">
        <f t="shared" si="1"/>
        <v>438480</v>
      </c>
      <c r="J1344" s="7">
        <f t="shared" si="7"/>
        <v>380016</v>
      </c>
      <c r="K1344" s="7">
        <f t="shared" si="3"/>
        <v>380016</v>
      </c>
      <c r="L1344" s="7">
        <f t="shared" si="4"/>
        <v>350784</v>
      </c>
      <c r="M1344" s="7">
        <f t="shared" si="5"/>
        <v>336168</v>
      </c>
      <c r="N1344" s="7">
        <f t="shared" si="6"/>
        <v>321552</v>
      </c>
    </row>
    <row r="1345">
      <c r="A1345" s="5" t="s">
        <v>2448</v>
      </c>
      <c r="B1345" s="6"/>
      <c r="C1345" s="5" t="s">
        <v>2699</v>
      </c>
      <c r="D1345" s="5">
        <v>805573.0</v>
      </c>
      <c r="E1345" s="8">
        <v>5755.75</v>
      </c>
      <c r="F1345" s="6"/>
      <c r="G1345" s="8">
        <v>2268.0</v>
      </c>
      <c r="H1345" s="5" t="s">
        <v>22</v>
      </c>
      <c r="I1345" s="7">
        <f t="shared" si="1"/>
        <v>3402</v>
      </c>
      <c r="J1345" s="7">
        <f t="shared" si="7"/>
        <v>2948.4</v>
      </c>
      <c r="K1345" s="7">
        <f t="shared" si="3"/>
        <v>2948.4</v>
      </c>
      <c r="L1345" s="7">
        <f t="shared" si="4"/>
        <v>2721.6</v>
      </c>
      <c r="M1345" s="7">
        <f t="shared" si="5"/>
        <v>2608.2</v>
      </c>
      <c r="N1345" s="7">
        <f t="shared" si="6"/>
        <v>2494.8</v>
      </c>
    </row>
    <row r="1346">
      <c r="A1346" s="5" t="s">
        <v>2448</v>
      </c>
      <c r="B1346" s="6"/>
      <c r="C1346" s="5" t="s">
        <v>2700</v>
      </c>
      <c r="D1346" s="5">
        <v>805576.0</v>
      </c>
      <c r="E1346" s="8">
        <v>1018.88</v>
      </c>
      <c r="F1346" s="6"/>
      <c r="G1346" s="8">
        <v>4032.0</v>
      </c>
      <c r="H1346" s="5" t="s">
        <v>22</v>
      </c>
      <c r="I1346" s="7">
        <f t="shared" si="1"/>
        <v>6048</v>
      </c>
      <c r="J1346" s="7">
        <f t="shared" si="7"/>
        <v>5241.6</v>
      </c>
      <c r="K1346" s="7">
        <f t="shared" si="3"/>
        <v>5241.6</v>
      </c>
      <c r="L1346" s="7">
        <f t="shared" si="4"/>
        <v>4838.4</v>
      </c>
      <c r="M1346" s="7">
        <f t="shared" si="5"/>
        <v>4636.8</v>
      </c>
      <c r="N1346" s="7">
        <f t="shared" si="6"/>
        <v>4435.2</v>
      </c>
    </row>
    <row r="1347">
      <c r="A1347" s="5" t="s">
        <v>2448</v>
      </c>
      <c r="B1347" s="6"/>
      <c r="C1347" s="5" t="s">
        <v>2701</v>
      </c>
      <c r="D1347" s="5">
        <v>805590.0</v>
      </c>
      <c r="E1347" s="8">
        <v>1072.5</v>
      </c>
      <c r="F1347" s="6"/>
      <c r="G1347" s="5">
        <v>730.8</v>
      </c>
      <c r="H1347" s="5" t="s">
        <v>22</v>
      </c>
      <c r="I1347" s="7">
        <f t="shared" si="1"/>
        <v>1096.2</v>
      </c>
      <c r="J1347" s="7">
        <f t="shared" si="7"/>
        <v>950.04</v>
      </c>
      <c r="K1347" s="7">
        <f t="shared" si="3"/>
        <v>950.04</v>
      </c>
      <c r="L1347" s="7">
        <f t="shared" si="4"/>
        <v>876.96</v>
      </c>
      <c r="M1347" s="7">
        <f t="shared" si="5"/>
        <v>840.42</v>
      </c>
      <c r="N1347" s="7">
        <f t="shared" si="6"/>
        <v>803.88</v>
      </c>
    </row>
    <row r="1348">
      <c r="A1348" s="5" t="s">
        <v>2448</v>
      </c>
      <c r="B1348" s="6"/>
      <c r="C1348" s="5" t="s">
        <v>2557</v>
      </c>
      <c r="D1348" s="13" t="s">
        <v>2558</v>
      </c>
      <c r="E1348" s="8">
        <v>1458.6</v>
      </c>
      <c r="F1348" s="6"/>
      <c r="G1348" s="5">
        <v>752.85</v>
      </c>
      <c r="H1348" s="5" t="s">
        <v>22</v>
      </c>
      <c r="I1348" s="7">
        <f t="shared" si="1"/>
        <v>1129.275</v>
      </c>
      <c r="J1348" s="7">
        <f t="shared" si="7"/>
        <v>978.705</v>
      </c>
      <c r="K1348" s="7">
        <f t="shared" si="3"/>
        <v>978.705</v>
      </c>
      <c r="L1348" s="7">
        <f t="shared" si="4"/>
        <v>903.42</v>
      </c>
      <c r="M1348" s="7">
        <f t="shared" si="5"/>
        <v>865.7775</v>
      </c>
      <c r="N1348" s="7">
        <f t="shared" si="6"/>
        <v>828.135</v>
      </c>
    </row>
    <row r="1349">
      <c r="A1349" s="5" t="s">
        <v>2448</v>
      </c>
      <c r="B1349" s="6"/>
      <c r="C1349" s="5" t="s">
        <v>2559</v>
      </c>
      <c r="D1349" s="5">
        <v>805591.0</v>
      </c>
      <c r="E1349" s="8">
        <v>5219.5</v>
      </c>
      <c r="F1349" s="6"/>
      <c r="G1349" s="8">
        <v>1071.0</v>
      </c>
      <c r="H1349" s="5" t="s">
        <v>22</v>
      </c>
      <c r="I1349" s="7">
        <f t="shared" si="1"/>
        <v>1606.5</v>
      </c>
      <c r="J1349" s="7">
        <f t="shared" si="7"/>
        <v>1392.3</v>
      </c>
      <c r="K1349" s="7">
        <f t="shared" si="3"/>
        <v>1392.3</v>
      </c>
      <c r="L1349" s="7">
        <f t="shared" si="4"/>
        <v>1285.2</v>
      </c>
      <c r="M1349" s="7">
        <f t="shared" si="5"/>
        <v>1231.65</v>
      </c>
      <c r="N1349" s="7">
        <f t="shared" si="6"/>
        <v>1178.1</v>
      </c>
    </row>
    <row r="1350">
      <c r="A1350" s="5" t="s">
        <v>2448</v>
      </c>
      <c r="B1350" s="6"/>
      <c r="C1350" s="5" t="s">
        <v>2561</v>
      </c>
      <c r="D1350" s="13" t="s">
        <v>2562</v>
      </c>
      <c r="E1350" s="8">
        <v>5219.5</v>
      </c>
      <c r="F1350" s="6"/>
      <c r="G1350" s="8">
        <v>3969.0</v>
      </c>
      <c r="H1350" s="5" t="s">
        <v>22</v>
      </c>
      <c r="I1350" s="7">
        <f t="shared" si="1"/>
        <v>5953.5</v>
      </c>
      <c r="J1350" s="7">
        <f t="shared" si="7"/>
        <v>5159.7</v>
      </c>
      <c r="K1350" s="7">
        <f t="shared" si="3"/>
        <v>5159.7</v>
      </c>
      <c r="L1350" s="7">
        <f t="shared" si="4"/>
        <v>4762.8</v>
      </c>
      <c r="M1350" s="7">
        <f t="shared" si="5"/>
        <v>4564.35</v>
      </c>
      <c r="N1350" s="7">
        <f t="shared" si="6"/>
        <v>4365.9</v>
      </c>
    </row>
    <row r="1351">
      <c r="A1351" s="5" t="s">
        <v>2448</v>
      </c>
      <c r="B1351" s="6"/>
      <c r="C1351" s="5" t="s">
        <v>2563</v>
      </c>
      <c r="D1351" s="5">
        <v>805572.5</v>
      </c>
      <c r="E1351" s="8">
        <v>1447.88</v>
      </c>
      <c r="F1351" s="6"/>
      <c r="G1351" s="8">
        <v>3550.05</v>
      </c>
      <c r="H1351" s="5" t="s">
        <v>22</v>
      </c>
      <c r="I1351" s="7">
        <f t="shared" si="1"/>
        <v>5325.075</v>
      </c>
      <c r="J1351" s="7">
        <f t="shared" si="7"/>
        <v>4615.065</v>
      </c>
      <c r="K1351" s="7">
        <f t="shared" si="3"/>
        <v>4615.065</v>
      </c>
      <c r="L1351" s="7">
        <f t="shared" si="4"/>
        <v>4260.06</v>
      </c>
      <c r="M1351" s="7">
        <f t="shared" si="5"/>
        <v>4082.5575</v>
      </c>
      <c r="N1351" s="7">
        <f t="shared" si="6"/>
        <v>3905.055</v>
      </c>
    </row>
    <row r="1352">
      <c r="A1352" s="5" t="s">
        <v>2448</v>
      </c>
      <c r="B1352" s="6"/>
      <c r="C1352" s="5" t="s">
        <v>2702</v>
      </c>
      <c r="D1352" s="5">
        <v>704900.0</v>
      </c>
      <c r="E1352" s="8">
        <v>1522.95</v>
      </c>
      <c r="F1352" s="6"/>
      <c r="G1352" s="8">
        <v>107982.0</v>
      </c>
      <c r="H1352" s="5" t="s">
        <v>22</v>
      </c>
      <c r="I1352" s="7">
        <f t="shared" si="1"/>
        <v>161973</v>
      </c>
      <c r="J1352" s="7">
        <f t="shared" si="7"/>
        <v>140376.6</v>
      </c>
      <c r="K1352" s="7">
        <f t="shared" si="3"/>
        <v>140376.6</v>
      </c>
      <c r="L1352" s="7">
        <f t="shared" si="4"/>
        <v>129578.4</v>
      </c>
      <c r="M1352" s="7">
        <f t="shared" si="5"/>
        <v>124179.3</v>
      </c>
      <c r="N1352" s="7">
        <f t="shared" si="6"/>
        <v>118780.2</v>
      </c>
    </row>
    <row r="1353">
      <c r="A1353" s="5" t="s">
        <v>2448</v>
      </c>
      <c r="B1353" s="6"/>
      <c r="C1353" s="5" t="s">
        <v>2703</v>
      </c>
      <c r="D1353" s="5">
        <v>704960.0</v>
      </c>
      <c r="E1353" s="8">
        <v>3353.35</v>
      </c>
      <c r="F1353" s="6"/>
      <c r="G1353" s="8">
        <v>58905.0</v>
      </c>
      <c r="H1353" s="5" t="s">
        <v>22</v>
      </c>
      <c r="I1353" s="7">
        <f t="shared" si="1"/>
        <v>88357.5</v>
      </c>
      <c r="J1353" s="7">
        <f t="shared" si="7"/>
        <v>76576.5</v>
      </c>
      <c r="K1353" s="7">
        <f t="shared" si="3"/>
        <v>76576.5</v>
      </c>
      <c r="L1353" s="7">
        <f t="shared" si="4"/>
        <v>70686</v>
      </c>
      <c r="M1353" s="7">
        <f t="shared" si="5"/>
        <v>67740.75</v>
      </c>
      <c r="N1353" s="7">
        <f t="shared" si="6"/>
        <v>64795.5</v>
      </c>
    </row>
    <row r="1354">
      <c r="A1354" s="5" t="s">
        <v>2448</v>
      </c>
      <c r="B1354" s="6"/>
      <c r="C1354" s="5" t="s">
        <v>2704</v>
      </c>
      <c r="D1354" s="5">
        <v>704965.0</v>
      </c>
      <c r="E1354" s="8">
        <v>2738.45</v>
      </c>
      <c r="F1354" s="6"/>
      <c r="G1354" s="8">
        <v>50337.0</v>
      </c>
      <c r="H1354" s="5" t="s">
        <v>22</v>
      </c>
      <c r="I1354" s="7">
        <f t="shared" si="1"/>
        <v>75505.5</v>
      </c>
      <c r="J1354" s="7">
        <f t="shared" si="7"/>
        <v>65438.1</v>
      </c>
      <c r="K1354" s="7">
        <f t="shared" si="3"/>
        <v>65438.1</v>
      </c>
      <c r="L1354" s="7">
        <f t="shared" si="4"/>
        <v>60404.4</v>
      </c>
      <c r="M1354" s="7">
        <f t="shared" si="5"/>
        <v>57887.55</v>
      </c>
      <c r="N1354" s="7">
        <f t="shared" si="6"/>
        <v>55370.7</v>
      </c>
    </row>
    <row r="1355">
      <c r="A1355" s="5" t="s">
        <v>2448</v>
      </c>
      <c r="B1355" s="6"/>
      <c r="C1355" s="5" t="s">
        <v>2705</v>
      </c>
      <c r="D1355" s="5">
        <v>704980.0</v>
      </c>
      <c r="E1355" s="5">
        <v>890.18</v>
      </c>
      <c r="F1355" s="6"/>
      <c r="G1355" s="8">
        <v>1064.7</v>
      </c>
      <c r="H1355" s="5" t="s">
        <v>22</v>
      </c>
      <c r="I1355" s="7">
        <f t="shared" si="1"/>
        <v>1597.05</v>
      </c>
      <c r="J1355" s="7">
        <f t="shared" si="7"/>
        <v>1384.11</v>
      </c>
      <c r="K1355" s="7">
        <f t="shared" si="3"/>
        <v>1384.11</v>
      </c>
      <c r="L1355" s="7">
        <f t="shared" si="4"/>
        <v>1277.64</v>
      </c>
      <c r="M1355" s="7">
        <f t="shared" si="5"/>
        <v>1224.405</v>
      </c>
      <c r="N1355" s="7">
        <f t="shared" si="6"/>
        <v>1171.17</v>
      </c>
    </row>
    <row r="1356">
      <c r="A1356" s="5" t="s">
        <v>2448</v>
      </c>
      <c r="B1356" s="6"/>
      <c r="C1356" s="5" t="s">
        <v>2705</v>
      </c>
      <c r="D1356" s="5">
        <v>704981.0</v>
      </c>
      <c r="E1356" s="8">
        <v>1522.95</v>
      </c>
      <c r="F1356" s="6"/>
      <c r="G1356" s="8">
        <v>2356.2</v>
      </c>
      <c r="H1356" s="5" t="s">
        <v>22</v>
      </c>
      <c r="I1356" s="7">
        <f t="shared" si="1"/>
        <v>3534.3</v>
      </c>
      <c r="J1356" s="7">
        <f t="shared" si="7"/>
        <v>3063.06</v>
      </c>
      <c r="K1356" s="7">
        <f t="shared" si="3"/>
        <v>3063.06</v>
      </c>
      <c r="L1356" s="7">
        <f t="shared" si="4"/>
        <v>2827.44</v>
      </c>
      <c r="M1356" s="7">
        <f t="shared" si="5"/>
        <v>2709.63</v>
      </c>
      <c r="N1356" s="7">
        <f t="shared" si="6"/>
        <v>2591.82</v>
      </c>
    </row>
    <row r="1357">
      <c r="A1357" s="5" t="s">
        <v>2448</v>
      </c>
      <c r="B1357" s="6"/>
      <c r="C1357" s="5" t="s">
        <v>2706</v>
      </c>
      <c r="D1357" s="5">
        <v>769914.0</v>
      </c>
      <c r="E1357" s="8">
        <v>1072.5</v>
      </c>
      <c r="F1357" s="6"/>
      <c r="G1357" s="8">
        <v>2079.0</v>
      </c>
      <c r="H1357" s="5" t="s">
        <v>22</v>
      </c>
      <c r="I1357" s="7">
        <f t="shared" si="1"/>
        <v>3118.5</v>
      </c>
      <c r="J1357" s="7">
        <f t="shared" si="7"/>
        <v>2702.7</v>
      </c>
      <c r="K1357" s="7">
        <f t="shared" si="3"/>
        <v>2702.7</v>
      </c>
      <c r="L1357" s="7">
        <f t="shared" si="4"/>
        <v>2494.8</v>
      </c>
      <c r="M1357" s="7">
        <f t="shared" si="5"/>
        <v>2390.85</v>
      </c>
      <c r="N1357" s="7">
        <f t="shared" si="6"/>
        <v>2286.9</v>
      </c>
    </row>
    <row r="1358">
      <c r="A1358" s="5" t="s">
        <v>2448</v>
      </c>
      <c r="B1358" s="6"/>
      <c r="C1358" s="5" t="s">
        <v>2707</v>
      </c>
      <c r="D1358" s="5">
        <v>782426.0</v>
      </c>
      <c r="E1358" s="8">
        <v>59702.5</v>
      </c>
      <c r="F1358" s="6"/>
      <c r="G1358" s="5">
        <v>633.15</v>
      </c>
      <c r="H1358" s="5" t="s">
        <v>22</v>
      </c>
      <c r="I1358" s="7">
        <f t="shared" si="1"/>
        <v>949.725</v>
      </c>
      <c r="J1358" s="7">
        <f t="shared" si="7"/>
        <v>823.095</v>
      </c>
      <c r="K1358" s="7">
        <f t="shared" si="3"/>
        <v>823.095</v>
      </c>
      <c r="L1358" s="7">
        <f t="shared" si="4"/>
        <v>759.78</v>
      </c>
      <c r="M1358" s="7">
        <f t="shared" si="5"/>
        <v>728.1225</v>
      </c>
      <c r="N1358" s="7">
        <f t="shared" si="6"/>
        <v>696.465</v>
      </c>
    </row>
    <row r="1359">
      <c r="A1359" s="5" t="s">
        <v>2448</v>
      </c>
      <c r="B1359" s="6"/>
      <c r="C1359" s="5" t="s">
        <v>2708</v>
      </c>
      <c r="D1359" s="5">
        <v>788600.0</v>
      </c>
      <c r="E1359" s="8">
        <v>4576.0</v>
      </c>
      <c r="F1359" s="6"/>
      <c r="G1359" s="8">
        <v>1064.7</v>
      </c>
      <c r="H1359" s="5" t="s">
        <v>22</v>
      </c>
      <c r="I1359" s="7">
        <f t="shared" si="1"/>
        <v>1597.05</v>
      </c>
      <c r="J1359" s="7">
        <f t="shared" si="7"/>
        <v>1384.11</v>
      </c>
      <c r="K1359" s="7">
        <f t="shared" si="3"/>
        <v>1384.11</v>
      </c>
      <c r="L1359" s="7">
        <f t="shared" si="4"/>
        <v>1277.64</v>
      </c>
      <c r="M1359" s="7">
        <f t="shared" si="5"/>
        <v>1224.405</v>
      </c>
      <c r="N1359" s="7">
        <f t="shared" si="6"/>
        <v>1171.17</v>
      </c>
    </row>
    <row r="1360">
      <c r="A1360" s="5" t="s">
        <v>2448</v>
      </c>
      <c r="B1360" s="6"/>
      <c r="C1360" s="5" t="s">
        <v>2709</v>
      </c>
      <c r="D1360" s="5">
        <v>788606.0</v>
      </c>
      <c r="E1360" s="8">
        <v>19662.5</v>
      </c>
      <c r="F1360" s="6"/>
      <c r="G1360" s="5">
        <v>768.6</v>
      </c>
      <c r="H1360" s="5" t="s">
        <v>22</v>
      </c>
      <c r="I1360" s="7">
        <f t="shared" si="1"/>
        <v>1152.9</v>
      </c>
      <c r="J1360" s="7">
        <f t="shared" si="7"/>
        <v>999.18</v>
      </c>
      <c r="K1360" s="7">
        <f t="shared" si="3"/>
        <v>999.18</v>
      </c>
      <c r="L1360" s="7">
        <f t="shared" si="4"/>
        <v>922.32</v>
      </c>
      <c r="M1360" s="7">
        <f t="shared" si="5"/>
        <v>883.89</v>
      </c>
      <c r="N1360" s="7">
        <f t="shared" si="6"/>
        <v>845.46</v>
      </c>
    </row>
    <row r="1361">
      <c r="A1361" s="5" t="s">
        <v>2448</v>
      </c>
      <c r="B1361" s="6"/>
      <c r="C1361" s="5" t="s">
        <v>2710</v>
      </c>
      <c r="D1361" s="5">
        <v>788612.0</v>
      </c>
      <c r="E1361" s="8">
        <v>2960.1</v>
      </c>
      <c r="F1361" s="6"/>
      <c r="G1361" s="8">
        <v>45486.0</v>
      </c>
      <c r="H1361" s="5" t="s">
        <v>22</v>
      </c>
      <c r="I1361" s="7">
        <f t="shared" si="1"/>
        <v>68229</v>
      </c>
      <c r="J1361" s="7">
        <f t="shared" si="7"/>
        <v>59131.8</v>
      </c>
      <c r="K1361" s="7">
        <f t="shared" si="3"/>
        <v>59131.8</v>
      </c>
      <c r="L1361" s="7">
        <f t="shared" si="4"/>
        <v>54583.2</v>
      </c>
      <c r="M1361" s="7">
        <f t="shared" si="5"/>
        <v>52308.9</v>
      </c>
      <c r="N1361" s="7">
        <f t="shared" si="6"/>
        <v>50034.6</v>
      </c>
    </row>
    <row r="1362">
      <c r="A1362" s="5" t="s">
        <v>2448</v>
      </c>
      <c r="B1362" s="6"/>
      <c r="C1362" s="5" t="s">
        <v>2711</v>
      </c>
      <c r="D1362" s="5">
        <v>805588.0</v>
      </c>
      <c r="E1362" s="8">
        <v>3353.35</v>
      </c>
      <c r="F1362" s="6"/>
      <c r="G1362" s="8">
        <v>3465.0</v>
      </c>
      <c r="H1362" s="5" t="s">
        <v>22</v>
      </c>
      <c r="I1362" s="7">
        <f t="shared" si="1"/>
        <v>5197.5</v>
      </c>
      <c r="J1362" s="7">
        <f t="shared" si="7"/>
        <v>4504.5</v>
      </c>
      <c r="K1362" s="7">
        <f t="shared" si="3"/>
        <v>4504.5</v>
      </c>
      <c r="L1362" s="7">
        <f t="shared" si="4"/>
        <v>4158</v>
      </c>
      <c r="M1362" s="7">
        <f t="shared" si="5"/>
        <v>3984.75</v>
      </c>
      <c r="N1362" s="7">
        <f t="shared" si="6"/>
        <v>3811.5</v>
      </c>
    </row>
    <row r="1363">
      <c r="A1363" s="5" t="s">
        <v>2448</v>
      </c>
      <c r="B1363" s="6"/>
      <c r="C1363" s="5" t="s">
        <v>2712</v>
      </c>
      <c r="D1363" s="5">
        <v>805683.0</v>
      </c>
      <c r="E1363" s="8">
        <v>144430.0</v>
      </c>
      <c r="F1363" s="6"/>
      <c r="G1363" s="8">
        <v>14679.0</v>
      </c>
      <c r="H1363" s="5" t="s">
        <v>22</v>
      </c>
      <c r="I1363" s="7">
        <f t="shared" si="1"/>
        <v>22018.5</v>
      </c>
      <c r="J1363" s="7">
        <f t="shared" si="7"/>
        <v>19082.7</v>
      </c>
      <c r="K1363" s="7">
        <f t="shared" si="3"/>
        <v>19082.7</v>
      </c>
      <c r="L1363" s="7">
        <f t="shared" si="4"/>
        <v>17614.8</v>
      </c>
      <c r="M1363" s="7">
        <f t="shared" si="5"/>
        <v>16880.85</v>
      </c>
      <c r="N1363" s="7">
        <f t="shared" si="6"/>
        <v>16146.9</v>
      </c>
    </row>
    <row r="1364">
      <c r="A1364" s="5" t="s">
        <v>2448</v>
      </c>
      <c r="B1364" s="6"/>
      <c r="C1364" s="5" t="s">
        <v>2713</v>
      </c>
      <c r="D1364" s="5">
        <v>60426.0</v>
      </c>
      <c r="E1364" s="8">
        <v>31817.5</v>
      </c>
      <c r="F1364" s="6"/>
      <c r="G1364" s="8">
        <v>2072.7</v>
      </c>
      <c r="H1364" s="5" t="s">
        <v>22</v>
      </c>
      <c r="I1364" s="7">
        <f t="shared" si="1"/>
        <v>3109.05</v>
      </c>
      <c r="J1364" s="7">
        <f t="shared" si="7"/>
        <v>2694.51</v>
      </c>
      <c r="K1364" s="7">
        <f t="shared" si="3"/>
        <v>2694.51</v>
      </c>
      <c r="L1364" s="7">
        <f t="shared" si="4"/>
        <v>2487.24</v>
      </c>
      <c r="M1364" s="7">
        <f t="shared" si="5"/>
        <v>2383.605</v>
      </c>
      <c r="N1364" s="7">
        <f t="shared" si="6"/>
        <v>2279.97</v>
      </c>
    </row>
    <row r="1365">
      <c r="A1365" s="5" t="s">
        <v>2448</v>
      </c>
      <c r="B1365" s="6"/>
      <c r="C1365" s="5" t="s">
        <v>2714</v>
      </c>
      <c r="D1365" s="5">
        <v>60427.0</v>
      </c>
      <c r="E1365" s="8">
        <v>152295.0</v>
      </c>
      <c r="F1365" s="6"/>
      <c r="G1365" s="8">
        <v>2349.9</v>
      </c>
      <c r="H1365" s="5" t="s">
        <v>22</v>
      </c>
      <c r="I1365" s="7">
        <f t="shared" si="1"/>
        <v>3524.85</v>
      </c>
      <c r="J1365" s="7">
        <f t="shared" si="7"/>
        <v>3054.87</v>
      </c>
      <c r="K1365" s="7">
        <f t="shared" si="3"/>
        <v>3054.87</v>
      </c>
      <c r="L1365" s="7">
        <f t="shared" si="4"/>
        <v>2819.88</v>
      </c>
      <c r="M1365" s="7">
        <f t="shared" si="5"/>
        <v>2702.385</v>
      </c>
      <c r="N1365" s="7">
        <f t="shared" si="6"/>
        <v>2584.89</v>
      </c>
    </row>
    <row r="1366">
      <c r="A1366" s="5" t="s">
        <v>2448</v>
      </c>
      <c r="B1366" s="6"/>
      <c r="C1366" s="5" t="s">
        <v>2715</v>
      </c>
      <c r="D1366" s="5">
        <v>701040.0</v>
      </c>
      <c r="E1366" s="8">
        <v>5398.25</v>
      </c>
      <c r="F1366" s="6"/>
      <c r="G1366" s="8">
        <v>101430.0</v>
      </c>
      <c r="H1366" s="5" t="s">
        <v>22</v>
      </c>
      <c r="I1366" s="7">
        <f t="shared" si="1"/>
        <v>152145</v>
      </c>
      <c r="J1366" s="7">
        <f t="shared" si="7"/>
        <v>131859</v>
      </c>
      <c r="K1366" s="7">
        <f t="shared" si="3"/>
        <v>131859</v>
      </c>
      <c r="L1366" s="7">
        <f t="shared" si="4"/>
        <v>121716</v>
      </c>
      <c r="M1366" s="7">
        <f t="shared" si="5"/>
        <v>116644.5</v>
      </c>
      <c r="N1366" s="7">
        <f t="shared" si="6"/>
        <v>111573</v>
      </c>
    </row>
    <row r="1367">
      <c r="A1367" s="5" t="s">
        <v>2448</v>
      </c>
      <c r="B1367" s="6"/>
      <c r="C1367" s="5" t="s">
        <v>2715</v>
      </c>
      <c r="D1367" s="5">
        <v>704910.0</v>
      </c>
      <c r="E1367" s="8">
        <v>2931.5</v>
      </c>
      <c r="F1367" s="6"/>
      <c r="G1367" s="8">
        <v>24129.0</v>
      </c>
      <c r="H1367" s="5" t="s">
        <v>22</v>
      </c>
      <c r="I1367" s="7">
        <f t="shared" si="1"/>
        <v>36193.5</v>
      </c>
      <c r="J1367" s="7">
        <f t="shared" si="7"/>
        <v>31367.7</v>
      </c>
      <c r="K1367" s="7">
        <f t="shared" si="3"/>
        <v>31367.7</v>
      </c>
      <c r="L1367" s="7">
        <f t="shared" si="4"/>
        <v>28954.8</v>
      </c>
      <c r="M1367" s="7">
        <f t="shared" si="5"/>
        <v>27748.35</v>
      </c>
      <c r="N1367" s="7">
        <f t="shared" si="6"/>
        <v>26541.9</v>
      </c>
    </row>
    <row r="1368">
      <c r="A1368" s="5" t="s">
        <v>2448</v>
      </c>
      <c r="B1368" s="6"/>
      <c r="C1368" s="5" t="s">
        <v>2705</v>
      </c>
      <c r="D1368" s="5">
        <v>704985.0</v>
      </c>
      <c r="E1368" s="8">
        <v>2237.95</v>
      </c>
      <c r="F1368" s="6"/>
      <c r="G1368" s="8">
        <v>115794.0</v>
      </c>
      <c r="H1368" s="5" t="s">
        <v>22</v>
      </c>
      <c r="I1368" s="7">
        <f t="shared" si="1"/>
        <v>173691</v>
      </c>
      <c r="J1368" s="7">
        <f t="shared" si="7"/>
        <v>150532.2</v>
      </c>
      <c r="K1368" s="7">
        <f t="shared" si="3"/>
        <v>150532.2</v>
      </c>
      <c r="L1368" s="7">
        <f t="shared" si="4"/>
        <v>138952.8</v>
      </c>
      <c r="M1368" s="7">
        <f t="shared" si="5"/>
        <v>133163.1</v>
      </c>
      <c r="N1368" s="7">
        <f t="shared" si="6"/>
        <v>127373.4</v>
      </c>
    </row>
    <row r="1369">
      <c r="A1369" s="5" t="s">
        <v>2448</v>
      </c>
      <c r="B1369" s="6"/>
      <c r="C1369" s="5" t="s">
        <v>2716</v>
      </c>
      <c r="D1369" s="5">
        <v>736235.0</v>
      </c>
      <c r="E1369" s="5">
        <v>521.95</v>
      </c>
      <c r="F1369" s="6"/>
      <c r="G1369" s="8">
        <v>4095.0</v>
      </c>
      <c r="H1369" s="5" t="s">
        <v>22</v>
      </c>
      <c r="I1369" s="7">
        <f t="shared" si="1"/>
        <v>6142.5</v>
      </c>
      <c r="J1369" s="7">
        <f t="shared" si="7"/>
        <v>5323.5</v>
      </c>
      <c r="K1369" s="7">
        <f t="shared" si="3"/>
        <v>5323.5</v>
      </c>
      <c r="L1369" s="7">
        <f t="shared" si="4"/>
        <v>4914</v>
      </c>
      <c r="M1369" s="7">
        <f t="shared" si="5"/>
        <v>4709.25</v>
      </c>
      <c r="N1369" s="7">
        <f t="shared" si="6"/>
        <v>4504.5</v>
      </c>
    </row>
    <row r="1370">
      <c r="A1370" s="5" t="s">
        <v>2448</v>
      </c>
      <c r="B1370" s="6"/>
      <c r="C1370" s="5" t="s">
        <v>2717</v>
      </c>
      <c r="D1370" s="5">
        <v>740066.0</v>
      </c>
      <c r="E1370" s="8">
        <v>4576.0</v>
      </c>
      <c r="F1370" s="6"/>
      <c r="G1370" s="8">
        <v>2079.0</v>
      </c>
      <c r="H1370" s="5" t="s">
        <v>22</v>
      </c>
      <c r="I1370" s="7">
        <f t="shared" si="1"/>
        <v>3118.5</v>
      </c>
      <c r="J1370" s="7">
        <f t="shared" si="7"/>
        <v>2702.7</v>
      </c>
      <c r="K1370" s="7">
        <f t="shared" si="3"/>
        <v>2702.7</v>
      </c>
      <c r="L1370" s="7">
        <f t="shared" si="4"/>
        <v>2494.8</v>
      </c>
      <c r="M1370" s="7">
        <f t="shared" si="5"/>
        <v>2390.85</v>
      </c>
      <c r="N1370" s="7">
        <f t="shared" si="6"/>
        <v>2286.9</v>
      </c>
    </row>
    <row r="1371">
      <c r="A1371" s="5" t="s">
        <v>2448</v>
      </c>
      <c r="B1371" s="6"/>
      <c r="C1371" s="5" t="s">
        <v>2718</v>
      </c>
      <c r="D1371" s="5">
        <v>788603.1</v>
      </c>
      <c r="E1371" s="8">
        <v>4218.5</v>
      </c>
      <c r="F1371" s="6"/>
      <c r="G1371" s="8">
        <v>1701.0</v>
      </c>
      <c r="H1371" s="5" t="s">
        <v>22</v>
      </c>
      <c r="I1371" s="7">
        <f t="shared" si="1"/>
        <v>2551.5</v>
      </c>
      <c r="J1371" s="7">
        <f t="shared" si="7"/>
        <v>2211.3</v>
      </c>
      <c r="K1371" s="7">
        <f t="shared" si="3"/>
        <v>2211.3</v>
      </c>
      <c r="L1371" s="7">
        <f t="shared" si="4"/>
        <v>2041.2</v>
      </c>
      <c r="M1371" s="7">
        <f t="shared" si="5"/>
        <v>1956.15</v>
      </c>
      <c r="N1371" s="7">
        <f t="shared" si="6"/>
        <v>1871.1</v>
      </c>
    </row>
    <row r="1372">
      <c r="A1372" s="5" t="s">
        <v>2448</v>
      </c>
      <c r="B1372" s="6"/>
      <c r="C1372" s="5" t="s">
        <v>2719</v>
      </c>
      <c r="D1372" s="5">
        <v>789300.0</v>
      </c>
      <c r="E1372" s="8">
        <v>62562.5</v>
      </c>
      <c r="F1372" s="6"/>
      <c r="G1372" s="5">
        <v>378.0</v>
      </c>
      <c r="H1372" s="5" t="s">
        <v>22</v>
      </c>
      <c r="I1372" s="7">
        <f t="shared" si="1"/>
        <v>567</v>
      </c>
      <c r="J1372" s="7">
        <f t="shared" si="7"/>
        <v>491.4</v>
      </c>
      <c r="K1372" s="7">
        <f t="shared" si="3"/>
        <v>491.4</v>
      </c>
      <c r="L1372" s="7">
        <f t="shared" si="4"/>
        <v>453.6</v>
      </c>
      <c r="M1372" s="7">
        <f t="shared" si="5"/>
        <v>434.7</v>
      </c>
      <c r="N1372" s="7">
        <f t="shared" si="6"/>
        <v>415.8</v>
      </c>
    </row>
    <row r="1373">
      <c r="A1373" s="5" t="s">
        <v>2448</v>
      </c>
      <c r="B1373" s="6"/>
      <c r="C1373" s="5" t="s">
        <v>2720</v>
      </c>
      <c r="D1373" s="5">
        <v>789303.0</v>
      </c>
      <c r="E1373" s="8">
        <v>65065.0</v>
      </c>
      <c r="F1373" s="6"/>
      <c r="G1373" s="8">
        <v>3465.0</v>
      </c>
      <c r="H1373" s="5" t="s">
        <v>22</v>
      </c>
      <c r="I1373" s="7">
        <f t="shared" si="1"/>
        <v>5197.5</v>
      </c>
      <c r="J1373" s="7">
        <f t="shared" si="7"/>
        <v>4504.5</v>
      </c>
      <c r="K1373" s="7">
        <f t="shared" si="3"/>
        <v>4504.5</v>
      </c>
      <c r="L1373" s="7">
        <f t="shared" si="4"/>
        <v>4158</v>
      </c>
      <c r="M1373" s="7">
        <f t="shared" si="5"/>
        <v>3984.75</v>
      </c>
      <c r="N1373" s="7">
        <f t="shared" si="6"/>
        <v>3811.5</v>
      </c>
    </row>
    <row r="1374">
      <c r="A1374" s="5" t="s">
        <v>2448</v>
      </c>
      <c r="B1374" s="6"/>
      <c r="C1374" s="5" t="s">
        <v>2721</v>
      </c>
      <c r="D1374" s="5">
        <v>789860.1</v>
      </c>
      <c r="E1374" s="8">
        <v>140855.0</v>
      </c>
      <c r="F1374" s="6"/>
      <c r="G1374" s="8">
        <v>3213.0</v>
      </c>
      <c r="H1374" s="5" t="s">
        <v>22</v>
      </c>
      <c r="I1374" s="7">
        <f t="shared" si="1"/>
        <v>4819.5</v>
      </c>
      <c r="J1374" s="7">
        <f t="shared" si="7"/>
        <v>4176.9</v>
      </c>
      <c r="K1374" s="7">
        <f t="shared" si="3"/>
        <v>4176.9</v>
      </c>
      <c r="L1374" s="7">
        <f t="shared" si="4"/>
        <v>3855.6</v>
      </c>
      <c r="M1374" s="7">
        <f t="shared" si="5"/>
        <v>3694.95</v>
      </c>
      <c r="N1374" s="7">
        <f t="shared" si="6"/>
        <v>3534.3</v>
      </c>
    </row>
    <row r="1375">
      <c r="A1375" s="5" t="s">
        <v>2448</v>
      </c>
      <c r="B1375" s="6"/>
      <c r="C1375" s="5" t="s">
        <v>2722</v>
      </c>
      <c r="D1375" s="5">
        <v>789862.1</v>
      </c>
      <c r="E1375" s="8">
        <v>260975.0</v>
      </c>
      <c r="F1375" s="6"/>
      <c r="G1375" s="8">
        <v>47439.0</v>
      </c>
      <c r="H1375" s="5" t="s">
        <v>22</v>
      </c>
      <c r="I1375" s="7">
        <f t="shared" si="1"/>
        <v>71158.5</v>
      </c>
      <c r="J1375" s="7">
        <f t="shared" si="7"/>
        <v>61670.7</v>
      </c>
      <c r="K1375" s="7">
        <f t="shared" si="3"/>
        <v>61670.7</v>
      </c>
      <c r="L1375" s="7">
        <f t="shared" si="4"/>
        <v>56926.8</v>
      </c>
      <c r="M1375" s="7">
        <f t="shared" si="5"/>
        <v>54554.85</v>
      </c>
      <c r="N1375" s="7">
        <f t="shared" si="6"/>
        <v>52182.9</v>
      </c>
    </row>
    <row r="1376">
      <c r="A1376" s="5" t="s">
        <v>2448</v>
      </c>
      <c r="B1376" s="6"/>
      <c r="C1376" s="5" t="s">
        <v>2723</v>
      </c>
      <c r="D1376" s="5">
        <v>805684.1</v>
      </c>
      <c r="E1376" s="8">
        <v>24310.0</v>
      </c>
      <c r="F1376" s="6"/>
      <c r="G1376" s="8">
        <v>49392.0</v>
      </c>
      <c r="H1376" s="5" t="s">
        <v>22</v>
      </c>
      <c r="I1376" s="7">
        <f t="shared" si="1"/>
        <v>74088</v>
      </c>
      <c r="J1376" s="7">
        <f t="shared" si="7"/>
        <v>64209.6</v>
      </c>
      <c r="K1376" s="7">
        <f t="shared" si="3"/>
        <v>64209.6</v>
      </c>
      <c r="L1376" s="7">
        <f t="shared" si="4"/>
        <v>59270.4</v>
      </c>
      <c r="M1376" s="7">
        <f t="shared" si="5"/>
        <v>56800.8</v>
      </c>
      <c r="N1376" s="7">
        <f t="shared" si="6"/>
        <v>54331.2</v>
      </c>
    </row>
    <row r="1377">
      <c r="A1377" s="5" t="s">
        <v>2448</v>
      </c>
      <c r="B1377" s="6"/>
      <c r="C1377" s="5" t="s">
        <v>2724</v>
      </c>
      <c r="D1377" s="5">
        <v>806202.0</v>
      </c>
      <c r="E1377" s="8">
        <v>3235.38</v>
      </c>
      <c r="F1377" s="6"/>
      <c r="G1377" s="8">
        <v>98406.0</v>
      </c>
      <c r="H1377" s="5" t="s">
        <v>22</v>
      </c>
      <c r="I1377" s="7">
        <f t="shared" si="1"/>
        <v>147609</v>
      </c>
      <c r="J1377" s="7">
        <f t="shared" si="7"/>
        <v>127927.8</v>
      </c>
      <c r="K1377" s="7">
        <f t="shared" si="3"/>
        <v>127927.8</v>
      </c>
      <c r="L1377" s="7">
        <f t="shared" si="4"/>
        <v>118087.2</v>
      </c>
      <c r="M1377" s="7">
        <f t="shared" si="5"/>
        <v>113166.9</v>
      </c>
      <c r="N1377" s="7">
        <f t="shared" si="6"/>
        <v>108246.6</v>
      </c>
    </row>
    <row r="1378">
      <c r="A1378" s="5" t="s">
        <v>2448</v>
      </c>
      <c r="B1378" s="6"/>
      <c r="C1378" s="5" t="s">
        <v>2725</v>
      </c>
      <c r="D1378" s="5" t="s">
        <v>2726</v>
      </c>
      <c r="E1378" s="8">
        <v>16087.5</v>
      </c>
      <c r="F1378" s="6"/>
      <c r="G1378" s="8">
        <v>198450.0</v>
      </c>
      <c r="H1378" s="5" t="s">
        <v>22</v>
      </c>
      <c r="I1378" s="7">
        <f t="shared" si="1"/>
        <v>297675</v>
      </c>
      <c r="J1378" s="7">
        <f t="shared" si="7"/>
        <v>257985</v>
      </c>
      <c r="K1378" s="7">
        <f t="shared" si="3"/>
        <v>257985</v>
      </c>
      <c r="L1378" s="7">
        <f t="shared" si="4"/>
        <v>238140</v>
      </c>
      <c r="M1378" s="7">
        <f t="shared" si="5"/>
        <v>228217.5</v>
      </c>
      <c r="N1378" s="7">
        <f t="shared" si="6"/>
        <v>218295</v>
      </c>
    </row>
    <row r="1379">
      <c r="A1379" s="5" t="s">
        <v>2448</v>
      </c>
      <c r="B1379" s="6"/>
      <c r="C1379" s="5" t="s">
        <v>2725</v>
      </c>
      <c r="D1379" s="5" t="s">
        <v>2727</v>
      </c>
      <c r="E1379" s="8">
        <v>16087.5</v>
      </c>
      <c r="F1379" s="6"/>
      <c r="G1379" s="8">
        <v>18585.0</v>
      </c>
      <c r="H1379" s="5" t="s">
        <v>22</v>
      </c>
      <c r="I1379" s="7">
        <f t="shared" si="1"/>
        <v>27877.5</v>
      </c>
      <c r="J1379" s="7">
        <f t="shared" si="7"/>
        <v>24160.5</v>
      </c>
      <c r="K1379" s="7">
        <f t="shared" si="3"/>
        <v>24160.5</v>
      </c>
      <c r="L1379" s="7">
        <f t="shared" si="4"/>
        <v>22302</v>
      </c>
      <c r="M1379" s="7">
        <f t="shared" si="5"/>
        <v>21372.75</v>
      </c>
      <c r="N1379" s="7">
        <f t="shared" si="6"/>
        <v>20443.5</v>
      </c>
    </row>
    <row r="1380">
      <c r="A1380" s="5" t="s">
        <v>2448</v>
      </c>
      <c r="B1380" s="6"/>
      <c r="C1380" s="5" t="s">
        <v>2728</v>
      </c>
      <c r="D1380" s="5" t="s">
        <v>2729</v>
      </c>
      <c r="E1380" s="8">
        <v>41827.5</v>
      </c>
      <c r="F1380" s="6"/>
      <c r="G1380" s="8">
        <v>2457.0</v>
      </c>
      <c r="H1380" s="5" t="s">
        <v>22</v>
      </c>
      <c r="I1380" s="7">
        <f t="shared" si="1"/>
        <v>3685.5</v>
      </c>
      <c r="J1380" s="7">
        <f t="shared" si="7"/>
        <v>3194.1</v>
      </c>
      <c r="K1380" s="7">
        <f t="shared" si="3"/>
        <v>3194.1</v>
      </c>
      <c r="L1380" s="7">
        <f t="shared" si="4"/>
        <v>2948.4</v>
      </c>
      <c r="M1380" s="7">
        <f t="shared" si="5"/>
        <v>2825.55</v>
      </c>
      <c r="N1380" s="7">
        <f t="shared" si="6"/>
        <v>2702.7</v>
      </c>
    </row>
    <row r="1381">
      <c r="A1381" s="5" t="s">
        <v>2448</v>
      </c>
      <c r="B1381" s="6"/>
      <c r="C1381" s="5" t="s">
        <v>2730</v>
      </c>
      <c r="D1381" s="5" t="s">
        <v>2731</v>
      </c>
      <c r="E1381" s="8">
        <v>27170.0</v>
      </c>
      <c r="F1381" s="6"/>
      <c r="G1381" s="8">
        <v>11340.0</v>
      </c>
      <c r="H1381" s="5" t="s">
        <v>22</v>
      </c>
      <c r="I1381" s="7">
        <f t="shared" si="1"/>
        <v>17010</v>
      </c>
      <c r="J1381" s="7">
        <f t="shared" si="7"/>
        <v>14742</v>
      </c>
      <c r="K1381" s="7">
        <f t="shared" si="3"/>
        <v>14742</v>
      </c>
      <c r="L1381" s="7">
        <f t="shared" si="4"/>
        <v>13608</v>
      </c>
      <c r="M1381" s="7">
        <f t="shared" si="5"/>
        <v>13041</v>
      </c>
      <c r="N1381" s="7">
        <f t="shared" si="6"/>
        <v>12474</v>
      </c>
    </row>
    <row r="1382">
      <c r="A1382" s="5" t="s">
        <v>2448</v>
      </c>
      <c r="B1382" s="6"/>
      <c r="C1382" s="5" t="s">
        <v>2730</v>
      </c>
      <c r="D1382" s="5" t="s">
        <v>2732</v>
      </c>
      <c r="E1382" s="8">
        <v>28242.5</v>
      </c>
      <c r="F1382" s="6"/>
      <c r="G1382" s="8">
        <v>11340.0</v>
      </c>
      <c r="H1382" s="5" t="s">
        <v>22</v>
      </c>
      <c r="I1382" s="7">
        <f t="shared" si="1"/>
        <v>17010</v>
      </c>
      <c r="J1382" s="7">
        <f t="shared" si="7"/>
        <v>14742</v>
      </c>
      <c r="K1382" s="7">
        <f t="shared" si="3"/>
        <v>14742</v>
      </c>
      <c r="L1382" s="7">
        <f t="shared" si="4"/>
        <v>13608</v>
      </c>
      <c r="M1382" s="7">
        <f t="shared" si="5"/>
        <v>13041</v>
      </c>
      <c r="N1382" s="7">
        <f t="shared" si="6"/>
        <v>12474</v>
      </c>
    </row>
    <row r="1383">
      <c r="A1383" s="5" t="s">
        <v>2448</v>
      </c>
      <c r="B1383" s="6"/>
      <c r="C1383" s="5" t="s">
        <v>2733</v>
      </c>
      <c r="D1383" s="5" t="s">
        <v>2734</v>
      </c>
      <c r="E1383" s="8">
        <v>24310.0</v>
      </c>
      <c r="F1383" s="6"/>
      <c r="G1383" s="8">
        <v>29295.0</v>
      </c>
      <c r="H1383" s="5" t="s">
        <v>22</v>
      </c>
      <c r="I1383" s="7">
        <f t="shared" si="1"/>
        <v>43942.5</v>
      </c>
      <c r="J1383" s="7">
        <f t="shared" si="7"/>
        <v>38083.5</v>
      </c>
      <c r="K1383" s="7">
        <f t="shared" si="3"/>
        <v>38083.5</v>
      </c>
      <c r="L1383" s="7">
        <f t="shared" si="4"/>
        <v>35154</v>
      </c>
      <c r="M1383" s="7">
        <f t="shared" si="5"/>
        <v>33689.25</v>
      </c>
      <c r="N1383" s="7">
        <f t="shared" si="6"/>
        <v>32224.5</v>
      </c>
    </row>
    <row r="1384">
      <c r="A1384" s="5" t="s">
        <v>2448</v>
      </c>
      <c r="B1384" s="6"/>
      <c r="C1384" s="5" t="s">
        <v>2735</v>
      </c>
      <c r="D1384" s="5" t="s">
        <v>2736</v>
      </c>
      <c r="E1384" s="8">
        <v>38252.5</v>
      </c>
      <c r="F1384" s="6"/>
      <c r="G1384" s="8">
        <v>18270.0</v>
      </c>
      <c r="H1384" s="5" t="s">
        <v>22</v>
      </c>
      <c r="I1384" s="7">
        <f t="shared" si="1"/>
        <v>27405</v>
      </c>
      <c r="J1384" s="7">
        <f t="shared" si="7"/>
        <v>23751</v>
      </c>
      <c r="K1384" s="7">
        <f t="shared" si="3"/>
        <v>23751</v>
      </c>
      <c r="L1384" s="7">
        <f t="shared" si="4"/>
        <v>21924</v>
      </c>
      <c r="M1384" s="7">
        <f t="shared" si="5"/>
        <v>21010.5</v>
      </c>
      <c r="N1384" s="7">
        <f t="shared" si="6"/>
        <v>20097</v>
      </c>
    </row>
    <row r="1385">
      <c r="A1385" s="5" t="s">
        <v>2448</v>
      </c>
      <c r="B1385" s="6"/>
      <c r="C1385" s="5" t="s">
        <v>2737</v>
      </c>
      <c r="D1385" s="5" t="s">
        <v>2738</v>
      </c>
      <c r="E1385" s="8">
        <v>25740.0</v>
      </c>
      <c r="F1385" s="6"/>
      <c r="G1385" s="8">
        <v>19530.0</v>
      </c>
      <c r="H1385" s="5" t="s">
        <v>22</v>
      </c>
      <c r="I1385" s="7">
        <f t="shared" si="1"/>
        <v>29295</v>
      </c>
      <c r="J1385" s="7">
        <f t="shared" si="7"/>
        <v>25389</v>
      </c>
      <c r="K1385" s="7">
        <f t="shared" si="3"/>
        <v>25389</v>
      </c>
      <c r="L1385" s="7">
        <f t="shared" si="4"/>
        <v>23436</v>
      </c>
      <c r="M1385" s="7">
        <f t="shared" si="5"/>
        <v>22459.5</v>
      </c>
      <c r="N1385" s="7">
        <f t="shared" si="6"/>
        <v>21483</v>
      </c>
    </row>
    <row r="1386">
      <c r="A1386" s="5" t="s">
        <v>2448</v>
      </c>
      <c r="B1386" s="6"/>
      <c r="C1386" s="5" t="s">
        <v>2739</v>
      </c>
      <c r="D1386" s="13" t="s">
        <v>2740</v>
      </c>
      <c r="E1386" s="8">
        <v>1.583296E7</v>
      </c>
      <c r="F1386" s="6"/>
      <c r="G1386" s="8">
        <v>17325.0</v>
      </c>
      <c r="H1386" s="5" t="s">
        <v>22</v>
      </c>
      <c r="I1386" s="7">
        <f t="shared" si="1"/>
        <v>25987.5</v>
      </c>
      <c r="J1386" s="7">
        <f t="shared" si="7"/>
        <v>22522.5</v>
      </c>
      <c r="K1386" s="7">
        <f t="shared" si="3"/>
        <v>22522.5</v>
      </c>
      <c r="L1386" s="7">
        <f t="shared" si="4"/>
        <v>20790</v>
      </c>
      <c r="M1386" s="7">
        <f t="shared" si="5"/>
        <v>19923.75</v>
      </c>
      <c r="N1386" s="7">
        <f t="shared" si="6"/>
        <v>19057.5</v>
      </c>
    </row>
    <row r="1387">
      <c r="A1387" s="5" t="s">
        <v>2448</v>
      </c>
      <c r="B1387" s="6"/>
      <c r="C1387" s="5" t="s">
        <v>2741</v>
      </c>
      <c r="D1387" s="13" t="s">
        <v>2742</v>
      </c>
      <c r="E1387" s="8">
        <v>1.9444425E7</v>
      </c>
      <c r="F1387" s="6"/>
      <c r="G1387" s="8">
        <v>26775.0</v>
      </c>
      <c r="H1387" s="5" t="s">
        <v>22</v>
      </c>
      <c r="I1387" s="7">
        <f t="shared" si="1"/>
        <v>40162.5</v>
      </c>
      <c r="J1387" s="7">
        <f t="shared" si="7"/>
        <v>34807.5</v>
      </c>
      <c r="K1387" s="7">
        <f t="shared" si="3"/>
        <v>34807.5</v>
      </c>
      <c r="L1387" s="7">
        <f t="shared" si="4"/>
        <v>32130</v>
      </c>
      <c r="M1387" s="7">
        <f t="shared" si="5"/>
        <v>30791.25</v>
      </c>
      <c r="N1387" s="7">
        <f t="shared" si="6"/>
        <v>29452.5</v>
      </c>
    </row>
    <row r="1388">
      <c r="A1388" s="5" t="s">
        <v>2448</v>
      </c>
      <c r="B1388" s="6"/>
      <c r="C1388" s="5" t="s">
        <v>2743</v>
      </c>
      <c r="D1388" s="13" t="s">
        <v>2744</v>
      </c>
      <c r="E1388" s="8">
        <v>1983410.0</v>
      </c>
      <c r="F1388" s="6"/>
      <c r="G1388" s="8">
        <v>19404.0</v>
      </c>
      <c r="H1388" s="5" t="s">
        <v>22</v>
      </c>
      <c r="I1388" s="7">
        <f t="shared" si="1"/>
        <v>29106</v>
      </c>
      <c r="J1388" s="7">
        <f t="shared" si="7"/>
        <v>25225.2</v>
      </c>
      <c r="K1388" s="7">
        <f t="shared" si="3"/>
        <v>25225.2</v>
      </c>
      <c r="L1388" s="7">
        <f t="shared" si="4"/>
        <v>23284.8</v>
      </c>
      <c r="M1388" s="7">
        <f t="shared" si="5"/>
        <v>22314.6</v>
      </c>
      <c r="N1388" s="7">
        <f t="shared" si="6"/>
        <v>21344.4</v>
      </c>
    </row>
    <row r="1389">
      <c r="A1389" s="5" t="s">
        <v>2448</v>
      </c>
      <c r="B1389" s="6"/>
      <c r="C1389" s="5" t="s">
        <v>2745</v>
      </c>
      <c r="D1389" s="5">
        <v>970135.0</v>
      </c>
      <c r="E1389" s="8">
        <v>1251250.0</v>
      </c>
      <c r="F1389" s="6"/>
      <c r="G1389" s="8">
        <v>5791590.0</v>
      </c>
      <c r="H1389" s="5" t="s">
        <v>22</v>
      </c>
      <c r="I1389" s="7">
        <f t="shared" si="1"/>
        <v>8687385</v>
      </c>
      <c r="J1389" s="7">
        <f t="shared" si="7"/>
        <v>7529067</v>
      </c>
      <c r="K1389" s="7">
        <f t="shared" si="3"/>
        <v>7529067</v>
      </c>
      <c r="L1389" s="7">
        <f t="shared" si="4"/>
        <v>6949908</v>
      </c>
      <c r="M1389" s="7">
        <f t="shared" si="5"/>
        <v>6660328.5</v>
      </c>
      <c r="N1389" s="7">
        <f t="shared" si="6"/>
        <v>6370749</v>
      </c>
    </row>
    <row r="1390">
      <c r="A1390" s="5" t="s">
        <v>2448</v>
      </c>
      <c r="B1390" s="6"/>
      <c r="C1390" s="5" t="s">
        <v>2746</v>
      </c>
      <c r="D1390" s="5">
        <v>970137.0</v>
      </c>
      <c r="E1390" s="8">
        <v>153725.0</v>
      </c>
      <c r="F1390" s="6"/>
      <c r="G1390" s="8">
        <v>7207200.0</v>
      </c>
      <c r="H1390" s="5" t="s">
        <v>22</v>
      </c>
      <c r="I1390" s="7">
        <f t="shared" si="1"/>
        <v>10810800</v>
      </c>
      <c r="J1390" s="7">
        <f t="shared" si="7"/>
        <v>9369360</v>
      </c>
      <c r="K1390" s="7">
        <f t="shared" si="3"/>
        <v>9369360</v>
      </c>
      <c r="L1390" s="7">
        <f t="shared" si="4"/>
        <v>8648640</v>
      </c>
      <c r="M1390" s="7">
        <f t="shared" si="5"/>
        <v>8288280</v>
      </c>
      <c r="N1390" s="7">
        <f t="shared" si="6"/>
        <v>7927920</v>
      </c>
    </row>
    <row r="1391">
      <c r="A1391" s="5" t="s">
        <v>2448</v>
      </c>
      <c r="B1391" s="6"/>
      <c r="C1391" s="5" t="s">
        <v>2747</v>
      </c>
      <c r="D1391" s="5">
        <v>970138.0</v>
      </c>
      <c r="E1391" s="8">
        <v>1934790.0</v>
      </c>
      <c r="F1391" s="6"/>
      <c r="G1391" s="8">
        <v>8631000.0</v>
      </c>
      <c r="H1391" s="5" t="s">
        <v>22</v>
      </c>
      <c r="I1391" s="7">
        <f t="shared" si="1"/>
        <v>12946500</v>
      </c>
      <c r="J1391" s="7">
        <f t="shared" si="7"/>
        <v>11220300</v>
      </c>
      <c r="K1391" s="7">
        <f t="shared" si="3"/>
        <v>11220300</v>
      </c>
      <c r="L1391" s="7">
        <f t="shared" si="4"/>
        <v>10357200</v>
      </c>
      <c r="M1391" s="7">
        <f t="shared" si="5"/>
        <v>9925650</v>
      </c>
      <c r="N1391" s="7">
        <f t="shared" si="6"/>
        <v>9494100</v>
      </c>
    </row>
    <row r="1392">
      <c r="A1392" s="5" t="s">
        <v>2448</v>
      </c>
      <c r="B1392" s="6"/>
      <c r="C1392" s="5" t="s">
        <v>2748</v>
      </c>
      <c r="D1392" s="5">
        <v>970139.0</v>
      </c>
      <c r="E1392" s="8">
        <v>218790.0</v>
      </c>
      <c r="F1392" s="6"/>
      <c r="G1392" s="8">
        <v>1.108863E7</v>
      </c>
      <c r="H1392" s="5" t="s">
        <v>22</v>
      </c>
      <c r="I1392" s="7">
        <f t="shared" si="1"/>
        <v>16632945</v>
      </c>
      <c r="J1392" s="7">
        <f t="shared" si="7"/>
        <v>14415219</v>
      </c>
      <c r="K1392" s="7">
        <f t="shared" si="3"/>
        <v>14415219</v>
      </c>
      <c r="L1392" s="7">
        <f t="shared" si="4"/>
        <v>13306356</v>
      </c>
      <c r="M1392" s="7">
        <f t="shared" si="5"/>
        <v>12751924.5</v>
      </c>
      <c r="N1392" s="7">
        <f t="shared" si="6"/>
        <v>12197493</v>
      </c>
    </row>
    <row r="1393">
      <c r="A1393" s="5" t="s">
        <v>2448</v>
      </c>
      <c r="B1393" s="6"/>
      <c r="C1393" s="5" t="s">
        <v>2749</v>
      </c>
      <c r="D1393" s="13" t="s">
        <v>2750</v>
      </c>
      <c r="E1393" s="8">
        <v>75075.0</v>
      </c>
      <c r="F1393" s="6"/>
      <c r="G1393" s="8">
        <v>1.361745E7</v>
      </c>
      <c r="H1393" s="5" t="s">
        <v>22</v>
      </c>
      <c r="I1393" s="7">
        <f t="shared" si="1"/>
        <v>20426175</v>
      </c>
      <c r="J1393" s="7">
        <f t="shared" si="7"/>
        <v>17702685</v>
      </c>
      <c r="K1393" s="7">
        <f t="shared" si="3"/>
        <v>17702685</v>
      </c>
      <c r="L1393" s="7">
        <f t="shared" si="4"/>
        <v>16340940</v>
      </c>
      <c r="M1393" s="7">
        <f t="shared" si="5"/>
        <v>15660067.5</v>
      </c>
      <c r="N1393" s="7">
        <f t="shared" si="6"/>
        <v>14979195</v>
      </c>
    </row>
    <row r="1394">
      <c r="A1394" s="5" t="s">
        <v>2448</v>
      </c>
      <c r="B1394" s="6"/>
      <c r="C1394" s="5" t="s">
        <v>2751</v>
      </c>
      <c r="D1394" s="13" t="s">
        <v>2752</v>
      </c>
      <c r="E1394" s="8">
        <v>7972.25</v>
      </c>
      <c r="F1394" s="6"/>
      <c r="G1394" s="8">
        <v>248850.0</v>
      </c>
      <c r="H1394" s="5" t="s">
        <v>22</v>
      </c>
      <c r="I1394" s="7">
        <f t="shared" si="1"/>
        <v>373275</v>
      </c>
      <c r="J1394" s="7">
        <f t="shared" si="7"/>
        <v>323505</v>
      </c>
      <c r="K1394" s="7">
        <f t="shared" si="3"/>
        <v>323505</v>
      </c>
      <c r="L1394" s="7">
        <f t="shared" si="4"/>
        <v>298620</v>
      </c>
      <c r="M1394" s="7">
        <f t="shared" si="5"/>
        <v>286177.5</v>
      </c>
      <c r="N1394" s="7">
        <f t="shared" si="6"/>
        <v>273735</v>
      </c>
    </row>
    <row r="1395">
      <c r="A1395" s="5" t="s">
        <v>2448</v>
      </c>
      <c r="B1395" s="6"/>
      <c r="C1395" s="5" t="s">
        <v>2753</v>
      </c>
      <c r="D1395" s="13" t="s">
        <v>2754</v>
      </c>
      <c r="E1395" s="8">
        <v>15730.0</v>
      </c>
      <c r="F1395" s="6"/>
      <c r="G1395" s="8">
        <v>1491210.0</v>
      </c>
      <c r="H1395" s="5" t="s">
        <v>22</v>
      </c>
      <c r="I1395" s="7">
        <f t="shared" si="1"/>
        <v>2236815</v>
      </c>
      <c r="J1395" s="7">
        <f t="shared" si="7"/>
        <v>1938573</v>
      </c>
      <c r="K1395" s="7">
        <f t="shared" si="3"/>
        <v>1938573</v>
      </c>
      <c r="L1395" s="7">
        <f t="shared" si="4"/>
        <v>1789452</v>
      </c>
      <c r="M1395" s="7">
        <f t="shared" si="5"/>
        <v>1714891.5</v>
      </c>
      <c r="N1395" s="7">
        <f t="shared" si="6"/>
        <v>1640331</v>
      </c>
    </row>
    <row r="1396">
      <c r="A1396" s="5" t="s">
        <v>2448</v>
      </c>
      <c r="B1396" s="6"/>
      <c r="C1396" s="5" t="s">
        <v>2755</v>
      </c>
      <c r="D1396" s="5">
        <v>970148.0</v>
      </c>
      <c r="E1396" s="8">
        <v>101530.0</v>
      </c>
      <c r="F1396" s="6"/>
      <c r="G1396" s="8">
        <v>2981160.0</v>
      </c>
      <c r="H1396" s="5" t="s">
        <v>22</v>
      </c>
      <c r="I1396" s="7">
        <f t="shared" si="1"/>
        <v>4471740</v>
      </c>
      <c r="J1396" s="7">
        <f t="shared" si="7"/>
        <v>3875508</v>
      </c>
      <c r="K1396" s="7">
        <f t="shared" si="3"/>
        <v>3875508</v>
      </c>
      <c r="L1396" s="7">
        <f t="shared" si="4"/>
        <v>3577392</v>
      </c>
      <c r="M1396" s="7">
        <f t="shared" si="5"/>
        <v>3428334</v>
      </c>
      <c r="N1396" s="7">
        <f t="shared" si="6"/>
        <v>3279276</v>
      </c>
    </row>
    <row r="1397">
      <c r="A1397" s="5" t="s">
        <v>2448</v>
      </c>
      <c r="B1397" s="6"/>
      <c r="C1397" s="5" t="s">
        <v>2756</v>
      </c>
      <c r="D1397" s="5">
        <v>970151.0</v>
      </c>
      <c r="E1397" s="8">
        <v>190190.0</v>
      </c>
      <c r="F1397" s="6"/>
      <c r="G1397" s="8">
        <v>1389150.0</v>
      </c>
      <c r="H1397" s="5" t="s">
        <v>22</v>
      </c>
      <c r="I1397" s="7">
        <f t="shared" si="1"/>
        <v>2083725</v>
      </c>
      <c r="J1397" s="7">
        <f t="shared" si="7"/>
        <v>1805895</v>
      </c>
      <c r="K1397" s="7">
        <f t="shared" si="3"/>
        <v>1805895</v>
      </c>
      <c r="L1397" s="7">
        <f t="shared" si="4"/>
        <v>1666980</v>
      </c>
      <c r="M1397" s="7">
        <f t="shared" si="5"/>
        <v>1597522.5</v>
      </c>
      <c r="N1397" s="7">
        <f t="shared" si="6"/>
        <v>1528065</v>
      </c>
    </row>
    <row r="1398">
      <c r="A1398" s="5" t="s">
        <v>2448</v>
      </c>
      <c r="B1398" s="6"/>
      <c r="C1398" s="5" t="s">
        <v>2757</v>
      </c>
      <c r="D1398" s="13" t="s">
        <v>2758</v>
      </c>
      <c r="E1398" s="8">
        <v>1877590.0</v>
      </c>
      <c r="F1398" s="6"/>
      <c r="G1398" s="8">
        <v>192150.0</v>
      </c>
      <c r="H1398" s="5" t="s">
        <v>22</v>
      </c>
      <c r="I1398" s="7">
        <f t="shared" si="1"/>
        <v>288225</v>
      </c>
      <c r="J1398" s="7">
        <f t="shared" si="7"/>
        <v>249795</v>
      </c>
      <c r="K1398" s="7">
        <f t="shared" si="3"/>
        <v>249795</v>
      </c>
      <c r="L1398" s="7">
        <f t="shared" si="4"/>
        <v>230580</v>
      </c>
      <c r="M1398" s="7">
        <f t="shared" si="5"/>
        <v>220972.5</v>
      </c>
      <c r="N1398" s="7">
        <f t="shared" si="6"/>
        <v>211365</v>
      </c>
    </row>
    <row r="1399">
      <c r="A1399" s="5" t="s">
        <v>2448</v>
      </c>
      <c r="B1399" s="6"/>
      <c r="C1399" s="5" t="s">
        <v>2759</v>
      </c>
      <c r="D1399" s="5">
        <v>970154.0</v>
      </c>
      <c r="E1399" s="8">
        <v>190190.0</v>
      </c>
      <c r="F1399" s="6"/>
      <c r="G1399" s="8">
        <v>876330.0</v>
      </c>
      <c r="H1399" s="5" t="s">
        <v>22</v>
      </c>
      <c r="I1399" s="7">
        <f t="shared" si="1"/>
        <v>1314495</v>
      </c>
      <c r="J1399" s="7">
        <f t="shared" si="7"/>
        <v>1139229</v>
      </c>
      <c r="K1399" s="7">
        <f t="shared" si="3"/>
        <v>1139229</v>
      </c>
      <c r="L1399" s="7">
        <f t="shared" si="4"/>
        <v>1051596</v>
      </c>
      <c r="M1399" s="7">
        <f t="shared" si="5"/>
        <v>1007779.5</v>
      </c>
      <c r="N1399" s="7">
        <f t="shared" si="6"/>
        <v>963963</v>
      </c>
    </row>
    <row r="1400">
      <c r="A1400" s="5" t="s">
        <v>2448</v>
      </c>
      <c r="B1400" s="6"/>
      <c r="C1400" s="5" t="s">
        <v>2760</v>
      </c>
      <c r="D1400" s="13" t="s">
        <v>2761</v>
      </c>
      <c r="E1400" s="8">
        <v>153725.0</v>
      </c>
      <c r="F1400" s="6"/>
      <c r="G1400" s="8">
        <v>107730.0</v>
      </c>
      <c r="H1400" s="5" t="s">
        <v>22</v>
      </c>
      <c r="I1400" s="7">
        <f t="shared" si="1"/>
        <v>161595</v>
      </c>
      <c r="J1400" s="7">
        <f t="shared" si="7"/>
        <v>140049</v>
      </c>
      <c r="K1400" s="7">
        <f t="shared" si="3"/>
        <v>140049</v>
      </c>
      <c r="L1400" s="7">
        <f t="shared" si="4"/>
        <v>129276</v>
      </c>
      <c r="M1400" s="7">
        <f t="shared" si="5"/>
        <v>123889.5</v>
      </c>
      <c r="N1400" s="7">
        <f t="shared" si="6"/>
        <v>118503</v>
      </c>
    </row>
    <row r="1401">
      <c r="A1401" s="5" t="s">
        <v>2448</v>
      </c>
      <c r="B1401" s="6"/>
      <c r="C1401" s="5" t="s">
        <v>2762</v>
      </c>
      <c r="D1401" s="13" t="s">
        <v>2763</v>
      </c>
      <c r="E1401" s="8">
        <v>308880.0</v>
      </c>
      <c r="F1401" s="6"/>
      <c r="G1401" s="8">
        <v>1355130.0</v>
      </c>
      <c r="H1401" s="5" t="s">
        <v>22</v>
      </c>
      <c r="I1401" s="7">
        <f t="shared" si="1"/>
        <v>2032695</v>
      </c>
      <c r="J1401" s="7">
        <f t="shared" si="7"/>
        <v>1761669</v>
      </c>
      <c r="K1401" s="7">
        <f t="shared" si="3"/>
        <v>1761669</v>
      </c>
      <c r="L1401" s="7">
        <f t="shared" si="4"/>
        <v>1626156</v>
      </c>
      <c r="M1401" s="7">
        <f t="shared" si="5"/>
        <v>1558399.5</v>
      </c>
      <c r="N1401" s="7">
        <f t="shared" si="6"/>
        <v>1490643</v>
      </c>
    </row>
    <row r="1402">
      <c r="A1402" s="5" t="s">
        <v>2448</v>
      </c>
      <c r="B1402" s="6"/>
      <c r="C1402" s="5" t="s">
        <v>2764</v>
      </c>
      <c r="D1402" s="5">
        <v>789863.0</v>
      </c>
      <c r="E1402" s="6"/>
      <c r="F1402" s="6"/>
      <c r="G1402" s="6"/>
      <c r="H1402" s="5" t="s">
        <v>22</v>
      </c>
      <c r="I1402" s="7">
        <f t="shared" si="1"/>
        <v>0</v>
      </c>
      <c r="J1402" s="7">
        <f t="shared" si="7"/>
        <v>0</v>
      </c>
      <c r="K1402" s="7">
        <f t="shared" si="3"/>
        <v>0</v>
      </c>
      <c r="L1402" s="7">
        <f t="shared" si="4"/>
        <v>0</v>
      </c>
      <c r="M1402" s="7">
        <f t="shared" si="5"/>
        <v>0</v>
      </c>
      <c r="N1402" s="7">
        <f t="shared" si="6"/>
        <v>0</v>
      </c>
    </row>
    <row r="1403">
      <c r="A1403" s="5" t="s">
        <v>2448</v>
      </c>
      <c r="B1403" s="6"/>
      <c r="C1403" s="5" t="s">
        <v>2765</v>
      </c>
      <c r="D1403" s="5">
        <v>805551.0</v>
      </c>
      <c r="E1403" s="8">
        <v>612755.0</v>
      </c>
      <c r="F1403" s="6"/>
      <c r="G1403" s="8">
        <v>153090.0</v>
      </c>
      <c r="H1403" s="5" t="s">
        <v>22</v>
      </c>
      <c r="I1403" s="7">
        <f t="shared" si="1"/>
        <v>229635</v>
      </c>
      <c r="J1403" s="7">
        <f t="shared" si="7"/>
        <v>199017</v>
      </c>
      <c r="K1403" s="7">
        <f t="shared" si="3"/>
        <v>199017</v>
      </c>
      <c r="L1403" s="7">
        <f t="shared" si="4"/>
        <v>183708</v>
      </c>
      <c r="M1403" s="7">
        <f t="shared" si="5"/>
        <v>176053.5</v>
      </c>
      <c r="N1403" s="7">
        <f t="shared" si="6"/>
        <v>168399</v>
      </c>
    </row>
    <row r="1404">
      <c r="A1404" s="5" t="s">
        <v>2448</v>
      </c>
      <c r="B1404" s="6"/>
      <c r="C1404" s="5" t="s">
        <v>2766</v>
      </c>
      <c r="D1404" s="5">
        <v>805580.0</v>
      </c>
      <c r="E1404" s="8">
        <v>35392.5</v>
      </c>
      <c r="F1404" s="6"/>
      <c r="G1404" s="8">
        <v>93870.0</v>
      </c>
      <c r="H1404" s="5" t="s">
        <v>22</v>
      </c>
      <c r="I1404" s="7">
        <f t="shared" si="1"/>
        <v>140805</v>
      </c>
      <c r="J1404" s="7">
        <f t="shared" si="7"/>
        <v>122031</v>
      </c>
      <c r="K1404" s="7">
        <f t="shared" si="3"/>
        <v>122031</v>
      </c>
      <c r="L1404" s="7">
        <f t="shared" si="4"/>
        <v>112644</v>
      </c>
      <c r="M1404" s="7">
        <f t="shared" si="5"/>
        <v>107950.5</v>
      </c>
      <c r="N1404" s="7">
        <f t="shared" si="6"/>
        <v>103257</v>
      </c>
    </row>
    <row r="1405">
      <c r="A1405" s="5" t="s">
        <v>2448</v>
      </c>
      <c r="B1405" s="6"/>
      <c r="C1405" s="5" t="s">
        <v>2767</v>
      </c>
      <c r="D1405" s="5" t="s">
        <v>2768</v>
      </c>
      <c r="E1405" s="8">
        <v>305305.0</v>
      </c>
      <c r="F1405" s="6"/>
      <c r="G1405" s="8">
        <v>52605.0</v>
      </c>
      <c r="H1405" s="5" t="s">
        <v>22</v>
      </c>
      <c r="I1405" s="7">
        <f t="shared" si="1"/>
        <v>78907.5</v>
      </c>
      <c r="J1405" s="7">
        <f t="shared" si="7"/>
        <v>68386.5</v>
      </c>
      <c r="K1405" s="7">
        <f t="shared" si="3"/>
        <v>68386.5</v>
      </c>
      <c r="L1405" s="7">
        <f t="shared" si="4"/>
        <v>63126</v>
      </c>
      <c r="M1405" s="7">
        <f t="shared" si="5"/>
        <v>60495.75</v>
      </c>
      <c r="N1405" s="7">
        <f t="shared" si="6"/>
        <v>57865.5</v>
      </c>
    </row>
    <row r="1406">
      <c r="A1406" s="5" t="s">
        <v>2448</v>
      </c>
      <c r="B1406" s="6"/>
      <c r="C1406" s="5" t="s">
        <v>2769</v>
      </c>
      <c r="D1406" s="5">
        <v>805552.0</v>
      </c>
      <c r="E1406" s="8">
        <v>25740.0</v>
      </c>
      <c r="F1406" s="6"/>
      <c r="G1406" s="8">
        <v>5638.5</v>
      </c>
      <c r="H1406" s="5" t="s">
        <v>22</v>
      </c>
      <c r="I1406" s="7">
        <f t="shared" si="1"/>
        <v>8457.75</v>
      </c>
      <c r="J1406" s="7">
        <f t="shared" si="7"/>
        <v>7330.05</v>
      </c>
      <c r="K1406" s="7">
        <f t="shared" si="3"/>
        <v>7330.05</v>
      </c>
      <c r="L1406" s="7">
        <f t="shared" si="4"/>
        <v>6766.2</v>
      </c>
      <c r="M1406" s="7">
        <f t="shared" si="5"/>
        <v>6484.275</v>
      </c>
      <c r="N1406" s="7">
        <f t="shared" si="6"/>
        <v>6202.35</v>
      </c>
    </row>
    <row r="1407">
      <c r="A1407" s="5" t="s">
        <v>2448</v>
      </c>
      <c r="B1407" s="6"/>
      <c r="C1407" s="5" t="s">
        <v>2770</v>
      </c>
      <c r="D1407" s="5">
        <v>805553.0</v>
      </c>
      <c r="E1407" s="8">
        <v>19662.5</v>
      </c>
      <c r="F1407" s="6"/>
      <c r="G1407" s="8">
        <v>78120.0</v>
      </c>
      <c r="H1407" s="5" t="s">
        <v>22</v>
      </c>
      <c r="I1407" s="7">
        <f t="shared" si="1"/>
        <v>117180</v>
      </c>
      <c r="J1407" s="7">
        <f t="shared" si="7"/>
        <v>101556</v>
      </c>
      <c r="K1407" s="7">
        <f t="shared" si="3"/>
        <v>101556</v>
      </c>
      <c r="L1407" s="7">
        <f t="shared" si="4"/>
        <v>93744</v>
      </c>
      <c r="M1407" s="7">
        <f t="shared" si="5"/>
        <v>89838</v>
      </c>
      <c r="N1407" s="7">
        <f t="shared" si="6"/>
        <v>85932</v>
      </c>
    </row>
    <row r="1408">
      <c r="A1408" s="5" t="s">
        <v>2448</v>
      </c>
      <c r="B1408" s="6"/>
      <c r="C1408" s="5" t="s">
        <v>2771</v>
      </c>
      <c r="D1408" s="5">
        <v>805571.0</v>
      </c>
      <c r="E1408" s="8">
        <v>8115.25</v>
      </c>
      <c r="F1408" s="6"/>
      <c r="G1408" s="8">
        <v>11025.0</v>
      </c>
      <c r="H1408" s="5" t="s">
        <v>22</v>
      </c>
      <c r="I1408" s="7">
        <f t="shared" si="1"/>
        <v>16537.5</v>
      </c>
      <c r="J1408" s="7">
        <f t="shared" si="7"/>
        <v>14332.5</v>
      </c>
      <c r="K1408" s="7">
        <f t="shared" si="3"/>
        <v>14332.5</v>
      </c>
      <c r="L1408" s="7">
        <f t="shared" si="4"/>
        <v>13230</v>
      </c>
      <c r="M1408" s="7">
        <f t="shared" si="5"/>
        <v>12678.75</v>
      </c>
      <c r="N1408" s="7">
        <f t="shared" si="6"/>
        <v>12127.5</v>
      </c>
    </row>
    <row r="1409">
      <c r="A1409" s="5" t="s">
        <v>2448</v>
      </c>
      <c r="B1409" s="6"/>
      <c r="C1409" s="5" t="s">
        <v>2772</v>
      </c>
      <c r="D1409" s="5">
        <v>805574.0</v>
      </c>
      <c r="E1409" s="5">
        <v>747.18</v>
      </c>
      <c r="F1409" s="6"/>
      <c r="G1409" s="8">
        <v>65520.0</v>
      </c>
      <c r="H1409" s="5" t="s">
        <v>22</v>
      </c>
      <c r="I1409" s="7">
        <f t="shared" si="1"/>
        <v>98280</v>
      </c>
      <c r="J1409" s="7">
        <f t="shared" si="7"/>
        <v>85176</v>
      </c>
      <c r="K1409" s="7">
        <f t="shared" si="3"/>
        <v>85176</v>
      </c>
      <c r="L1409" s="7">
        <f t="shared" si="4"/>
        <v>78624</v>
      </c>
      <c r="M1409" s="7">
        <f t="shared" si="5"/>
        <v>75348</v>
      </c>
      <c r="N1409" s="7">
        <f t="shared" si="6"/>
        <v>72072</v>
      </c>
    </row>
    <row r="1410">
      <c r="A1410" s="5" t="s">
        <v>2448</v>
      </c>
      <c r="B1410" s="6"/>
      <c r="C1410" s="5" t="s">
        <v>2773</v>
      </c>
      <c r="D1410" s="5">
        <v>805581.0</v>
      </c>
      <c r="E1410" s="8">
        <v>18590.0</v>
      </c>
      <c r="F1410" s="6"/>
      <c r="G1410" s="8">
        <v>71190.0</v>
      </c>
      <c r="H1410" s="5" t="s">
        <v>22</v>
      </c>
      <c r="I1410" s="7">
        <f t="shared" si="1"/>
        <v>106785</v>
      </c>
      <c r="J1410" s="7">
        <f t="shared" si="7"/>
        <v>92547</v>
      </c>
      <c r="K1410" s="7">
        <f t="shared" si="3"/>
        <v>92547</v>
      </c>
      <c r="L1410" s="7">
        <f t="shared" si="4"/>
        <v>85428</v>
      </c>
      <c r="M1410" s="7">
        <f t="shared" si="5"/>
        <v>81868.5</v>
      </c>
      <c r="N1410" s="7">
        <f t="shared" si="6"/>
        <v>78309</v>
      </c>
    </row>
    <row r="1411">
      <c r="A1411" s="5" t="s">
        <v>2448</v>
      </c>
      <c r="B1411" s="6"/>
      <c r="C1411" s="5" t="s">
        <v>2774</v>
      </c>
      <c r="D1411" s="5">
        <v>805587.0</v>
      </c>
      <c r="E1411" s="8">
        <v>4064.78</v>
      </c>
      <c r="F1411" s="6"/>
      <c r="G1411" s="5">
        <v>623.7</v>
      </c>
      <c r="H1411" s="5" t="s">
        <v>22</v>
      </c>
      <c r="I1411" s="7">
        <f t="shared" si="1"/>
        <v>935.55</v>
      </c>
      <c r="J1411" s="7">
        <f t="shared" si="7"/>
        <v>810.81</v>
      </c>
      <c r="K1411" s="7">
        <f t="shared" si="3"/>
        <v>810.81</v>
      </c>
      <c r="L1411" s="7">
        <f t="shared" si="4"/>
        <v>748.44</v>
      </c>
      <c r="M1411" s="7">
        <f t="shared" si="5"/>
        <v>717.255</v>
      </c>
      <c r="N1411" s="7">
        <f t="shared" si="6"/>
        <v>686.07</v>
      </c>
    </row>
    <row r="1412">
      <c r="A1412" s="5" t="s">
        <v>2448</v>
      </c>
      <c r="B1412" s="6"/>
      <c r="C1412" s="5" t="s">
        <v>2775</v>
      </c>
      <c r="D1412" s="5">
        <v>781463.0</v>
      </c>
      <c r="E1412" s="8">
        <v>26812.5</v>
      </c>
      <c r="F1412" s="6"/>
      <c r="G1412" s="8">
        <v>132930.0</v>
      </c>
      <c r="H1412" s="5" t="s">
        <v>22</v>
      </c>
      <c r="I1412" s="7">
        <f t="shared" si="1"/>
        <v>199395</v>
      </c>
      <c r="J1412" s="7">
        <f t="shared" si="7"/>
        <v>172809</v>
      </c>
      <c r="K1412" s="7">
        <f t="shared" si="3"/>
        <v>172809</v>
      </c>
      <c r="L1412" s="7">
        <f t="shared" si="4"/>
        <v>159516</v>
      </c>
      <c r="M1412" s="7">
        <f t="shared" si="5"/>
        <v>152869.5</v>
      </c>
      <c r="N1412" s="7">
        <f t="shared" si="6"/>
        <v>146223</v>
      </c>
    </row>
    <row r="1413">
      <c r="A1413" s="5" t="s">
        <v>2448</v>
      </c>
      <c r="B1413" s="6"/>
      <c r="C1413" s="5" t="s">
        <v>2776</v>
      </c>
      <c r="D1413" s="5">
        <v>781466.0</v>
      </c>
      <c r="E1413" s="8">
        <v>6113.25</v>
      </c>
      <c r="F1413" s="6"/>
      <c r="G1413" s="8">
        <v>1314810.0</v>
      </c>
      <c r="H1413" s="5" t="s">
        <v>22</v>
      </c>
      <c r="I1413" s="7">
        <f t="shared" si="1"/>
        <v>1972215</v>
      </c>
      <c r="J1413" s="7">
        <f t="shared" si="7"/>
        <v>1709253</v>
      </c>
      <c r="K1413" s="7">
        <f t="shared" si="3"/>
        <v>1709253</v>
      </c>
      <c r="L1413" s="7">
        <f t="shared" si="4"/>
        <v>1577772</v>
      </c>
      <c r="M1413" s="7">
        <f t="shared" si="5"/>
        <v>1512031.5</v>
      </c>
      <c r="N1413" s="7">
        <f t="shared" si="6"/>
        <v>1446291</v>
      </c>
    </row>
    <row r="1414">
      <c r="A1414" s="5" t="s">
        <v>2448</v>
      </c>
      <c r="B1414" s="6"/>
      <c r="C1414" s="5" t="s">
        <v>2777</v>
      </c>
      <c r="D1414" s="5" t="s">
        <v>2778</v>
      </c>
      <c r="E1414" s="8">
        <v>74717.5</v>
      </c>
      <c r="F1414" s="6"/>
      <c r="G1414" s="8">
        <v>1414.35</v>
      </c>
      <c r="H1414" s="5" t="s">
        <v>22</v>
      </c>
      <c r="I1414" s="7">
        <f t="shared" si="1"/>
        <v>2121.525</v>
      </c>
      <c r="J1414" s="7">
        <f t="shared" si="7"/>
        <v>1838.655</v>
      </c>
      <c r="K1414" s="7">
        <f t="shared" si="3"/>
        <v>1838.655</v>
      </c>
      <c r="L1414" s="7">
        <f t="shared" si="4"/>
        <v>1697.22</v>
      </c>
      <c r="M1414" s="7">
        <f t="shared" si="5"/>
        <v>1626.5025</v>
      </c>
      <c r="N1414" s="7">
        <f t="shared" si="6"/>
        <v>1555.785</v>
      </c>
    </row>
    <row r="1415">
      <c r="A1415" s="5" t="s">
        <v>2448</v>
      </c>
      <c r="B1415" s="6"/>
      <c r="C1415" s="5" t="s">
        <v>2779</v>
      </c>
      <c r="D1415" s="5" t="s">
        <v>2780</v>
      </c>
      <c r="E1415" s="8">
        <v>235950.0</v>
      </c>
      <c r="F1415" s="6"/>
      <c r="G1415" s="8">
        <v>132930.0</v>
      </c>
      <c r="H1415" s="5" t="s">
        <v>22</v>
      </c>
      <c r="I1415" s="7">
        <f t="shared" si="1"/>
        <v>199395</v>
      </c>
      <c r="J1415" s="7">
        <f t="shared" si="7"/>
        <v>172809</v>
      </c>
      <c r="K1415" s="7">
        <f t="shared" si="3"/>
        <v>172809</v>
      </c>
      <c r="L1415" s="7">
        <f t="shared" si="4"/>
        <v>159516</v>
      </c>
      <c r="M1415" s="7">
        <f t="shared" si="5"/>
        <v>152869.5</v>
      </c>
      <c r="N1415" s="7">
        <f t="shared" si="6"/>
        <v>146223</v>
      </c>
    </row>
    <row r="1416">
      <c r="A1416" s="5" t="s">
        <v>2448</v>
      </c>
      <c r="B1416" s="6"/>
      <c r="C1416" s="5" t="s">
        <v>2781</v>
      </c>
      <c r="D1416" s="5" t="s">
        <v>2782</v>
      </c>
      <c r="E1416" s="8">
        <v>713570.0</v>
      </c>
      <c r="F1416" s="6"/>
      <c r="G1416" s="8">
        <v>28665.0</v>
      </c>
      <c r="H1416" s="5" t="s">
        <v>22</v>
      </c>
      <c r="I1416" s="7">
        <f t="shared" si="1"/>
        <v>42997.5</v>
      </c>
      <c r="J1416" s="7">
        <f t="shared" si="7"/>
        <v>37264.5</v>
      </c>
      <c r="K1416" s="7">
        <f t="shared" si="3"/>
        <v>37264.5</v>
      </c>
      <c r="L1416" s="7">
        <f t="shared" si="4"/>
        <v>34398</v>
      </c>
      <c r="M1416" s="7">
        <f t="shared" si="5"/>
        <v>32964.75</v>
      </c>
      <c r="N1416" s="7">
        <f t="shared" si="6"/>
        <v>31531.5</v>
      </c>
    </row>
    <row r="1417">
      <c r="A1417" s="5" t="s">
        <v>2448</v>
      </c>
      <c r="B1417" s="6"/>
      <c r="C1417" s="5" t="s">
        <v>2783</v>
      </c>
      <c r="D1417" s="5" t="s">
        <v>2784</v>
      </c>
      <c r="E1417" s="8">
        <v>1229800.0</v>
      </c>
      <c r="F1417" s="6"/>
      <c r="G1417" s="8">
        <v>49455.0</v>
      </c>
      <c r="H1417" s="5" t="s">
        <v>22</v>
      </c>
      <c r="I1417" s="7">
        <f t="shared" si="1"/>
        <v>74182.5</v>
      </c>
      <c r="J1417" s="7">
        <f t="shared" si="7"/>
        <v>64291.5</v>
      </c>
      <c r="K1417" s="7">
        <f t="shared" si="3"/>
        <v>64291.5</v>
      </c>
      <c r="L1417" s="7">
        <f t="shared" si="4"/>
        <v>59346</v>
      </c>
      <c r="M1417" s="7">
        <f t="shared" si="5"/>
        <v>56873.25</v>
      </c>
      <c r="N1417" s="7">
        <f t="shared" si="6"/>
        <v>54400.5</v>
      </c>
    </row>
    <row r="1418">
      <c r="A1418" s="5" t="s">
        <v>2448</v>
      </c>
      <c r="B1418" s="6"/>
      <c r="C1418" s="5" t="s">
        <v>2785</v>
      </c>
      <c r="D1418" s="5" t="s">
        <v>2786</v>
      </c>
      <c r="E1418" s="8">
        <v>2535390.0</v>
      </c>
      <c r="F1418" s="6"/>
      <c r="G1418" s="8">
        <v>116550.0</v>
      </c>
      <c r="H1418" s="5" t="s">
        <v>22</v>
      </c>
      <c r="I1418" s="7">
        <f t="shared" si="1"/>
        <v>174825</v>
      </c>
      <c r="J1418" s="7">
        <f t="shared" si="7"/>
        <v>151515</v>
      </c>
      <c r="K1418" s="7">
        <f t="shared" si="3"/>
        <v>151515</v>
      </c>
      <c r="L1418" s="7">
        <f t="shared" si="4"/>
        <v>139860</v>
      </c>
      <c r="M1418" s="7">
        <f t="shared" si="5"/>
        <v>134032.5</v>
      </c>
      <c r="N1418" s="7">
        <f t="shared" si="6"/>
        <v>128205</v>
      </c>
    </row>
    <row r="1419">
      <c r="A1419" s="5" t="s">
        <v>2448</v>
      </c>
      <c r="B1419" s="6"/>
      <c r="C1419" s="5" t="s">
        <v>2787</v>
      </c>
      <c r="D1419" s="5" t="s">
        <v>2788</v>
      </c>
      <c r="E1419" s="8">
        <v>4437290.0</v>
      </c>
      <c r="F1419" s="6"/>
      <c r="G1419" s="8">
        <v>234612.0</v>
      </c>
      <c r="H1419" s="5" t="s">
        <v>22</v>
      </c>
      <c r="I1419" s="7">
        <f t="shared" si="1"/>
        <v>351918</v>
      </c>
      <c r="J1419" s="7">
        <f t="shared" si="7"/>
        <v>304995.6</v>
      </c>
      <c r="K1419" s="7">
        <f t="shared" si="3"/>
        <v>304995.6</v>
      </c>
      <c r="L1419" s="7">
        <f t="shared" si="4"/>
        <v>281534.4</v>
      </c>
      <c r="M1419" s="7">
        <f t="shared" si="5"/>
        <v>269803.8</v>
      </c>
      <c r="N1419" s="7">
        <f t="shared" si="6"/>
        <v>258073.2</v>
      </c>
    </row>
    <row r="1420">
      <c r="A1420" s="5" t="s">
        <v>2448</v>
      </c>
      <c r="B1420" s="6"/>
      <c r="C1420" s="5" t="s">
        <v>2789</v>
      </c>
      <c r="D1420" s="5" t="s">
        <v>2790</v>
      </c>
      <c r="E1420" s="8">
        <v>7922915.0</v>
      </c>
      <c r="F1420" s="6"/>
      <c r="G1420" s="8">
        <v>4410.0</v>
      </c>
      <c r="H1420" s="5" t="s">
        <v>22</v>
      </c>
      <c r="I1420" s="7">
        <f t="shared" si="1"/>
        <v>6615</v>
      </c>
      <c r="J1420" s="7">
        <f t="shared" si="7"/>
        <v>5733</v>
      </c>
      <c r="K1420" s="7">
        <f t="shared" si="3"/>
        <v>5733</v>
      </c>
      <c r="L1420" s="7">
        <f t="shared" si="4"/>
        <v>5292</v>
      </c>
      <c r="M1420" s="7">
        <f t="shared" si="5"/>
        <v>5071.5</v>
      </c>
      <c r="N1420" s="7">
        <f t="shared" si="6"/>
        <v>4851</v>
      </c>
    </row>
    <row r="1421">
      <c r="A1421" s="5" t="s">
        <v>2448</v>
      </c>
      <c r="B1421" s="6"/>
      <c r="C1421" s="5" t="s">
        <v>2791</v>
      </c>
      <c r="D1421" s="5" t="s">
        <v>2792</v>
      </c>
      <c r="E1421" s="8">
        <v>238095.0</v>
      </c>
      <c r="F1421" s="6"/>
      <c r="G1421" s="8">
        <v>434070.0</v>
      </c>
      <c r="H1421" s="5" t="s">
        <v>22</v>
      </c>
      <c r="I1421" s="7">
        <f t="shared" si="1"/>
        <v>651105</v>
      </c>
      <c r="J1421" s="7">
        <f t="shared" si="7"/>
        <v>564291</v>
      </c>
      <c r="K1421" s="7">
        <f t="shared" si="3"/>
        <v>564291</v>
      </c>
      <c r="L1421" s="7">
        <f t="shared" si="4"/>
        <v>520884</v>
      </c>
      <c r="M1421" s="7">
        <f t="shared" si="5"/>
        <v>499180.5</v>
      </c>
      <c r="N1421" s="7">
        <f t="shared" si="6"/>
        <v>477477</v>
      </c>
    </row>
    <row r="1422">
      <c r="A1422" s="5" t="s">
        <v>2448</v>
      </c>
      <c r="B1422" s="6"/>
      <c r="C1422" s="5" t="s">
        <v>2793</v>
      </c>
      <c r="D1422" s="5" t="s">
        <v>2794</v>
      </c>
      <c r="E1422" s="8">
        <v>792220.0</v>
      </c>
      <c r="F1422" s="6"/>
      <c r="G1422" s="8">
        <v>26901.0</v>
      </c>
      <c r="H1422" s="5" t="s">
        <v>22</v>
      </c>
      <c r="I1422" s="7">
        <f t="shared" si="1"/>
        <v>40351.5</v>
      </c>
      <c r="J1422" s="7">
        <f t="shared" si="7"/>
        <v>34971.3</v>
      </c>
      <c r="K1422" s="7">
        <f t="shared" si="3"/>
        <v>34971.3</v>
      </c>
      <c r="L1422" s="7">
        <f t="shared" si="4"/>
        <v>32281.2</v>
      </c>
      <c r="M1422" s="7">
        <f t="shared" si="5"/>
        <v>30936.15</v>
      </c>
      <c r="N1422" s="7">
        <f t="shared" si="6"/>
        <v>29591.1</v>
      </c>
    </row>
    <row r="1423">
      <c r="A1423" s="5" t="s">
        <v>2448</v>
      </c>
      <c r="B1423" s="6"/>
      <c r="C1423" s="5" t="s">
        <v>2795</v>
      </c>
      <c r="D1423" s="5" t="s">
        <v>2796</v>
      </c>
      <c r="E1423" s="8">
        <v>1268410.0</v>
      </c>
      <c r="F1423" s="6"/>
      <c r="G1423" s="8">
        <v>213570.0</v>
      </c>
      <c r="H1423" s="5" t="s">
        <v>22</v>
      </c>
      <c r="I1423" s="7">
        <f t="shared" si="1"/>
        <v>320355</v>
      </c>
      <c r="J1423" s="7">
        <f t="shared" si="7"/>
        <v>277641</v>
      </c>
      <c r="K1423" s="7">
        <f t="shared" si="3"/>
        <v>277641</v>
      </c>
      <c r="L1423" s="7">
        <f t="shared" si="4"/>
        <v>256284</v>
      </c>
      <c r="M1423" s="7">
        <f t="shared" si="5"/>
        <v>245605.5</v>
      </c>
      <c r="N1423" s="7">
        <f t="shared" si="6"/>
        <v>234927</v>
      </c>
    </row>
    <row r="1424">
      <c r="A1424" s="5" t="s">
        <v>2448</v>
      </c>
      <c r="B1424" s="6"/>
      <c r="C1424" s="5" t="s">
        <v>2797</v>
      </c>
      <c r="D1424" s="5" t="s">
        <v>2798</v>
      </c>
      <c r="E1424" s="8">
        <v>2218645.0</v>
      </c>
      <c r="F1424" s="6"/>
      <c r="G1424" s="8">
        <v>19593.0</v>
      </c>
      <c r="H1424" s="5" t="s">
        <v>22</v>
      </c>
      <c r="I1424" s="7">
        <f t="shared" si="1"/>
        <v>29389.5</v>
      </c>
      <c r="J1424" s="7">
        <f t="shared" si="7"/>
        <v>25470.9</v>
      </c>
      <c r="K1424" s="7">
        <f t="shared" si="3"/>
        <v>25470.9</v>
      </c>
      <c r="L1424" s="7">
        <f t="shared" si="4"/>
        <v>23511.6</v>
      </c>
      <c r="M1424" s="7">
        <f t="shared" si="5"/>
        <v>22531.95</v>
      </c>
      <c r="N1424" s="7">
        <f t="shared" si="6"/>
        <v>21552.3</v>
      </c>
    </row>
    <row r="1425">
      <c r="A1425" s="5" t="s">
        <v>2448</v>
      </c>
      <c r="B1425" s="6"/>
      <c r="C1425" s="5" t="s">
        <v>2799</v>
      </c>
      <c r="D1425" s="5" t="s">
        <v>2800</v>
      </c>
      <c r="E1425" s="8">
        <v>190190.0</v>
      </c>
      <c r="F1425" s="6"/>
      <c r="G1425" s="8">
        <v>15057.0</v>
      </c>
      <c r="H1425" s="5" t="s">
        <v>22</v>
      </c>
      <c r="I1425" s="7">
        <f t="shared" si="1"/>
        <v>22585.5</v>
      </c>
      <c r="J1425" s="7">
        <f t="shared" si="7"/>
        <v>19574.1</v>
      </c>
      <c r="K1425" s="7">
        <f t="shared" si="3"/>
        <v>19574.1</v>
      </c>
      <c r="L1425" s="7">
        <f t="shared" si="4"/>
        <v>18068.4</v>
      </c>
      <c r="M1425" s="7">
        <f t="shared" si="5"/>
        <v>17315.55</v>
      </c>
      <c r="N1425" s="7">
        <f t="shared" si="6"/>
        <v>16562.7</v>
      </c>
    </row>
    <row r="1426">
      <c r="A1426" s="5" t="s">
        <v>2448</v>
      </c>
      <c r="B1426" s="6"/>
      <c r="C1426" s="5" t="s">
        <v>2801</v>
      </c>
      <c r="D1426" s="5" t="s">
        <v>2802</v>
      </c>
      <c r="E1426" s="8">
        <v>760760.0</v>
      </c>
      <c r="F1426" s="6"/>
      <c r="G1426" s="8">
        <v>6174.0</v>
      </c>
      <c r="H1426" s="5" t="s">
        <v>22</v>
      </c>
      <c r="I1426" s="7">
        <f t="shared" si="1"/>
        <v>9261</v>
      </c>
      <c r="J1426" s="7">
        <f t="shared" si="7"/>
        <v>8026.2</v>
      </c>
      <c r="K1426" s="7">
        <f t="shared" si="3"/>
        <v>8026.2</v>
      </c>
      <c r="L1426" s="7">
        <f t="shared" si="4"/>
        <v>7408.8</v>
      </c>
      <c r="M1426" s="7">
        <f t="shared" si="5"/>
        <v>7100.1</v>
      </c>
      <c r="N1426" s="7">
        <f t="shared" si="6"/>
        <v>6791.4</v>
      </c>
    </row>
    <row r="1427">
      <c r="A1427" s="5" t="s">
        <v>2448</v>
      </c>
      <c r="B1427" s="6"/>
      <c r="C1427" s="5" t="s">
        <v>2803</v>
      </c>
      <c r="D1427" s="5" t="s">
        <v>2804</v>
      </c>
      <c r="E1427" s="8">
        <v>1108965.0</v>
      </c>
      <c r="F1427" s="6"/>
      <c r="G1427" s="5">
        <v>567.0</v>
      </c>
      <c r="H1427" s="5" t="s">
        <v>22</v>
      </c>
      <c r="I1427" s="7">
        <f t="shared" si="1"/>
        <v>850.5</v>
      </c>
      <c r="J1427" s="7">
        <f t="shared" si="7"/>
        <v>737.1</v>
      </c>
      <c r="K1427" s="7">
        <f t="shared" si="3"/>
        <v>737.1</v>
      </c>
      <c r="L1427" s="7">
        <f t="shared" si="4"/>
        <v>680.4</v>
      </c>
      <c r="M1427" s="7">
        <f t="shared" si="5"/>
        <v>652.05</v>
      </c>
      <c r="N1427" s="7">
        <f t="shared" si="6"/>
        <v>623.7</v>
      </c>
    </row>
    <row r="1428">
      <c r="A1428" s="5" t="s">
        <v>2448</v>
      </c>
      <c r="B1428" s="6"/>
      <c r="C1428" s="5" t="s">
        <v>2805</v>
      </c>
      <c r="D1428" s="5" t="s">
        <v>2806</v>
      </c>
      <c r="E1428" s="8">
        <v>1743170.0</v>
      </c>
      <c r="F1428" s="6"/>
      <c r="G1428" s="8">
        <v>14238.0</v>
      </c>
      <c r="H1428" s="5" t="s">
        <v>22</v>
      </c>
      <c r="I1428" s="7">
        <f t="shared" si="1"/>
        <v>21357</v>
      </c>
      <c r="J1428" s="7">
        <f t="shared" si="7"/>
        <v>18509.4</v>
      </c>
      <c r="K1428" s="7">
        <f t="shared" si="3"/>
        <v>18509.4</v>
      </c>
      <c r="L1428" s="7">
        <f t="shared" si="4"/>
        <v>17085.6</v>
      </c>
      <c r="M1428" s="7">
        <f t="shared" si="5"/>
        <v>16373.7</v>
      </c>
      <c r="N1428" s="7">
        <f t="shared" si="6"/>
        <v>15661.8</v>
      </c>
    </row>
    <row r="1429">
      <c r="A1429" s="5" t="s">
        <v>2448</v>
      </c>
      <c r="B1429" s="6"/>
      <c r="C1429" s="5" t="s">
        <v>2807</v>
      </c>
      <c r="D1429" s="5" t="s">
        <v>2808</v>
      </c>
      <c r="E1429" s="8">
        <v>253825.0</v>
      </c>
      <c r="F1429" s="6"/>
      <c r="G1429" s="8">
        <v>3087.0</v>
      </c>
      <c r="H1429" s="5" t="s">
        <v>22</v>
      </c>
      <c r="I1429" s="7">
        <f t="shared" si="1"/>
        <v>4630.5</v>
      </c>
      <c r="J1429" s="7">
        <f t="shared" si="7"/>
        <v>4013.1</v>
      </c>
      <c r="K1429" s="7">
        <f t="shared" si="3"/>
        <v>4013.1</v>
      </c>
      <c r="L1429" s="7">
        <f t="shared" si="4"/>
        <v>3704.4</v>
      </c>
      <c r="M1429" s="7">
        <f t="shared" si="5"/>
        <v>3550.05</v>
      </c>
      <c r="N1429" s="7">
        <f t="shared" si="6"/>
        <v>3395.7</v>
      </c>
    </row>
    <row r="1430">
      <c r="A1430" s="5" t="s">
        <v>2448</v>
      </c>
      <c r="B1430" s="6"/>
      <c r="C1430" s="5" t="s">
        <v>2807</v>
      </c>
      <c r="D1430" s="5" t="s">
        <v>2809</v>
      </c>
      <c r="E1430" s="8">
        <v>475475.0</v>
      </c>
      <c r="F1430" s="6"/>
      <c r="G1430" s="8">
        <v>18900.0</v>
      </c>
      <c r="H1430" s="5" t="s">
        <v>22</v>
      </c>
      <c r="I1430" s="7">
        <f t="shared" si="1"/>
        <v>28350</v>
      </c>
      <c r="J1430" s="7">
        <f t="shared" si="7"/>
        <v>24570</v>
      </c>
      <c r="K1430" s="7">
        <f t="shared" si="3"/>
        <v>24570</v>
      </c>
      <c r="L1430" s="7">
        <f t="shared" si="4"/>
        <v>22680</v>
      </c>
      <c r="M1430" s="7">
        <f t="shared" si="5"/>
        <v>21735</v>
      </c>
      <c r="N1430" s="7">
        <f t="shared" si="6"/>
        <v>20790</v>
      </c>
    </row>
    <row r="1431">
      <c r="A1431" s="5" t="s">
        <v>2448</v>
      </c>
      <c r="B1431" s="6"/>
      <c r="C1431" s="5" t="s">
        <v>2807</v>
      </c>
      <c r="D1431" s="5" t="s">
        <v>2810</v>
      </c>
      <c r="E1431" s="8">
        <v>1036035.0</v>
      </c>
      <c r="F1431" s="6"/>
      <c r="G1431" s="8">
        <v>4252.5</v>
      </c>
      <c r="H1431" s="5" t="s">
        <v>22</v>
      </c>
      <c r="I1431" s="7">
        <f t="shared" si="1"/>
        <v>6378.75</v>
      </c>
      <c r="J1431" s="7">
        <f t="shared" si="7"/>
        <v>5528.25</v>
      </c>
      <c r="K1431" s="7">
        <f t="shared" si="3"/>
        <v>5528.25</v>
      </c>
      <c r="L1431" s="7">
        <f t="shared" si="4"/>
        <v>5103</v>
      </c>
      <c r="M1431" s="7">
        <f t="shared" si="5"/>
        <v>4890.375</v>
      </c>
      <c r="N1431" s="7">
        <f t="shared" si="6"/>
        <v>4677.75</v>
      </c>
    </row>
    <row r="1432">
      <c r="A1432" s="5" t="s">
        <v>2448</v>
      </c>
      <c r="B1432" s="6"/>
      <c r="C1432" s="5" t="s">
        <v>2807</v>
      </c>
      <c r="D1432" s="5" t="s">
        <v>2811</v>
      </c>
      <c r="E1432" s="8">
        <v>1585155.0</v>
      </c>
      <c r="F1432" s="6"/>
      <c r="G1432" s="8">
        <v>56637.0</v>
      </c>
      <c r="H1432" s="5" t="s">
        <v>22</v>
      </c>
      <c r="I1432" s="7">
        <f t="shared" si="1"/>
        <v>84955.5</v>
      </c>
      <c r="J1432" s="7">
        <f t="shared" si="7"/>
        <v>73628.1</v>
      </c>
      <c r="K1432" s="7">
        <f t="shared" si="3"/>
        <v>73628.1</v>
      </c>
      <c r="L1432" s="7">
        <f t="shared" si="4"/>
        <v>67964.4</v>
      </c>
      <c r="M1432" s="7">
        <f t="shared" si="5"/>
        <v>65132.55</v>
      </c>
      <c r="N1432" s="7">
        <f t="shared" si="6"/>
        <v>62300.7</v>
      </c>
    </row>
    <row r="1433">
      <c r="A1433" s="5" t="s">
        <v>2448</v>
      </c>
      <c r="B1433" s="6"/>
      <c r="C1433" s="5" t="s">
        <v>2812</v>
      </c>
      <c r="D1433" s="5" t="s">
        <v>2813</v>
      </c>
      <c r="E1433" s="8">
        <v>158730.0</v>
      </c>
      <c r="F1433" s="6"/>
      <c r="G1433" s="8">
        <v>173313.0</v>
      </c>
      <c r="H1433" s="5" t="s">
        <v>22</v>
      </c>
      <c r="I1433" s="7">
        <f t="shared" si="1"/>
        <v>259969.5</v>
      </c>
      <c r="J1433" s="7">
        <f t="shared" si="7"/>
        <v>225306.9</v>
      </c>
      <c r="K1433" s="7">
        <f t="shared" si="3"/>
        <v>225306.9</v>
      </c>
      <c r="L1433" s="7">
        <f t="shared" si="4"/>
        <v>207975.6</v>
      </c>
      <c r="M1433" s="7">
        <f t="shared" si="5"/>
        <v>199309.95</v>
      </c>
      <c r="N1433" s="7">
        <f t="shared" si="6"/>
        <v>190644.3</v>
      </c>
    </row>
    <row r="1434">
      <c r="A1434" s="5" t="s">
        <v>2448</v>
      </c>
      <c r="B1434" s="6"/>
      <c r="C1434" s="5" t="s">
        <v>2814</v>
      </c>
      <c r="D1434" s="5" t="s">
        <v>2815</v>
      </c>
      <c r="E1434" s="8">
        <v>158730.0</v>
      </c>
      <c r="F1434" s="6"/>
      <c r="G1434" s="8">
        <v>541611.0</v>
      </c>
      <c r="H1434" s="5" t="s">
        <v>22</v>
      </c>
      <c r="I1434" s="7">
        <f t="shared" si="1"/>
        <v>812416.5</v>
      </c>
      <c r="J1434" s="7">
        <f t="shared" si="7"/>
        <v>704094.3</v>
      </c>
      <c r="K1434" s="7">
        <f t="shared" si="3"/>
        <v>704094.3</v>
      </c>
      <c r="L1434" s="7">
        <f t="shared" si="4"/>
        <v>649933.2</v>
      </c>
      <c r="M1434" s="7">
        <f t="shared" si="5"/>
        <v>622852.65</v>
      </c>
      <c r="N1434" s="7">
        <f t="shared" si="6"/>
        <v>595772.1</v>
      </c>
    </row>
    <row r="1435">
      <c r="A1435" s="5" t="s">
        <v>2448</v>
      </c>
      <c r="B1435" s="6"/>
      <c r="C1435" s="5" t="s">
        <v>2816</v>
      </c>
      <c r="D1435" s="5" t="s">
        <v>2817</v>
      </c>
      <c r="E1435" s="8">
        <v>163735.0</v>
      </c>
      <c r="F1435" s="6"/>
      <c r="G1435" s="8">
        <v>902727.0</v>
      </c>
      <c r="H1435" s="5" t="s">
        <v>22</v>
      </c>
      <c r="I1435" s="7">
        <f t="shared" si="1"/>
        <v>1354090.5</v>
      </c>
      <c r="J1435" s="7">
        <f t="shared" si="7"/>
        <v>1173545.1</v>
      </c>
      <c r="K1435" s="7">
        <f t="shared" si="3"/>
        <v>1173545.1</v>
      </c>
      <c r="L1435" s="7">
        <f t="shared" si="4"/>
        <v>1083272.4</v>
      </c>
      <c r="M1435" s="7">
        <f t="shared" si="5"/>
        <v>1038136.05</v>
      </c>
      <c r="N1435" s="7">
        <f t="shared" si="6"/>
        <v>992999.7</v>
      </c>
    </row>
    <row r="1436">
      <c r="A1436" s="5" t="s">
        <v>2448</v>
      </c>
      <c r="B1436" s="6"/>
      <c r="C1436" s="5" t="s">
        <v>2818</v>
      </c>
      <c r="D1436" s="5" t="s">
        <v>2819</v>
      </c>
      <c r="E1436" s="8">
        <v>158730.0</v>
      </c>
      <c r="F1436" s="6"/>
      <c r="G1436" s="8">
        <v>1925784.0</v>
      </c>
      <c r="H1436" s="5" t="s">
        <v>22</v>
      </c>
      <c r="I1436" s="7">
        <f t="shared" si="1"/>
        <v>2888676</v>
      </c>
      <c r="J1436" s="7">
        <f t="shared" si="7"/>
        <v>2503519.2</v>
      </c>
      <c r="K1436" s="7">
        <f t="shared" si="3"/>
        <v>2503519.2</v>
      </c>
      <c r="L1436" s="7">
        <f t="shared" si="4"/>
        <v>2310940.8</v>
      </c>
      <c r="M1436" s="7">
        <f t="shared" si="5"/>
        <v>2214651.6</v>
      </c>
      <c r="N1436" s="7">
        <f t="shared" si="6"/>
        <v>2118362.4</v>
      </c>
    </row>
    <row r="1437">
      <c r="A1437" s="5" t="s">
        <v>2448</v>
      </c>
      <c r="B1437" s="6"/>
      <c r="C1437" s="5" t="s">
        <v>2820</v>
      </c>
      <c r="D1437" s="5" t="s">
        <v>2821</v>
      </c>
      <c r="E1437" s="8">
        <v>158730.0</v>
      </c>
      <c r="F1437" s="6"/>
      <c r="G1437" s="8">
        <v>3370185.0</v>
      </c>
      <c r="H1437" s="5" t="s">
        <v>22</v>
      </c>
      <c r="I1437" s="7">
        <f t="shared" si="1"/>
        <v>5055277.5</v>
      </c>
      <c r="J1437" s="7">
        <f t="shared" si="7"/>
        <v>4381240.5</v>
      </c>
      <c r="K1437" s="7">
        <f t="shared" si="3"/>
        <v>4381240.5</v>
      </c>
      <c r="L1437" s="7">
        <f t="shared" si="4"/>
        <v>4044222</v>
      </c>
      <c r="M1437" s="7">
        <f t="shared" si="5"/>
        <v>3875712.75</v>
      </c>
      <c r="N1437" s="7">
        <f t="shared" si="6"/>
        <v>3707203.5</v>
      </c>
    </row>
    <row r="1438">
      <c r="A1438" s="5" t="s">
        <v>2448</v>
      </c>
      <c r="B1438" s="6"/>
      <c r="C1438" s="5" t="s">
        <v>2822</v>
      </c>
      <c r="D1438" s="5" t="s">
        <v>2823</v>
      </c>
      <c r="E1438" s="8">
        <v>163735.0</v>
      </c>
      <c r="F1438" s="6"/>
      <c r="G1438" s="8">
        <v>6018201.0</v>
      </c>
      <c r="H1438" s="5" t="s">
        <v>22</v>
      </c>
      <c r="I1438" s="7">
        <f t="shared" si="1"/>
        <v>9027301.5</v>
      </c>
      <c r="J1438" s="7">
        <f t="shared" si="7"/>
        <v>7823661.3</v>
      </c>
      <c r="K1438" s="7">
        <f t="shared" si="3"/>
        <v>7823661.3</v>
      </c>
      <c r="L1438" s="7">
        <f t="shared" si="4"/>
        <v>7221841.2</v>
      </c>
      <c r="M1438" s="7">
        <f t="shared" si="5"/>
        <v>6920931.15</v>
      </c>
      <c r="N1438" s="7">
        <f t="shared" si="6"/>
        <v>6620021.1</v>
      </c>
    </row>
    <row r="1439">
      <c r="A1439" s="5" t="s">
        <v>2448</v>
      </c>
      <c r="B1439" s="6"/>
      <c r="C1439" s="5" t="s">
        <v>2824</v>
      </c>
      <c r="D1439" s="5" t="s">
        <v>2825</v>
      </c>
      <c r="E1439" s="8">
        <v>158730.0</v>
      </c>
      <c r="F1439" s="6"/>
      <c r="G1439" s="8">
        <v>180558.0</v>
      </c>
      <c r="H1439" s="5" t="s">
        <v>22</v>
      </c>
      <c r="I1439" s="7">
        <f t="shared" si="1"/>
        <v>270837</v>
      </c>
      <c r="J1439" s="7">
        <f t="shared" si="7"/>
        <v>234725.4</v>
      </c>
      <c r="K1439" s="7">
        <f t="shared" si="3"/>
        <v>234725.4</v>
      </c>
      <c r="L1439" s="7">
        <f t="shared" si="4"/>
        <v>216669.6</v>
      </c>
      <c r="M1439" s="7">
        <f t="shared" si="5"/>
        <v>207641.7</v>
      </c>
      <c r="N1439" s="7">
        <f t="shared" si="6"/>
        <v>198613.8</v>
      </c>
    </row>
    <row r="1440">
      <c r="A1440" s="5" t="s">
        <v>2448</v>
      </c>
      <c r="B1440" s="6"/>
      <c r="C1440" s="5" t="s">
        <v>2826</v>
      </c>
      <c r="D1440" s="5" t="s">
        <v>2827</v>
      </c>
      <c r="E1440" s="8">
        <v>158730.0</v>
      </c>
      <c r="F1440" s="6"/>
      <c r="G1440" s="8">
        <v>601839.0</v>
      </c>
      <c r="H1440" s="5" t="s">
        <v>22</v>
      </c>
      <c r="I1440" s="7">
        <f t="shared" si="1"/>
        <v>902758.5</v>
      </c>
      <c r="J1440" s="7">
        <f t="shared" si="7"/>
        <v>782390.7</v>
      </c>
      <c r="K1440" s="7">
        <f t="shared" si="3"/>
        <v>782390.7</v>
      </c>
      <c r="L1440" s="7">
        <f t="shared" si="4"/>
        <v>722206.8</v>
      </c>
      <c r="M1440" s="7">
        <f t="shared" si="5"/>
        <v>692114.85</v>
      </c>
      <c r="N1440" s="7">
        <f t="shared" si="6"/>
        <v>662022.9</v>
      </c>
    </row>
    <row r="1441">
      <c r="A1441" s="5" t="s">
        <v>2448</v>
      </c>
      <c r="B1441" s="6"/>
      <c r="C1441" s="5" t="s">
        <v>2828</v>
      </c>
      <c r="D1441" s="5" t="s">
        <v>2829</v>
      </c>
      <c r="E1441" s="8">
        <v>158730.0</v>
      </c>
      <c r="F1441" s="6"/>
      <c r="G1441" s="8">
        <v>962955.0</v>
      </c>
      <c r="H1441" s="5" t="s">
        <v>22</v>
      </c>
      <c r="I1441" s="7">
        <f t="shared" si="1"/>
        <v>1444432.5</v>
      </c>
      <c r="J1441" s="7">
        <f t="shared" si="7"/>
        <v>1251841.5</v>
      </c>
      <c r="K1441" s="7">
        <f t="shared" si="3"/>
        <v>1251841.5</v>
      </c>
      <c r="L1441" s="7">
        <f t="shared" si="4"/>
        <v>1155546</v>
      </c>
      <c r="M1441" s="7">
        <f t="shared" si="5"/>
        <v>1107398.25</v>
      </c>
      <c r="N1441" s="7">
        <f t="shared" si="6"/>
        <v>1059250.5</v>
      </c>
    </row>
    <row r="1442">
      <c r="A1442" s="5" t="s">
        <v>2448</v>
      </c>
      <c r="B1442" s="6"/>
      <c r="C1442" s="5" t="s">
        <v>2830</v>
      </c>
      <c r="D1442" s="5" t="s">
        <v>2831</v>
      </c>
      <c r="E1442" s="8">
        <v>158730.0</v>
      </c>
      <c r="F1442" s="6"/>
      <c r="G1442" s="8">
        <v>1685061.0</v>
      </c>
      <c r="H1442" s="5" t="s">
        <v>22</v>
      </c>
      <c r="I1442" s="7">
        <f t="shared" si="1"/>
        <v>2527591.5</v>
      </c>
      <c r="J1442" s="7">
        <f t="shared" si="7"/>
        <v>2190579.3</v>
      </c>
      <c r="K1442" s="7">
        <f t="shared" si="3"/>
        <v>2190579.3</v>
      </c>
      <c r="L1442" s="7">
        <f t="shared" si="4"/>
        <v>2022073.2</v>
      </c>
      <c r="M1442" s="7">
        <f t="shared" si="5"/>
        <v>1937820.15</v>
      </c>
      <c r="N1442" s="7">
        <f t="shared" si="6"/>
        <v>1853567.1</v>
      </c>
    </row>
    <row r="1443">
      <c r="A1443" s="5" t="s">
        <v>2448</v>
      </c>
      <c r="B1443" s="6"/>
      <c r="C1443" s="5" t="s">
        <v>2832</v>
      </c>
      <c r="D1443" s="5" t="s">
        <v>2833</v>
      </c>
      <c r="E1443" s="8">
        <v>158730.0</v>
      </c>
      <c r="F1443" s="6"/>
      <c r="G1443" s="8">
        <v>144270.0</v>
      </c>
      <c r="H1443" s="5" t="s">
        <v>22</v>
      </c>
      <c r="I1443" s="7">
        <f t="shared" si="1"/>
        <v>216405</v>
      </c>
      <c r="J1443" s="7">
        <f t="shared" si="7"/>
        <v>187551</v>
      </c>
      <c r="K1443" s="7">
        <f t="shared" si="3"/>
        <v>187551</v>
      </c>
      <c r="L1443" s="7">
        <f t="shared" si="4"/>
        <v>173124</v>
      </c>
      <c r="M1443" s="7">
        <f t="shared" si="5"/>
        <v>165910.5</v>
      </c>
      <c r="N1443" s="7">
        <f t="shared" si="6"/>
        <v>158697</v>
      </c>
    </row>
    <row r="1444">
      <c r="A1444" s="5" t="s">
        <v>2448</v>
      </c>
      <c r="B1444" s="6"/>
      <c r="C1444" s="5" t="s">
        <v>2834</v>
      </c>
      <c r="D1444" s="5" t="s">
        <v>2835</v>
      </c>
      <c r="E1444" s="8">
        <v>158730.0</v>
      </c>
      <c r="F1444" s="6"/>
      <c r="G1444" s="8">
        <v>577710.0</v>
      </c>
      <c r="H1444" s="5" t="s">
        <v>22</v>
      </c>
      <c r="I1444" s="7">
        <f t="shared" si="1"/>
        <v>866565</v>
      </c>
      <c r="J1444" s="7">
        <f t="shared" si="7"/>
        <v>751023</v>
      </c>
      <c r="K1444" s="7">
        <f t="shared" si="3"/>
        <v>751023</v>
      </c>
      <c r="L1444" s="7">
        <f t="shared" si="4"/>
        <v>693252</v>
      </c>
      <c r="M1444" s="7">
        <f t="shared" si="5"/>
        <v>664366.5</v>
      </c>
      <c r="N1444" s="7">
        <f t="shared" si="6"/>
        <v>635481</v>
      </c>
    </row>
    <row r="1445">
      <c r="A1445" s="5" t="s">
        <v>2448</v>
      </c>
      <c r="B1445" s="6"/>
      <c r="C1445" s="5" t="s">
        <v>2836</v>
      </c>
      <c r="D1445" s="5" t="s">
        <v>2837</v>
      </c>
      <c r="E1445" s="8">
        <v>158730.0</v>
      </c>
      <c r="F1445" s="6"/>
      <c r="G1445" s="8">
        <v>842310.0</v>
      </c>
      <c r="H1445" s="5" t="s">
        <v>22</v>
      </c>
      <c r="I1445" s="7">
        <f t="shared" si="1"/>
        <v>1263465</v>
      </c>
      <c r="J1445" s="7">
        <f t="shared" si="7"/>
        <v>1095003</v>
      </c>
      <c r="K1445" s="7">
        <f t="shared" si="3"/>
        <v>1095003</v>
      </c>
      <c r="L1445" s="7">
        <f t="shared" si="4"/>
        <v>1010772</v>
      </c>
      <c r="M1445" s="7">
        <f t="shared" si="5"/>
        <v>968656.5</v>
      </c>
      <c r="N1445" s="7">
        <f t="shared" si="6"/>
        <v>926541</v>
      </c>
    </row>
    <row r="1446">
      <c r="A1446" s="5" t="s">
        <v>2448</v>
      </c>
      <c r="B1446" s="6"/>
      <c r="C1446" s="5" t="s">
        <v>2838</v>
      </c>
      <c r="D1446" s="5" t="s">
        <v>2839</v>
      </c>
      <c r="E1446" s="8">
        <v>792220.0</v>
      </c>
      <c r="F1446" s="6"/>
      <c r="G1446" s="8">
        <v>1324260.0</v>
      </c>
      <c r="H1446" s="5" t="s">
        <v>22</v>
      </c>
      <c r="I1446" s="7">
        <f t="shared" si="1"/>
        <v>1986390</v>
      </c>
      <c r="J1446" s="7">
        <f t="shared" si="7"/>
        <v>1721538</v>
      </c>
      <c r="K1446" s="7">
        <f t="shared" si="3"/>
        <v>1721538</v>
      </c>
      <c r="L1446" s="7">
        <f t="shared" si="4"/>
        <v>1589112</v>
      </c>
      <c r="M1446" s="7">
        <f t="shared" si="5"/>
        <v>1522899</v>
      </c>
      <c r="N1446" s="7">
        <f t="shared" si="6"/>
        <v>1456686</v>
      </c>
    </row>
    <row r="1447">
      <c r="A1447" s="5" t="s">
        <v>2448</v>
      </c>
      <c r="B1447" s="6"/>
      <c r="C1447" s="5" t="s">
        <v>2840</v>
      </c>
      <c r="D1447" s="5" t="s">
        <v>2841</v>
      </c>
      <c r="E1447" s="8">
        <v>158730.0</v>
      </c>
      <c r="F1447" s="6"/>
      <c r="G1447" s="8">
        <v>192780.0</v>
      </c>
      <c r="H1447" s="5" t="s">
        <v>22</v>
      </c>
      <c r="I1447" s="7">
        <f t="shared" si="1"/>
        <v>289170</v>
      </c>
      <c r="J1447" s="7">
        <f t="shared" si="7"/>
        <v>250614</v>
      </c>
      <c r="K1447" s="7">
        <f t="shared" si="3"/>
        <v>250614</v>
      </c>
      <c r="L1447" s="7">
        <f t="shared" si="4"/>
        <v>231336</v>
      </c>
      <c r="M1447" s="7">
        <f t="shared" si="5"/>
        <v>221697</v>
      </c>
      <c r="N1447" s="7">
        <f t="shared" si="6"/>
        <v>212058</v>
      </c>
    </row>
    <row r="1448">
      <c r="A1448" s="5" t="s">
        <v>2448</v>
      </c>
      <c r="B1448" s="6"/>
      <c r="C1448" s="5" t="s">
        <v>2842</v>
      </c>
      <c r="D1448" s="5" t="s">
        <v>2843</v>
      </c>
      <c r="E1448" s="8">
        <v>792220.0</v>
      </c>
      <c r="F1448" s="6"/>
      <c r="G1448" s="8">
        <v>360990.0</v>
      </c>
      <c r="H1448" s="5" t="s">
        <v>22</v>
      </c>
      <c r="I1448" s="7">
        <f t="shared" si="1"/>
        <v>541485</v>
      </c>
      <c r="J1448" s="7">
        <f t="shared" si="7"/>
        <v>469287</v>
      </c>
      <c r="K1448" s="7">
        <f t="shared" si="3"/>
        <v>469287</v>
      </c>
      <c r="L1448" s="7">
        <f t="shared" si="4"/>
        <v>433188</v>
      </c>
      <c r="M1448" s="7">
        <f t="shared" si="5"/>
        <v>415138.5</v>
      </c>
      <c r="N1448" s="7">
        <f t="shared" si="6"/>
        <v>397089</v>
      </c>
    </row>
    <row r="1449">
      <c r="A1449" s="5" t="s">
        <v>2448</v>
      </c>
      <c r="B1449" s="6"/>
      <c r="C1449" s="5" t="s">
        <v>2844</v>
      </c>
      <c r="D1449" s="5" t="s">
        <v>2845</v>
      </c>
      <c r="E1449" s="8">
        <v>792220.0</v>
      </c>
      <c r="F1449" s="6"/>
      <c r="G1449" s="8">
        <v>722169.0</v>
      </c>
      <c r="H1449" s="5" t="s">
        <v>22</v>
      </c>
      <c r="I1449" s="7">
        <f t="shared" si="1"/>
        <v>1083253.5</v>
      </c>
      <c r="J1449" s="7">
        <f t="shared" si="7"/>
        <v>938819.7</v>
      </c>
      <c r="K1449" s="7">
        <f t="shared" si="3"/>
        <v>938819.7</v>
      </c>
      <c r="L1449" s="7">
        <f t="shared" si="4"/>
        <v>866602.8</v>
      </c>
      <c r="M1449" s="7">
        <f t="shared" si="5"/>
        <v>830494.35</v>
      </c>
      <c r="N1449" s="7">
        <f t="shared" si="6"/>
        <v>794385.9</v>
      </c>
    </row>
    <row r="1450">
      <c r="A1450" s="5" t="s">
        <v>2448</v>
      </c>
      <c r="B1450" s="6"/>
      <c r="C1450" s="5" t="s">
        <v>2846</v>
      </c>
      <c r="D1450" s="5" t="s">
        <v>2847</v>
      </c>
      <c r="E1450" s="8">
        <v>792220.0</v>
      </c>
      <c r="F1450" s="6"/>
      <c r="G1450" s="8">
        <v>1203930.0</v>
      </c>
      <c r="H1450" s="5" t="s">
        <v>22</v>
      </c>
      <c r="I1450" s="7">
        <f t="shared" si="1"/>
        <v>1805895</v>
      </c>
      <c r="J1450" s="7">
        <f t="shared" si="7"/>
        <v>1565109</v>
      </c>
      <c r="K1450" s="7">
        <f t="shared" si="3"/>
        <v>1565109</v>
      </c>
      <c r="L1450" s="7">
        <f t="shared" si="4"/>
        <v>1444716</v>
      </c>
      <c r="M1450" s="7">
        <f t="shared" si="5"/>
        <v>1384519.5</v>
      </c>
      <c r="N1450" s="7">
        <f t="shared" si="6"/>
        <v>1324323</v>
      </c>
    </row>
    <row r="1451">
      <c r="A1451" s="5" t="s">
        <v>2448</v>
      </c>
      <c r="B1451" s="6"/>
      <c r="C1451" s="5" t="s">
        <v>2848</v>
      </c>
      <c r="D1451" s="5" t="s">
        <v>2849</v>
      </c>
      <c r="E1451" s="8">
        <v>792220.0</v>
      </c>
      <c r="F1451" s="6"/>
      <c r="G1451" s="8">
        <v>120393.0</v>
      </c>
      <c r="H1451" s="5" t="s">
        <v>22</v>
      </c>
      <c r="I1451" s="7">
        <f t="shared" si="1"/>
        <v>180589.5</v>
      </c>
      <c r="J1451" s="7">
        <f t="shared" si="7"/>
        <v>156510.9</v>
      </c>
      <c r="K1451" s="7">
        <f t="shared" si="3"/>
        <v>156510.9</v>
      </c>
      <c r="L1451" s="7">
        <f t="shared" si="4"/>
        <v>144471.6</v>
      </c>
      <c r="M1451" s="7">
        <f t="shared" si="5"/>
        <v>138451.95</v>
      </c>
      <c r="N1451" s="7">
        <f t="shared" si="6"/>
        <v>132432.3</v>
      </c>
    </row>
    <row r="1452">
      <c r="A1452" s="5" t="s">
        <v>2448</v>
      </c>
      <c r="B1452" s="6"/>
      <c r="C1452" s="5" t="s">
        <v>2850</v>
      </c>
      <c r="D1452" s="5" t="s">
        <v>2851</v>
      </c>
      <c r="E1452" s="8">
        <v>1077505.0</v>
      </c>
      <c r="F1452" s="6"/>
      <c r="G1452" s="8">
        <v>120393.0</v>
      </c>
      <c r="H1452" s="5" t="s">
        <v>22</v>
      </c>
      <c r="I1452" s="7">
        <f t="shared" si="1"/>
        <v>180589.5</v>
      </c>
      <c r="J1452" s="7">
        <f t="shared" si="7"/>
        <v>156510.9</v>
      </c>
      <c r="K1452" s="7">
        <f t="shared" si="3"/>
        <v>156510.9</v>
      </c>
      <c r="L1452" s="7">
        <f t="shared" si="4"/>
        <v>144471.6</v>
      </c>
      <c r="M1452" s="7">
        <f t="shared" si="5"/>
        <v>138451.95</v>
      </c>
      <c r="N1452" s="7">
        <f t="shared" si="6"/>
        <v>132432.3</v>
      </c>
    </row>
    <row r="1453">
      <c r="A1453" s="5" t="s">
        <v>2448</v>
      </c>
      <c r="B1453" s="6"/>
      <c r="C1453" s="5" t="s">
        <v>2852</v>
      </c>
      <c r="D1453" s="5" t="s">
        <v>2853</v>
      </c>
      <c r="E1453" s="8">
        <v>475475.0</v>
      </c>
      <c r="F1453" s="6"/>
      <c r="G1453" s="8">
        <v>120393.0</v>
      </c>
      <c r="H1453" s="5" t="s">
        <v>22</v>
      </c>
      <c r="I1453" s="7">
        <f t="shared" si="1"/>
        <v>180589.5</v>
      </c>
      <c r="J1453" s="7">
        <f t="shared" si="7"/>
        <v>156510.9</v>
      </c>
      <c r="K1453" s="7">
        <f t="shared" si="3"/>
        <v>156510.9</v>
      </c>
      <c r="L1453" s="7">
        <f t="shared" si="4"/>
        <v>144471.6</v>
      </c>
      <c r="M1453" s="7">
        <f t="shared" si="5"/>
        <v>138451.95</v>
      </c>
      <c r="N1453" s="7">
        <f t="shared" si="6"/>
        <v>132432.3</v>
      </c>
    </row>
    <row r="1454">
      <c r="A1454" s="5" t="s">
        <v>2448</v>
      </c>
      <c r="B1454" s="6"/>
      <c r="C1454" s="5" t="s">
        <v>2854</v>
      </c>
      <c r="D1454" s="5" t="s">
        <v>2855</v>
      </c>
      <c r="E1454" s="8">
        <v>1113255.0</v>
      </c>
      <c r="F1454" s="6"/>
      <c r="G1454" s="8">
        <v>120393.0</v>
      </c>
      <c r="H1454" s="5" t="s">
        <v>22</v>
      </c>
      <c r="I1454" s="7">
        <f t="shared" si="1"/>
        <v>180589.5</v>
      </c>
      <c r="J1454" s="7">
        <f t="shared" si="7"/>
        <v>156510.9</v>
      </c>
      <c r="K1454" s="7">
        <f t="shared" si="3"/>
        <v>156510.9</v>
      </c>
      <c r="L1454" s="7">
        <f t="shared" si="4"/>
        <v>144471.6</v>
      </c>
      <c r="M1454" s="7">
        <f t="shared" si="5"/>
        <v>138451.95</v>
      </c>
      <c r="N1454" s="7">
        <f t="shared" si="6"/>
        <v>132432.3</v>
      </c>
    </row>
    <row r="1455">
      <c r="A1455" s="5" t="s">
        <v>2448</v>
      </c>
      <c r="B1455" s="6"/>
      <c r="C1455" s="5" t="s">
        <v>2856</v>
      </c>
      <c r="D1455" s="5" t="s">
        <v>2857</v>
      </c>
      <c r="E1455" s="8">
        <v>556270.0</v>
      </c>
      <c r="F1455" s="6"/>
      <c r="G1455" s="8">
        <v>120393.0</v>
      </c>
      <c r="H1455" s="5" t="s">
        <v>22</v>
      </c>
      <c r="I1455" s="7">
        <f t="shared" si="1"/>
        <v>180589.5</v>
      </c>
      <c r="J1455" s="7">
        <f t="shared" si="7"/>
        <v>156510.9</v>
      </c>
      <c r="K1455" s="7">
        <f t="shared" si="3"/>
        <v>156510.9</v>
      </c>
      <c r="L1455" s="7">
        <f t="shared" si="4"/>
        <v>144471.6</v>
      </c>
      <c r="M1455" s="7">
        <f t="shared" si="5"/>
        <v>138451.95</v>
      </c>
      <c r="N1455" s="7">
        <f t="shared" si="6"/>
        <v>132432.3</v>
      </c>
    </row>
    <row r="1456">
      <c r="A1456" s="5" t="s">
        <v>2448</v>
      </c>
      <c r="B1456" s="6"/>
      <c r="C1456" s="5" t="s">
        <v>2858</v>
      </c>
      <c r="D1456" s="5" t="s">
        <v>2859</v>
      </c>
      <c r="E1456" s="8">
        <v>556270.0</v>
      </c>
      <c r="F1456" s="6"/>
      <c r="G1456" s="8">
        <v>120267.0</v>
      </c>
      <c r="H1456" s="5" t="s">
        <v>22</v>
      </c>
      <c r="I1456" s="7">
        <f t="shared" si="1"/>
        <v>180400.5</v>
      </c>
      <c r="J1456" s="7">
        <f t="shared" si="7"/>
        <v>156347.1</v>
      </c>
      <c r="K1456" s="7">
        <f t="shared" si="3"/>
        <v>156347.1</v>
      </c>
      <c r="L1456" s="7">
        <f t="shared" si="4"/>
        <v>144320.4</v>
      </c>
      <c r="M1456" s="7">
        <f t="shared" si="5"/>
        <v>138307.05</v>
      </c>
      <c r="N1456" s="7">
        <f t="shared" si="6"/>
        <v>132293.7</v>
      </c>
    </row>
    <row r="1457">
      <c r="A1457" s="5" t="s">
        <v>2448</v>
      </c>
      <c r="B1457" s="6"/>
      <c r="C1457" s="5" t="s">
        <v>2860</v>
      </c>
      <c r="D1457" s="5" t="s">
        <v>2861</v>
      </c>
      <c r="E1457" s="8">
        <v>154440.0</v>
      </c>
      <c r="F1457" s="6"/>
      <c r="G1457" s="8">
        <v>120393.0</v>
      </c>
      <c r="H1457" s="5" t="s">
        <v>22</v>
      </c>
      <c r="I1457" s="7">
        <f t="shared" si="1"/>
        <v>180589.5</v>
      </c>
      <c r="J1457" s="7">
        <f t="shared" si="7"/>
        <v>156510.9</v>
      </c>
      <c r="K1457" s="7">
        <f t="shared" si="3"/>
        <v>156510.9</v>
      </c>
      <c r="L1457" s="7">
        <f t="shared" si="4"/>
        <v>144471.6</v>
      </c>
      <c r="M1457" s="7">
        <f t="shared" si="5"/>
        <v>138451.95</v>
      </c>
      <c r="N1457" s="7">
        <f t="shared" si="6"/>
        <v>132432.3</v>
      </c>
    </row>
    <row r="1458">
      <c r="A1458" s="5" t="s">
        <v>2448</v>
      </c>
      <c r="B1458" s="6"/>
      <c r="C1458" s="5" t="s">
        <v>2862</v>
      </c>
      <c r="D1458" s="5" t="s">
        <v>2863</v>
      </c>
      <c r="E1458" s="8">
        <v>1853995.0</v>
      </c>
      <c r="F1458" s="6"/>
      <c r="G1458" s="8">
        <v>120330.0</v>
      </c>
      <c r="H1458" s="5" t="s">
        <v>22</v>
      </c>
      <c r="I1458" s="7">
        <f t="shared" si="1"/>
        <v>180495</v>
      </c>
      <c r="J1458" s="7">
        <f t="shared" si="7"/>
        <v>156429</v>
      </c>
      <c r="K1458" s="7">
        <f t="shared" si="3"/>
        <v>156429</v>
      </c>
      <c r="L1458" s="7">
        <f t="shared" si="4"/>
        <v>144396</v>
      </c>
      <c r="M1458" s="7">
        <f t="shared" si="5"/>
        <v>138379.5</v>
      </c>
      <c r="N1458" s="7">
        <f t="shared" si="6"/>
        <v>132363</v>
      </c>
    </row>
    <row r="1459">
      <c r="A1459" s="5" t="s">
        <v>2448</v>
      </c>
      <c r="B1459" s="6"/>
      <c r="C1459" s="5" t="s">
        <v>2864</v>
      </c>
      <c r="D1459" s="5" t="s">
        <v>2865</v>
      </c>
      <c r="E1459" s="8">
        <v>1348490.0</v>
      </c>
      <c r="F1459" s="6"/>
      <c r="G1459" s="8">
        <v>120330.0</v>
      </c>
      <c r="H1459" s="5" t="s">
        <v>22</v>
      </c>
      <c r="I1459" s="7">
        <f t="shared" si="1"/>
        <v>180495</v>
      </c>
      <c r="J1459" s="7">
        <f t="shared" si="7"/>
        <v>156429</v>
      </c>
      <c r="K1459" s="7">
        <f t="shared" si="3"/>
        <v>156429</v>
      </c>
      <c r="L1459" s="7">
        <f t="shared" si="4"/>
        <v>144396</v>
      </c>
      <c r="M1459" s="7">
        <f t="shared" si="5"/>
        <v>138379.5</v>
      </c>
      <c r="N1459" s="7">
        <f t="shared" si="6"/>
        <v>132363</v>
      </c>
    </row>
    <row r="1460">
      <c r="A1460" s="5" t="s">
        <v>2448</v>
      </c>
      <c r="B1460" s="6"/>
      <c r="C1460" s="5" t="s">
        <v>2866</v>
      </c>
      <c r="D1460" s="5" t="s">
        <v>2867</v>
      </c>
      <c r="E1460" s="8">
        <v>808665.0</v>
      </c>
      <c r="F1460" s="6"/>
      <c r="G1460" s="8">
        <v>120330.0</v>
      </c>
      <c r="H1460" s="5" t="s">
        <v>22</v>
      </c>
      <c r="I1460" s="7">
        <f t="shared" si="1"/>
        <v>180495</v>
      </c>
      <c r="J1460" s="7">
        <f t="shared" si="7"/>
        <v>156429</v>
      </c>
      <c r="K1460" s="7">
        <f t="shared" si="3"/>
        <v>156429</v>
      </c>
      <c r="L1460" s="7">
        <f t="shared" si="4"/>
        <v>144396</v>
      </c>
      <c r="M1460" s="7">
        <f t="shared" si="5"/>
        <v>138379.5</v>
      </c>
      <c r="N1460" s="7">
        <f t="shared" si="6"/>
        <v>132363</v>
      </c>
    </row>
    <row r="1461">
      <c r="A1461" s="5" t="s">
        <v>2448</v>
      </c>
      <c r="B1461" s="6"/>
      <c r="C1461" s="5" t="s">
        <v>2868</v>
      </c>
      <c r="D1461" s="5" t="s">
        <v>2869</v>
      </c>
      <c r="E1461" s="8">
        <v>1700985.0</v>
      </c>
      <c r="F1461" s="6"/>
      <c r="G1461" s="8">
        <v>120330.0</v>
      </c>
      <c r="H1461" s="5" t="s">
        <v>22</v>
      </c>
      <c r="I1461" s="7">
        <f t="shared" si="1"/>
        <v>180495</v>
      </c>
      <c r="J1461" s="7">
        <f t="shared" si="7"/>
        <v>156429</v>
      </c>
      <c r="K1461" s="7">
        <f t="shared" si="3"/>
        <v>156429</v>
      </c>
      <c r="L1461" s="7">
        <f t="shared" si="4"/>
        <v>144396</v>
      </c>
      <c r="M1461" s="7">
        <f t="shared" si="5"/>
        <v>138379.5</v>
      </c>
      <c r="N1461" s="7">
        <f t="shared" si="6"/>
        <v>132363</v>
      </c>
    </row>
    <row r="1462">
      <c r="A1462" s="5" t="s">
        <v>2448</v>
      </c>
      <c r="B1462" s="6"/>
      <c r="C1462" s="5" t="s">
        <v>2870</v>
      </c>
      <c r="D1462" s="5" t="s">
        <v>2871</v>
      </c>
      <c r="E1462" s="8">
        <v>1236950.0</v>
      </c>
      <c r="F1462" s="6"/>
      <c r="G1462" s="8">
        <v>120330.0</v>
      </c>
      <c r="H1462" s="5" t="s">
        <v>22</v>
      </c>
      <c r="I1462" s="7">
        <f t="shared" si="1"/>
        <v>180495</v>
      </c>
      <c r="J1462" s="7">
        <f t="shared" si="7"/>
        <v>156429</v>
      </c>
      <c r="K1462" s="7">
        <f t="shared" si="3"/>
        <v>156429</v>
      </c>
      <c r="L1462" s="7">
        <f t="shared" si="4"/>
        <v>144396</v>
      </c>
      <c r="M1462" s="7">
        <f t="shared" si="5"/>
        <v>138379.5</v>
      </c>
      <c r="N1462" s="7">
        <f t="shared" si="6"/>
        <v>132363</v>
      </c>
    </row>
    <row r="1463">
      <c r="A1463" s="5" t="s">
        <v>2448</v>
      </c>
      <c r="B1463" s="6"/>
      <c r="C1463" s="5" t="s">
        <v>2872</v>
      </c>
      <c r="D1463" s="5" t="s">
        <v>2873</v>
      </c>
      <c r="E1463" s="8">
        <v>927355.0</v>
      </c>
      <c r="F1463" s="6"/>
      <c r="G1463" s="8">
        <v>120330.0</v>
      </c>
      <c r="H1463" s="5" t="s">
        <v>22</v>
      </c>
      <c r="I1463" s="7">
        <f t="shared" si="1"/>
        <v>180495</v>
      </c>
      <c r="J1463" s="7">
        <f t="shared" si="7"/>
        <v>156429</v>
      </c>
      <c r="K1463" s="7">
        <f t="shared" si="3"/>
        <v>156429</v>
      </c>
      <c r="L1463" s="7">
        <f t="shared" si="4"/>
        <v>144396</v>
      </c>
      <c r="M1463" s="7">
        <f t="shared" si="5"/>
        <v>138379.5</v>
      </c>
      <c r="N1463" s="7">
        <f t="shared" si="6"/>
        <v>132363</v>
      </c>
    </row>
    <row r="1464">
      <c r="A1464" s="5" t="s">
        <v>2448</v>
      </c>
      <c r="B1464" s="6"/>
      <c r="C1464" s="5" t="s">
        <v>2874</v>
      </c>
      <c r="D1464" s="5" t="s">
        <v>2875</v>
      </c>
      <c r="E1464" s="8">
        <v>618475.0</v>
      </c>
      <c r="F1464" s="6"/>
      <c r="G1464" s="8">
        <v>601650.0</v>
      </c>
      <c r="H1464" s="5" t="s">
        <v>22</v>
      </c>
      <c r="I1464" s="7">
        <f t="shared" si="1"/>
        <v>902475</v>
      </c>
      <c r="J1464" s="7">
        <f t="shared" si="7"/>
        <v>782145</v>
      </c>
      <c r="K1464" s="7">
        <f t="shared" si="3"/>
        <v>782145</v>
      </c>
      <c r="L1464" s="7">
        <f t="shared" si="4"/>
        <v>721980</v>
      </c>
      <c r="M1464" s="7">
        <f t="shared" si="5"/>
        <v>691897.5</v>
      </c>
      <c r="N1464" s="7">
        <f t="shared" si="6"/>
        <v>661815</v>
      </c>
    </row>
    <row r="1465">
      <c r="A1465" s="5" t="s">
        <v>2448</v>
      </c>
      <c r="B1465" s="6"/>
      <c r="C1465" s="5" t="s">
        <v>2876</v>
      </c>
      <c r="D1465" s="5" t="s">
        <v>2877</v>
      </c>
      <c r="E1465" s="8">
        <v>3697265.0</v>
      </c>
      <c r="F1465" s="6"/>
      <c r="G1465" s="8">
        <v>120330.0</v>
      </c>
      <c r="H1465" s="5" t="s">
        <v>22</v>
      </c>
      <c r="I1465" s="7">
        <f t="shared" si="1"/>
        <v>180495</v>
      </c>
      <c r="J1465" s="7">
        <f t="shared" si="7"/>
        <v>156429</v>
      </c>
      <c r="K1465" s="7">
        <f t="shared" si="3"/>
        <v>156429</v>
      </c>
      <c r="L1465" s="7">
        <f t="shared" si="4"/>
        <v>144396</v>
      </c>
      <c r="M1465" s="7">
        <f t="shared" si="5"/>
        <v>138379.5</v>
      </c>
      <c r="N1465" s="7">
        <f t="shared" si="6"/>
        <v>132363</v>
      </c>
    </row>
    <row r="1466">
      <c r="A1466" s="5" t="s">
        <v>2878</v>
      </c>
      <c r="B1466" s="5" t="s">
        <v>197</v>
      </c>
      <c r="C1466" s="6"/>
      <c r="D1466" s="5" t="s">
        <v>2879</v>
      </c>
      <c r="E1466" s="5" t="s">
        <v>2880</v>
      </c>
      <c r="F1466" s="6"/>
      <c r="G1466" s="8">
        <v>28010.0</v>
      </c>
      <c r="H1466" s="5" t="s">
        <v>22</v>
      </c>
      <c r="I1466" s="7">
        <f t="shared" si="1"/>
        <v>42015</v>
      </c>
      <c r="J1466" s="7">
        <f t="shared" si="7"/>
        <v>36413</v>
      </c>
      <c r="K1466" s="7">
        <f t="shared" si="3"/>
        <v>36413</v>
      </c>
      <c r="L1466" s="7">
        <f t="shared" si="4"/>
        <v>33612</v>
      </c>
      <c r="M1466" s="7">
        <f t="shared" si="5"/>
        <v>32211.5</v>
      </c>
      <c r="N1466" s="7">
        <f t="shared" si="6"/>
        <v>30811</v>
      </c>
    </row>
    <row r="1467">
      <c r="A1467" s="5" t="s">
        <v>2878</v>
      </c>
      <c r="B1467" s="5" t="s">
        <v>197</v>
      </c>
      <c r="C1467" s="6"/>
      <c r="D1467" s="5" t="s">
        <v>2881</v>
      </c>
      <c r="E1467" s="5" t="s">
        <v>2882</v>
      </c>
      <c r="F1467" s="6"/>
      <c r="G1467" s="8">
        <v>1345.0</v>
      </c>
      <c r="H1467" s="5" t="s">
        <v>22</v>
      </c>
      <c r="I1467" s="7">
        <f t="shared" si="1"/>
        <v>2017.5</v>
      </c>
      <c r="J1467" s="7">
        <f t="shared" si="7"/>
        <v>1748.5</v>
      </c>
      <c r="K1467" s="7">
        <f t="shared" si="3"/>
        <v>1748.5</v>
      </c>
      <c r="L1467" s="7">
        <f t="shared" si="4"/>
        <v>1614</v>
      </c>
      <c r="M1467" s="7">
        <f t="shared" si="5"/>
        <v>1546.75</v>
      </c>
      <c r="N1467" s="7">
        <f t="shared" si="6"/>
        <v>1479.5</v>
      </c>
    </row>
    <row r="1468">
      <c r="A1468" s="5" t="s">
        <v>2878</v>
      </c>
      <c r="B1468" s="5" t="s">
        <v>197</v>
      </c>
      <c r="C1468" s="6"/>
      <c r="D1468" s="5" t="s">
        <v>2883</v>
      </c>
      <c r="E1468" s="5" t="s">
        <v>2884</v>
      </c>
      <c r="F1468" s="6"/>
      <c r="G1468" s="8">
        <v>1059.0</v>
      </c>
      <c r="H1468" s="5" t="s">
        <v>22</v>
      </c>
      <c r="I1468" s="7">
        <f t="shared" si="1"/>
        <v>1588.5</v>
      </c>
      <c r="J1468" s="7">
        <f t="shared" si="7"/>
        <v>1376.7</v>
      </c>
      <c r="K1468" s="7">
        <f t="shared" si="3"/>
        <v>1376.7</v>
      </c>
      <c r="L1468" s="7">
        <f t="shared" si="4"/>
        <v>1270.8</v>
      </c>
      <c r="M1468" s="7">
        <f t="shared" si="5"/>
        <v>1217.85</v>
      </c>
      <c r="N1468" s="7">
        <f t="shared" si="6"/>
        <v>1164.9</v>
      </c>
    </row>
    <row r="1469">
      <c r="A1469" s="5" t="s">
        <v>2878</v>
      </c>
      <c r="B1469" s="5" t="s">
        <v>197</v>
      </c>
      <c r="C1469" s="6"/>
      <c r="D1469" s="5" t="s">
        <v>2885</v>
      </c>
      <c r="E1469" s="5" t="s">
        <v>2886</v>
      </c>
      <c r="F1469" s="6"/>
      <c r="G1469" s="5">
        <v>186.0</v>
      </c>
      <c r="H1469" s="5" t="s">
        <v>22</v>
      </c>
      <c r="I1469" s="7">
        <f t="shared" si="1"/>
        <v>279</v>
      </c>
      <c r="J1469" s="7">
        <f t="shared" si="7"/>
        <v>241.8</v>
      </c>
      <c r="K1469" s="7">
        <f t="shared" si="3"/>
        <v>241.8</v>
      </c>
      <c r="L1469" s="7">
        <f t="shared" si="4"/>
        <v>223.2</v>
      </c>
      <c r="M1469" s="7">
        <f t="shared" si="5"/>
        <v>213.9</v>
      </c>
      <c r="N1469" s="7">
        <f t="shared" si="6"/>
        <v>204.6</v>
      </c>
    </row>
    <row r="1470">
      <c r="A1470" s="5" t="s">
        <v>2878</v>
      </c>
      <c r="B1470" s="5" t="s">
        <v>197</v>
      </c>
      <c r="C1470" s="6"/>
      <c r="D1470" s="5" t="s">
        <v>2887</v>
      </c>
      <c r="E1470" s="5" t="s">
        <v>2888</v>
      </c>
      <c r="F1470" s="6"/>
      <c r="G1470" s="8">
        <v>1411.0</v>
      </c>
      <c r="H1470" s="5" t="s">
        <v>22</v>
      </c>
      <c r="I1470" s="7">
        <f t="shared" si="1"/>
        <v>2116.5</v>
      </c>
      <c r="J1470" s="7">
        <f t="shared" si="7"/>
        <v>1834.3</v>
      </c>
      <c r="K1470" s="7">
        <f t="shared" si="3"/>
        <v>1834.3</v>
      </c>
      <c r="L1470" s="7">
        <f t="shared" si="4"/>
        <v>1693.2</v>
      </c>
      <c r="M1470" s="7">
        <f t="shared" si="5"/>
        <v>1622.65</v>
      </c>
      <c r="N1470" s="7">
        <f t="shared" si="6"/>
        <v>1552.1</v>
      </c>
    </row>
    <row r="1471">
      <c r="A1471" s="5" t="s">
        <v>2878</v>
      </c>
      <c r="B1471" s="5" t="s">
        <v>197</v>
      </c>
      <c r="C1471" s="6"/>
      <c r="D1471" s="5" t="s">
        <v>2889</v>
      </c>
      <c r="E1471" s="5" t="s">
        <v>2890</v>
      </c>
      <c r="F1471" s="6"/>
      <c r="G1471" s="5">
        <v>84.0</v>
      </c>
      <c r="H1471" s="5" t="s">
        <v>22</v>
      </c>
      <c r="I1471" s="7">
        <f t="shared" si="1"/>
        <v>126</v>
      </c>
      <c r="J1471" s="7">
        <f t="shared" si="7"/>
        <v>109.2</v>
      </c>
      <c r="K1471" s="7">
        <f t="shared" si="3"/>
        <v>109.2</v>
      </c>
      <c r="L1471" s="7">
        <f t="shared" si="4"/>
        <v>100.8</v>
      </c>
      <c r="M1471" s="7">
        <f t="shared" si="5"/>
        <v>96.6</v>
      </c>
      <c r="N1471" s="7">
        <f t="shared" si="6"/>
        <v>92.4</v>
      </c>
    </row>
    <row r="1472">
      <c r="A1472" s="5" t="s">
        <v>2878</v>
      </c>
      <c r="B1472" s="5" t="s">
        <v>197</v>
      </c>
      <c r="C1472" s="6"/>
      <c r="D1472" s="5" t="s">
        <v>2891</v>
      </c>
      <c r="E1472" s="5" t="s">
        <v>2892</v>
      </c>
      <c r="F1472" s="6"/>
      <c r="G1472" s="8">
        <v>5098.0</v>
      </c>
      <c r="H1472" s="5" t="s">
        <v>22</v>
      </c>
      <c r="I1472" s="7">
        <f t="shared" si="1"/>
        <v>7647</v>
      </c>
      <c r="J1472" s="7">
        <f t="shared" si="7"/>
        <v>6627.4</v>
      </c>
      <c r="K1472" s="7">
        <f t="shared" si="3"/>
        <v>6627.4</v>
      </c>
      <c r="L1472" s="7">
        <f t="shared" si="4"/>
        <v>6117.6</v>
      </c>
      <c r="M1472" s="7">
        <f t="shared" si="5"/>
        <v>5862.7</v>
      </c>
      <c r="N1472" s="7">
        <f t="shared" si="6"/>
        <v>5607.8</v>
      </c>
    </row>
    <row r="1473">
      <c r="A1473" s="5" t="s">
        <v>2878</v>
      </c>
      <c r="B1473" s="6"/>
      <c r="C1473" s="6"/>
      <c r="D1473" s="5" t="s">
        <v>2893</v>
      </c>
      <c r="E1473" s="5" t="s">
        <v>2894</v>
      </c>
      <c r="F1473" s="6"/>
      <c r="G1473" s="8">
        <v>2967.0</v>
      </c>
      <c r="H1473" s="5" t="s">
        <v>22</v>
      </c>
      <c r="I1473" s="7">
        <f t="shared" si="1"/>
        <v>4450.5</v>
      </c>
      <c r="J1473" s="7">
        <f t="shared" si="7"/>
        <v>3857.1</v>
      </c>
      <c r="K1473" s="7">
        <f t="shared" si="3"/>
        <v>3857.1</v>
      </c>
      <c r="L1473" s="7">
        <f t="shared" si="4"/>
        <v>3560.4</v>
      </c>
      <c r="M1473" s="7">
        <f t="shared" si="5"/>
        <v>3412.05</v>
      </c>
      <c r="N1473" s="7">
        <f t="shared" si="6"/>
        <v>3263.7</v>
      </c>
    </row>
    <row r="1474">
      <c r="A1474" s="5" t="s">
        <v>2878</v>
      </c>
      <c r="B1474" s="6"/>
      <c r="C1474" s="6"/>
      <c r="D1474" s="5" t="s">
        <v>2895</v>
      </c>
      <c r="E1474" s="5" t="s">
        <v>2896</v>
      </c>
      <c r="F1474" s="6"/>
      <c r="G1474" s="8">
        <v>5098.0</v>
      </c>
      <c r="H1474" s="5" t="s">
        <v>22</v>
      </c>
      <c r="I1474" s="7">
        <f t="shared" si="1"/>
        <v>7647</v>
      </c>
      <c r="J1474" s="7">
        <f t="shared" si="7"/>
        <v>6627.4</v>
      </c>
      <c r="K1474" s="7">
        <f t="shared" si="3"/>
        <v>6627.4</v>
      </c>
      <c r="L1474" s="7">
        <f t="shared" si="4"/>
        <v>6117.6</v>
      </c>
      <c r="M1474" s="7">
        <f t="shared" si="5"/>
        <v>5862.7</v>
      </c>
      <c r="N1474" s="7">
        <f t="shared" si="6"/>
        <v>5607.8</v>
      </c>
    </row>
    <row r="1475">
      <c r="A1475" s="5" t="s">
        <v>2878</v>
      </c>
      <c r="B1475" s="6"/>
      <c r="C1475" s="6"/>
      <c r="D1475" s="5" t="s">
        <v>2897</v>
      </c>
      <c r="E1475" s="5" t="s">
        <v>2898</v>
      </c>
      <c r="F1475" s="6"/>
      <c r="G1475" s="8">
        <v>3322.0</v>
      </c>
      <c r="H1475" s="5" t="s">
        <v>22</v>
      </c>
      <c r="I1475" s="7">
        <f t="shared" si="1"/>
        <v>4983</v>
      </c>
      <c r="J1475" s="7">
        <f t="shared" si="7"/>
        <v>4318.6</v>
      </c>
      <c r="K1475" s="7">
        <f t="shared" si="3"/>
        <v>4318.6</v>
      </c>
      <c r="L1475" s="7">
        <f t="shared" si="4"/>
        <v>3986.4</v>
      </c>
      <c r="M1475" s="7">
        <f t="shared" si="5"/>
        <v>3820.3</v>
      </c>
      <c r="N1475" s="7">
        <f t="shared" si="6"/>
        <v>3654.2</v>
      </c>
    </row>
    <row r="1476">
      <c r="A1476" s="5" t="s">
        <v>2878</v>
      </c>
      <c r="B1476" s="6"/>
      <c r="C1476" s="6"/>
      <c r="D1476" s="5" t="s">
        <v>2899</v>
      </c>
      <c r="E1476" s="5" t="s">
        <v>2900</v>
      </c>
      <c r="F1476" s="6"/>
      <c r="G1476" s="8">
        <v>31364.0</v>
      </c>
      <c r="H1476" s="5" t="s">
        <v>22</v>
      </c>
      <c r="I1476" s="7">
        <f t="shared" si="1"/>
        <v>47046</v>
      </c>
      <c r="J1476" s="7">
        <f t="shared" si="7"/>
        <v>40773.2</v>
      </c>
      <c r="K1476" s="7">
        <f t="shared" si="3"/>
        <v>40773.2</v>
      </c>
      <c r="L1476" s="7">
        <f t="shared" si="4"/>
        <v>37636.8</v>
      </c>
      <c r="M1476" s="7">
        <f t="shared" si="5"/>
        <v>36068.6</v>
      </c>
      <c r="N1476" s="7">
        <f t="shared" si="6"/>
        <v>34500.4</v>
      </c>
    </row>
    <row r="1477">
      <c r="A1477" s="5" t="s">
        <v>2901</v>
      </c>
      <c r="B1477" s="5" t="s">
        <v>197</v>
      </c>
      <c r="C1477" s="5" t="s">
        <v>2902</v>
      </c>
      <c r="D1477" s="5" t="s">
        <v>2903</v>
      </c>
      <c r="E1477" s="6"/>
      <c r="F1477" s="5" t="s">
        <v>2904</v>
      </c>
      <c r="G1477" s="5">
        <v>980.0</v>
      </c>
      <c r="H1477" s="5" t="s">
        <v>22</v>
      </c>
      <c r="I1477" s="7">
        <f t="shared" si="1"/>
        <v>1470</v>
      </c>
      <c r="J1477" s="7">
        <f t="shared" si="7"/>
        <v>1274</v>
      </c>
      <c r="K1477" s="7">
        <f t="shared" si="3"/>
        <v>1274</v>
      </c>
      <c r="L1477" s="7">
        <f t="shared" si="4"/>
        <v>1176</v>
      </c>
      <c r="M1477" s="7">
        <f t="shared" si="5"/>
        <v>1127</v>
      </c>
      <c r="N1477" s="7">
        <f t="shared" si="6"/>
        <v>1078</v>
      </c>
    </row>
    <row r="1478">
      <c r="A1478" s="5" t="s">
        <v>2901</v>
      </c>
      <c r="B1478" s="5" t="s">
        <v>197</v>
      </c>
      <c r="C1478" s="5" t="s">
        <v>2905</v>
      </c>
      <c r="D1478" s="5" t="s">
        <v>2906</v>
      </c>
      <c r="E1478" s="5" t="s">
        <v>2907</v>
      </c>
      <c r="F1478" s="5" t="s">
        <v>2908</v>
      </c>
      <c r="G1478" s="5">
        <v>753.0</v>
      </c>
      <c r="H1478" s="5" t="s">
        <v>22</v>
      </c>
      <c r="I1478" s="7">
        <f t="shared" si="1"/>
        <v>1129.5</v>
      </c>
      <c r="J1478" s="7">
        <f t="shared" si="7"/>
        <v>978.9</v>
      </c>
      <c r="K1478" s="7">
        <f t="shared" si="3"/>
        <v>978.9</v>
      </c>
      <c r="L1478" s="7">
        <f t="shared" si="4"/>
        <v>903.6</v>
      </c>
      <c r="M1478" s="7">
        <f t="shared" si="5"/>
        <v>865.95</v>
      </c>
      <c r="N1478" s="7">
        <f t="shared" si="6"/>
        <v>828.3</v>
      </c>
    </row>
    <row r="1479">
      <c r="A1479" s="5" t="s">
        <v>2901</v>
      </c>
      <c r="B1479" s="5" t="s">
        <v>197</v>
      </c>
      <c r="C1479" s="5" t="s">
        <v>2905</v>
      </c>
      <c r="D1479" s="5" t="s">
        <v>2909</v>
      </c>
      <c r="E1479" s="5" t="s">
        <v>2910</v>
      </c>
      <c r="F1479" s="5" t="s">
        <v>2908</v>
      </c>
      <c r="G1479" s="5">
        <v>795.0</v>
      </c>
      <c r="H1479" s="5" t="s">
        <v>22</v>
      </c>
      <c r="I1479" s="7">
        <f t="shared" si="1"/>
        <v>1192.5</v>
      </c>
      <c r="J1479" s="7">
        <f t="shared" si="7"/>
        <v>1033.5</v>
      </c>
      <c r="K1479" s="7">
        <f t="shared" si="3"/>
        <v>1033.5</v>
      </c>
      <c r="L1479" s="7">
        <f t="shared" si="4"/>
        <v>954</v>
      </c>
      <c r="M1479" s="7">
        <f t="shared" si="5"/>
        <v>914.25</v>
      </c>
      <c r="N1479" s="7">
        <f t="shared" si="6"/>
        <v>874.5</v>
      </c>
    </row>
    <row r="1480">
      <c r="A1480" s="5" t="s">
        <v>2901</v>
      </c>
      <c r="B1480" s="5" t="s">
        <v>197</v>
      </c>
      <c r="C1480" s="5" t="s">
        <v>2905</v>
      </c>
      <c r="D1480" s="5" t="s">
        <v>2911</v>
      </c>
      <c r="E1480" s="5" t="s">
        <v>2912</v>
      </c>
      <c r="F1480" s="5" t="s">
        <v>2908</v>
      </c>
      <c r="G1480" s="5">
        <v>166.0</v>
      </c>
      <c r="H1480" s="5" t="s">
        <v>22</v>
      </c>
      <c r="I1480" s="7">
        <f t="shared" si="1"/>
        <v>249</v>
      </c>
      <c r="J1480" s="7">
        <f t="shared" si="7"/>
        <v>215.8</v>
      </c>
      <c r="K1480" s="7">
        <f t="shared" si="3"/>
        <v>215.8</v>
      </c>
      <c r="L1480" s="7">
        <f t="shared" si="4"/>
        <v>199.2</v>
      </c>
      <c r="M1480" s="7">
        <f t="shared" si="5"/>
        <v>190.9</v>
      </c>
      <c r="N1480" s="7">
        <f t="shared" si="6"/>
        <v>182.6</v>
      </c>
    </row>
    <row r="1481">
      <c r="A1481" s="5" t="s">
        <v>2901</v>
      </c>
      <c r="B1481" s="6"/>
      <c r="C1481" s="5" t="s">
        <v>2913</v>
      </c>
      <c r="D1481" s="5" t="s">
        <v>2914</v>
      </c>
      <c r="E1481" s="5" t="s">
        <v>2915</v>
      </c>
      <c r="F1481" s="5" t="s">
        <v>2908</v>
      </c>
      <c r="G1481" s="8">
        <v>1202.0</v>
      </c>
      <c r="H1481" s="5" t="s">
        <v>22</v>
      </c>
      <c r="I1481" s="7">
        <f t="shared" si="1"/>
        <v>1803</v>
      </c>
      <c r="J1481" s="7">
        <f t="shared" si="7"/>
        <v>1562.6</v>
      </c>
      <c r="K1481" s="7">
        <f t="shared" si="3"/>
        <v>1562.6</v>
      </c>
      <c r="L1481" s="7">
        <f t="shared" si="4"/>
        <v>1442.4</v>
      </c>
      <c r="M1481" s="7">
        <f t="shared" si="5"/>
        <v>1382.3</v>
      </c>
      <c r="N1481" s="7">
        <f t="shared" si="6"/>
        <v>1322.2</v>
      </c>
    </row>
    <row r="1482">
      <c r="A1482" s="5" t="s">
        <v>2901</v>
      </c>
      <c r="B1482" s="6"/>
      <c r="C1482" s="5" t="s">
        <v>2916</v>
      </c>
      <c r="D1482" s="5" t="s">
        <v>2917</v>
      </c>
      <c r="E1482" s="5" t="s">
        <v>2918</v>
      </c>
      <c r="F1482" s="5" t="s">
        <v>2908</v>
      </c>
      <c r="G1482" s="8">
        <v>11225.0</v>
      </c>
      <c r="H1482" s="5" t="s">
        <v>22</v>
      </c>
      <c r="I1482" s="7">
        <f t="shared" si="1"/>
        <v>16837.5</v>
      </c>
      <c r="J1482" s="7">
        <f t="shared" si="7"/>
        <v>14592.5</v>
      </c>
      <c r="K1482" s="7">
        <f t="shared" si="3"/>
        <v>14592.5</v>
      </c>
      <c r="L1482" s="7">
        <f t="shared" si="4"/>
        <v>13470</v>
      </c>
      <c r="M1482" s="7">
        <f t="shared" si="5"/>
        <v>12908.75</v>
      </c>
      <c r="N1482" s="7">
        <f t="shared" si="6"/>
        <v>12347.5</v>
      </c>
    </row>
    <row r="1483">
      <c r="A1483" s="5" t="s">
        <v>2901</v>
      </c>
      <c r="B1483" s="6"/>
      <c r="C1483" s="5" t="s">
        <v>2916</v>
      </c>
      <c r="D1483" s="5" t="s">
        <v>2919</v>
      </c>
      <c r="E1483" s="5" t="s">
        <v>2920</v>
      </c>
      <c r="F1483" s="5" t="s">
        <v>2908</v>
      </c>
      <c r="G1483" s="8">
        <v>11214.0</v>
      </c>
      <c r="H1483" s="5" t="s">
        <v>22</v>
      </c>
      <c r="I1483" s="7">
        <f t="shared" si="1"/>
        <v>16821</v>
      </c>
      <c r="J1483" s="7">
        <f t="shared" si="7"/>
        <v>14578.2</v>
      </c>
      <c r="K1483" s="7">
        <f t="shared" si="3"/>
        <v>14578.2</v>
      </c>
      <c r="L1483" s="7">
        <f t="shared" si="4"/>
        <v>13456.8</v>
      </c>
      <c r="M1483" s="7">
        <f t="shared" si="5"/>
        <v>12896.1</v>
      </c>
      <c r="N1483" s="7">
        <f t="shared" si="6"/>
        <v>12335.4</v>
      </c>
    </row>
    <row r="1484">
      <c r="A1484" s="5" t="s">
        <v>2901</v>
      </c>
      <c r="B1484" s="5" t="s">
        <v>197</v>
      </c>
      <c r="C1484" s="5" t="s">
        <v>2921</v>
      </c>
      <c r="D1484" s="5" t="s">
        <v>2922</v>
      </c>
      <c r="E1484" s="5" t="s">
        <v>2923</v>
      </c>
      <c r="F1484" s="5" t="s">
        <v>2908</v>
      </c>
      <c r="G1484" s="8">
        <v>2424.0</v>
      </c>
      <c r="H1484" s="5" t="s">
        <v>22</v>
      </c>
      <c r="I1484" s="7">
        <f t="shared" si="1"/>
        <v>3636</v>
      </c>
      <c r="J1484" s="7">
        <f t="shared" si="7"/>
        <v>3151.2</v>
      </c>
      <c r="K1484" s="7">
        <f t="shared" si="3"/>
        <v>3151.2</v>
      </c>
      <c r="L1484" s="7">
        <f t="shared" si="4"/>
        <v>2908.8</v>
      </c>
      <c r="M1484" s="7">
        <f t="shared" si="5"/>
        <v>2787.6</v>
      </c>
      <c r="N1484" s="7">
        <f t="shared" si="6"/>
        <v>2666.4</v>
      </c>
    </row>
    <row r="1485">
      <c r="A1485" s="5" t="s">
        <v>2901</v>
      </c>
      <c r="B1485" s="5" t="s">
        <v>197</v>
      </c>
      <c r="C1485" s="5" t="s">
        <v>2921</v>
      </c>
      <c r="D1485" s="5" t="s">
        <v>2924</v>
      </c>
      <c r="E1485" s="5" t="s">
        <v>2925</v>
      </c>
      <c r="F1485" s="5" t="s">
        <v>2908</v>
      </c>
      <c r="G1485" s="8">
        <v>3730.0</v>
      </c>
      <c r="H1485" s="5" t="s">
        <v>22</v>
      </c>
      <c r="I1485" s="7">
        <f t="shared" si="1"/>
        <v>5595</v>
      </c>
      <c r="J1485" s="7">
        <f t="shared" si="7"/>
        <v>4849</v>
      </c>
      <c r="K1485" s="7">
        <f t="shared" si="3"/>
        <v>4849</v>
      </c>
      <c r="L1485" s="7">
        <f t="shared" si="4"/>
        <v>4476</v>
      </c>
      <c r="M1485" s="7">
        <f t="shared" si="5"/>
        <v>4289.5</v>
      </c>
      <c r="N1485" s="7">
        <f t="shared" si="6"/>
        <v>4103</v>
      </c>
    </row>
    <row r="1486">
      <c r="A1486" s="5" t="s">
        <v>2901</v>
      </c>
      <c r="B1486" s="5" t="s">
        <v>197</v>
      </c>
      <c r="C1486" s="5" t="s">
        <v>2921</v>
      </c>
      <c r="D1486" s="5" t="s">
        <v>2926</v>
      </c>
      <c r="E1486" s="5" t="s">
        <v>2927</v>
      </c>
      <c r="F1486" s="5" t="s">
        <v>2908</v>
      </c>
      <c r="G1486" s="5">
        <v>597.0</v>
      </c>
      <c r="H1486" s="5" t="s">
        <v>22</v>
      </c>
      <c r="I1486" s="7">
        <f t="shared" si="1"/>
        <v>895.5</v>
      </c>
      <c r="J1486" s="7">
        <f t="shared" si="7"/>
        <v>776.1</v>
      </c>
      <c r="K1486" s="7">
        <f t="shared" si="3"/>
        <v>776.1</v>
      </c>
      <c r="L1486" s="7">
        <f t="shared" si="4"/>
        <v>716.4</v>
      </c>
      <c r="M1486" s="7">
        <f t="shared" si="5"/>
        <v>686.55</v>
      </c>
      <c r="N1486" s="7">
        <f t="shared" si="6"/>
        <v>656.7</v>
      </c>
    </row>
    <row r="1487">
      <c r="A1487" s="5" t="s">
        <v>2901</v>
      </c>
      <c r="B1487" s="5" t="s">
        <v>1524</v>
      </c>
      <c r="C1487" s="5" t="s">
        <v>2928</v>
      </c>
      <c r="D1487" s="5" t="s">
        <v>2929</v>
      </c>
      <c r="E1487" s="5" t="s">
        <v>2930</v>
      </c>
      <c r="F1487" s="5" t="s">
        <v>2908</v>
      </c>
      <c r="G1487" s="5">
        <v>212.0</v>
      </c>
      <c r="H1487" s="5" t="s">
        <v>22</v>
      </c>
      <c r="I1487" s="7">
        <f t="shared" si="1"/>
        <v>318</v>
      </c>
      <c r="J1487" s="7">
        <f t="shared" si="7"/>
        <v>275.6</v>
      </c>
      <c r="K1487" s="7">
        <f t="shared" si="3"/>
        <v>275.6</v>
      </c>
      <c r="L1487" s="7">
        <f t="shared" si="4"/>
        <v>254.4</v>
      </c>
      <c r="M1487" s="7">
        <f t="shared" si="5"/>
        <v>243.8</v>
      </c>
      <c r="N1487" s="7">
        <f t="shared" si="6"/>
        <v>233.2</v>
      </c>
    </row>
    <row r="1488">
      <c r="A1488" s="5" t="s">
        <v>2901</v>
      </c>
      <c r="B1488" s="5" t="s">
        <v>1524</v>
      </c>
      <c r="C1488" s="5" t="s">
        <v>2928</v>
      </c>
      <c r="D1488" s="5" t="s">
        <v>2931</v>
      </c>
      <c r="E1488" s="5" t="s">
        <v>2932</v>
      </c>
      <c r="F1488" s="5" t="s">
        <v>2908</v>
      </c>
      <c r="G1488" s="8">
        <v>2312.0</v>
      </c>
      <c r="H1488" s="5" t="s">
        <v>22</v>
      </c>
      <c r="I1488" s="7">
        <f t="shared" si="1"/>
        <v>3468</v>
      </c>
      <c r="J1488" s="7">
        <f t="shared" si="7"/>
        <v>3005.6</v>
      </c>
      <c r="K1488" s="7">
        <f t="shared" si="3"/>
        <v>3005.6</v>
      </c>
      <c r="L1488" s="7">
        <f t="shared" si="4"/>
        <v>2774.4</v>
      </c>
      <c r="M1488" s="7">
        <f t="shared" si="5"/>
        <v>2658.8</v>
      </c>
      <c r="N1488" s="7">
        <f t="shared" si="6"/>
        <v>2543.2</v>
      </c>
    </row>
    <row r="1489">
      <c r="A1489" s="5" t="s">
        <v>2901</v>
      </c>
      <c r="B1489" s="5" t="s">
        <v>1524</v>
      </c>
      <c r="C1489" s="5" t="s">
        <v>2928</v>
      </c>
      <c r="D1489" s="5" t="s">
        <v>2933</v>
      </c>
      <c r="E1489" s="5" t="s">
        <v>2934</v>
      </c>
      <c r="F1489" s="5" t="s">
        <v>2908</v>
      </c>
      <c r="G1489" s="8">
        <v>2814.0</v>
      </c>
      <c r="H1489" s="5" t="s">
        <v>22</v>
      </c>
      <c r="I1489" s="7">
        <f t="shared" si="1"/>
        <v>4221</v>
      </c>
      <c r="J1489" s="7">
        <f t="shared" si="7"/>
        <v>3658.2</v>
      </c>
      <c r="K1489" s="7">
        <f t="shared" si="3"/>
        <v>3658.2</v>
      </c>
      <c r="L1489" s="7">
        <f t="shared" si="4"/>
        <v>3376.8</v>
      </c>
      <c r="M1489" s="7">
        <f t="shared" si="5"/>
        <v>3236.1</v>
      </c>
      <c r="N1489" s="7">
        <f t="shared" si="6"/>
        <v>3095.4</v>
      </c>
    </row>
    <row r="1490">
      <c r="A1490" s="5" t="s">
        <v>2901</v>
      </c>
      <c r="B1490" s="5" t="s">
        <v>1524</v>
      </c>
      <c r="C1490" s="5" t="s">
        <v>2928</v>
      </c>
      <c r="D1490" s="5" t="s">
        <v>2935</v>
      </c>
      <c r="E1490" s="5" t="s">
        <v>2936</v>
      </c>
      <c r="F1490" s="5" t="s">
        <v>2908</v>
      </c>
      <c r="G1490" s="8">
        <v>2285.0</v>
      </c>
      <c r="H1490" s="5" t="s">
        <v>22</v>
      </c>
      <c r="I1490" s="7">
        <f t="shared" si="1"/>
        <v>3427.5</v>
      </c>
      <c r="J1490" s="7">
        <f t="shared" si="7"/>
        <v>2970.5</v>
      </c>
      <c r="K1490" s="7">
        <f t="shared" si="3"/>
        <v>2970.5</v>
      </c>
      <c r="L1490" s="7">
        <f t="shared" si="4"/>
        <v>2742</v>
      </c>
      <c r="M1490" s="7">
        <f t="shared" si="5"/>
        <v>2627.75</v>
      </c>
      <c r="N1490" s="7">
        <f t="shared" si="6"/>
        <v>2513.5</v>
      </c>
    </row>
    <row r="1491">
      <c r="A1491" s="5" t="s">
        <v>2901</v>
      </c>
      <c r="B1491" s="5" t="s">
        <v>1524</v>
      </c>
      <c r="C1491" s="5" t="s">
        <v>2928</v>
      </c>
      <c r="D1491" s="5" t="s">
        <v>2937</v>
      </c>
      <c r="E1491" s="5" t="s">
        <v>2938</v>
      </c>
      <c r="F1491" s="5" t="s">
        <v>2908</v>
      </c>
      <c r="G1491" s="8">
        <v>4514.0</v>
      </c>
      <c r="H1491" s="5" t="s">
        <v>22</v>
      </c>
      <c r="I1491" s="7">
        <f t="shared" si="1"/>
        <v>6771</v>
      </c>
      <c r="J1491" s="7">
        <f t="shared" si="7"/>
        <v>5868.2</v>
      </c>
      <c r="K1491" s="7">
        <f t="shared" si="3"/>
        <v>5868.2</v>
      </c>
      <c r="L1491" s="7">
        <f t="shared" si="4"/>
        <v>5416.8</v>
      </c>
      <c r="M1491" s="7">
        <f t="shared" si="5"/>
        <v>5191.1</v>
      </c>
      <c r="N1491" s="7">
        <f t="shared" si="6"/>
        <v>4965.4</v>
      </c>
    </row>
    <row r="1492">
      <c r="A1492" s="5" t="s">
        <v>2901</v>
      </c>
      <c r="B1492" s="5" t="s">
        <v>1524</v>
      </c>
      <c r="C1492" s="5" t="s">
        <v>2928</v>
      </c>
      <c r="D1492" s="5" t="s">
        <v>2939</v>
      </c>
      <c r="E1492" s="5" t="s">
        <v>2940</v>
      </c>
      <c r="F1492" s="5" t="s">
        <v>2908</v>
      </c>
      <c r="G1492" s="8">
        <v>3699.0</v>
      </c>
      <c r="H1492" s="5" t="s">
        <v>22</v>
      </c>
      <c r="I1492" s="7">
        <f t="shared" si="1"/>
        <v>5548.5</v>
      </c>
      <c r="J1492" s="7">
        <f t="shared" si="7"/>
        <v>4808.7</v>
      </c>
      <c r="K1492" s="7">
        <f t="shared" si="3"/>
        <v>4808.7</v>
      </c>
      <c r="L1492" s="7">
        <f t="shared" si="4"/>
        <v>4438.8</v>
      </c>
      <c r="M1492" s="7">
        <f t="shared" si="5"/>
        <v>4253.85</v>
      </c>
      <c r="N1492" s="7">
        <f t="shared" si="6"/>
        <v>4068.9</v>
      </c>
    </row>
    <row r="1493">
      <c r="A1493" s="5" t="s">
        <v>2901</v>
      </c>
      <c r="B1493" s="5" t="s">
        <v>1524</v>
      </c>
      <c r="C1493" s="5" t="s">
        <v>2928</v>
      </c>
      <c r="D1493" s="5" t="s">
        <v>2941</v>
      </c>
      <c r="E1493" s="5" t="s">
        <v>2942</v>
      </c>
      <c r="F1493" s="5" t="s">
        <v>2908</v>
      </c>
      <c r="G1493" s="8">
        <v>3638.0</v>
      </c>
      <c r="H1493" s="5" t="s">
        <v>22</v>
      </c>
      <c r="I1493" s="7">
        <f t="shared" si="1"/>
        <v>5457</v>
      </c>
      <c r="J1493" s="7">
        <f t="shared" si="7"/>
        <v>4729.4</v>
      </c>
      <c r="K1493" s="7">
        <f t="shared" si="3"/>
        <v>4729.4</v>
      </c>
      <c r="L1493" s="7">
        <f t="shared" si="4"/>
        <v>4365.6</v>
      </c>
      <c r="M1493" s="7">
        <f t="shared" si="5"/>
        <v>4183.7</v>
      </c>
      <c r="N1493" s="7">
        <f t="shared" si="6"/>
        <v>4001.8</v>
      </c>
    </row>
    <row r="1494">
      <c r="A1494" s="5" t="s">
        <v>2901</v>
      </c>
      <c r="B1494" s="5" t="s">
        <v>1524</v>
      </c>
      <c r="C1494" s="5" t="s">
        <v>2928</v>
      </c>
      <c r="D1494" s="5" t="s">
        <v>2943</v>
      </c>
      <c r="E1494" s="5" t="s">
        <v>2944</v>
      </c>
      <c r="F1494" s="5" t="s">
        <v>2908</v>
      </c>
      <c r="G1494" s="8">
        <v>2811.0</v>
      </c>
      <c r="H1494" s="5" t="s">
        <v>22</v>
      </c>
      <c r="I1494" s="7">
        <f t="shared" si="1"/>
        <v>4216.5</v>
      </c>
      <c r="J1494" s="7">
        <f t="shared" si="7"/>
        <v>3654.3</v>
      </c>
      <c r="K1494" s="7">
        <f t="shared" si="3"/>
        <v>3654.3</v>
      </c>
      <c r="L1494" s="7">
        <f t="shared" si="4"/>
        <v>3373.2</v>
      </c>
      <c r="M1494" s="7">
        <f t="shared" si="5"/>
        <v>3232.65</v>
      </c>
      <c r="N1494" s="7">
        <f t="shared" si="6"/>
        <v>3092.1</v>
      </c>
    </row>
    <row r="1495">
      <c r="A1495" s="5" t="s">
        <v>2901</v>
      </c>
      <c r="B1495" s="5" t="s">
        <v>1524</v>
      </c>
      <c r="C1495" s="5" t="s">
        <v>2928</v>
      </c>
      <c r="D1495" s="5" t="s">
        <v>2945</v>
      </c>
      <c r="E1495" s="5" t="s">
        <v>2946</v>
      </c>
      <c r="F1495" s="5" t="s">
        <v>2947</v>
      </c>
      <c r="G1495" s="8">
        <v>2968.0</v>
      </c>
      <c r="H1495" s="5" t="s">
        <v>22</v>
      </c>
      <c r="I1495" s="7">
        <f t="shared" si="1"/>
        <v>4452</v>
      </c>
      <c r="J1495" s="7">
        <f t="shared" si="7"/>
        <v>3858.4</v>
      </c>
      <c r="K1495" s="7">
        <f t="shared" si="3"/>
        <v>3858.4</v>
      </c>
      <c r="L1495" s="7">
        <f t="shared" si="4"/>
        <v>3561.6</v>
      </c>
      <c r="M1495" s="7">
        <f t="shared" si="5"/>
        <v>3413.2</v>
      </c>
      <c r="N1495" s="7">
        <f t="shared" si="6"/>
        <v>3264.8</v>
      </c>
    </row>
    <row r="1496">
      <c r="A1496" s="5" t="s">
        <v>2901</v>
      </c>
      <c r="B1496" s="5" t="s">
        <v>1524</v>
      </c>
      <c r="C1496" s="5" t="s">
        <v>2928</v>
      </c>
      <c r="D1496" s="5" t="s">
        <v>2948</v>
      </c>
      <c r="E1496" s="5" t="s">
        <v>2949</v>
      </c>
      <c r="F1496" s="5" t="s">
        <v>2947</v>
      </c>
      <c r="G1496" s="8">
        <v>2968.0</v>
      </c>
      <c r="H1496" s="5" t="s">
        <v>22</v>
      </c>
      <c r="I1496" s="7">
        <f t="shared" si="1"/>
        <v>4452</v>
      </c>
      <c r="J1496" s="7">
        <f t="shared" si="7"/>
        <v>3858.4</v>
      </c>
      <c r="K1496" s="7">
        <f t="shared" si="3"/>
        <v>3858.4</v>
      </c>
      <c r="L1496" s="7">
        <f t="shared" si="4"/>
        <v>3561.6</v>
      </c>
      <c r="M1496" s="7">
        <f t="shared" si="5"/>
        <v>3413.2</v>
      </c>
      <c r="N1496" s="7">
        <f t="shared" si="6"/>
        <v>3264.8</v>
      </c>
    </row>
    <row r="1497">
      <c r="A1497" s="5" t="s">
        <v>2901</v>
      </c>
      <c r="B1497" s="5" t="s">
        <v>1524</v>
      </c>
      <c r="C1497" s="5" t="s">
        <v>2928</v>
      </c>
      <c r="D1497" s="5" t="s">
        <v>2950</v>
      </c>
      <c r="E1497" s="5" t="s">
        <v>2951</v>
      </c>
      <c r="F1497" s="5" t="s">
        <v>2947</v>
      </c>
      <c r="G1497" s="8">
        <v>3915.0</v>
      </c>
      <c r="H1497" s="5" t="s">
        <v>22</v>
      </c>
      <c r="I1497" s="7">
        <f t="shared" si="1"/>
        <v>5872.5</v>
      </c>
      <c r="J1497" s="7">
        <f t="shared" si="7"/>
        <v>5089.5</v>
      </c>
      <c r="K1497" s="7">
        <f t="shared" si="3"/>
        <v>5089.5</v>
      </c>
      <c r="L1497" s="7">
        <f t="shared" si="4"/>
        <v>4698</v>
      </c>
      <c r="M1497" s="7">
        <f t="shared" si="5"/>
        <v>4502.25</v>
      </c>
      <c r="N1497" s="7">
        <f t="shared" si="6"/>
        <v>4306.5</v>
      </c>
    </row>
    <row r="1498">
      <c r="A1498" s="5" t="s">
        <v>2901</v>
      </c>
      <c r="B1498" s="5" t="s">
        <v>1524</v>
      </c>
      <c r="C1498" s="5" t="s">
        <v>2928</v>
      </c>
      <c r="D1498" s="5" t="s">
        <v>2952</v>
      </c>
      <c r="E1498" s="5" t="s">
        <v>2953</v>
      </c>
      <c r="F1498" s="5" t="s">
        <v>2947</v>
      </c>
      <c r="G1498" s="8">
        <v>3773.0</v>
      </c>
      <c r="H1498" s="5" t="s">
        <v>22</v>
      </c>
      <c r="I1498" s="7">
        <f t="shared" si="1"/>
        <v>5659.5</v>
      </c>
      <c r="J1498" s="7">
        <f t="shared" si="7"/>
        <v>4904.9</v>
      </c>
      <c r="K1498" s="7">
        <f t="shared" si="3"/>
        <v>4904.9</v>
      </c>
      <c r="L1498" s="7">
        <f t="shared" si="4"/>
        <v>4527.6</v>
      </c>
      <c r="M1498" s="7">
        <f t="shared" si="5"/>
        <v>4338.95</v>
      </c>
      <c r="N1498" s="7">
        <f t="shared" si="6"/>
        <v>4150.3</v>
      </c>
    </row>
    <row r="1499">
      <c r="A1499" s="5" t="s">
        <v>2901</v>
      </c>
      <c r="B1499" s="5" t="s">
        <v>1524</v>
      </c>
      <c r="C1499" s="5" t="s">
        <v>2928</v>
      </c>
      <c r="D1499" s="5" t="s">
        <v>2954</v>
      </c>
      <c r="E1499" s="5" t="s">
        <v>2955</v>
      </c>
      <c r="F1499" s="5" t="s">
        <v>2947</v>
      </c>
      <c r="G1499" s="5">
        <v>236.0</v>
      </c>
      <c r="H1499" s="5" t="s">
        <v>22</v>
      </c>
      <c r="I1499" s="7">
        <f t="shared" si="1"/>
        <v>354</v>
      </c>
      <c r="J1499" s="7">
        <f t="shared" si="7"/>
        <v>306.8</v>
      </c>
      <c r="K1499" s="7">
        <f t="shared" si="3"/>
        <v>306.8</v>
      </c>
      <c r="L1499" s="7">
        <f t="shared" si="4"/>
        <v>283.2</v>
      </c>
      <c r="M1499" s="7">
        <f t="shared" si="5"/>
        <v>271.4</v>
      </c>
      <c r="N1499" s="7">
        <f t="shared" si="6"/>
        <v>259.6</v>
      </c>
    </row>
    <row r="1500">
      <c r="A1500" s="5" t="s">
        <v>2901</v>
      </c>
      <c r="B1500" s="5" t="s">
        <v>1524</v>
      </c>
      <c r="C1500" s="5" t="s">
        <v>2956</v>
      </c>
      <c r="D1500" s="5" t="s">
        <v>2957</v>
      </c>
      <c r="E1500" s="5" t="s">
        <v>2958</v>
      </c>
      <c r="F1500" s="5" t="s">
        <v>2908</v>
      </c>
      <c r="G1500" s="8">
        <v>3653.0</v>
      </c>
      <c r="H1500" s="5" t="s">
        <v>22</v>
      </c>
      <c r="I1500" s="7">
        <f t="shared" si="1"/>
        <v>5479.5</v>
      </c>
      <c r="J1500" s="7">
        <f t="shared" si="7"/>
        <v>4748.9</v>
      </c>
      <c r="K1500" s="7">
        <f t="shared" si="3"/>
        <v>4748.9</v>
      </c>
      <c r="L1500" s="7">
        <f t="shared" si="4"/>
        <v>4383.6</v>
      </c>
      <c r="M1500" s="7">
        <f t="shared" si="5"/>
        <v>4200.95</v>
      </c>
      <c r="N1500" s="7">
        <f t="shared" si="6"/>
        <v>4018.3</v>
      </c>
    </row>
    <row r="1501">
      <c r="A1501" s="5" t="s">
        <v>2901</v>
      </c>
      <c r="B1501" s="5" t="s">
        <v>1524</v>
      </c>
      <c r="C1501" s="5" t="s">
        <v>2956</v>
      </c>
      <c r="D1501" s="5" t="s">
        <v>2959</v>
      </c>
      <c r="E1501" s="5" t="s">
        <v>2960</v>
      </c>
      <c r="F1501" s="5" t="s">
        <v>2908</v>
      </c>
      <c r="G1501" s="8">
        <v>4400.0</v>
      </c>
      <c r="H1501" s="5" t="s">
        <v>22</v>
      </c>
      <c r="I1501" s="7">
        <f t="shared" si="1"/>
        <v>6600</v>
      </c>
      <c r="J1501" s="7">
        <f t="shared" si="7"/>
        <v>5720</v>
      </c>
      <c r="K1501" s="7">
        <f t="shared" si="3"/>
        <v>5720</v>
      </c>
      <c r="L1501" s="7">
        <f t="shared" si="4"/>
        <v>5280</v>
      </c>
      <c r="M1501" s="7">
        <f t="shared" si="5"/>
        <v>5060</v>
      </c>
      <c r="N1501" s="7">
        <f t="shared" si="6"/>
        <v>4840</v>
      </c>
    </row>
    <row r="1502">
      <c r="A1502" s="5" t="s">
        <v>2901</v>
      </c>
      <c r="B1502" s="5" t="s">
        <v>1524</v>
      </c>
      <c r="C1502" s="5" t="s">
        <v>2956</v>
      </c>
      <c r="D1502" s="5" t="s">
        <v>2961</v>
      </c>
      <c r="E1502" s="5" t="s">
        <v>2962</v>
      </c>
      <c r="F1502" s="5" t="s">
        <v>2908</v>
      </c>
      <c r="G1502" s="8">
        <v>8218.0</v>
      </c>
      <c r="H1502" s="5" t="s">
        <v>22</v>
      </c>
      <c r="I1502" s="7">
        <f t="shared" si="1"/>
        <v>12327</v>
      </c>
      <c r="J1502" s="7">
        <f t="shared" si="7"/>
        <v>10683.4</v>
      </c>
      <c r="K1502" s="7">
        <f t="shared" si="3"/>
        <v>10683.4</v>
      </c>
      <c r="L1502" s="7">
        <f t="shared" si="4"/>
        <v>9861.6</v>
      </c>
      <c r="M1502" s="7">
        <f t="shared" si="5"/>
        <v>9450.7</v>
      </c>
      <c r="N1502" s="7">
        <f t="shared" si="6"/>
        <v>9039.8</v>
      </c>
    </row>
    <row r="1503">
      <c r="A1503" s="5" t="s">
        <v>2901</v>
      </c>
      <c r="B1503" s="5" t="s">
        <v>1524</v>
      </c>
      <c r="C1503" s="5" t="s">
        <v>2956</v>
      </c>
      <c r="D1503" s="5" t="s">
        <v>2963</v>
      </c>
      <c r="E1503" s="5" t="s">
        <v>2964</v>
      </c>
      <c r="F1503" s="5" t="s">
        <v>2908</v>
      </c>
      <c r="G1503" s="8">
        <v>7582.0</v>
      </c>
      <c r="H1503" s="5" t="s">
        <v>22</v>
      </c>
      <c r="I1503" s="7">
        <f t="shared" si="1"/>
        <v>11373</v>
      </c>
      <c r="J1503" s="7">
        <f t="shared" si="7"/>
        <v>9856.6</v>
      </c>
      <c r="K1503" s="7">
        <f t="shared" si="3"/>
        <v>9856.6</v>
      </c>
      <c r="L1503" s="7">
        <f t="shared" si="4"/>
        <v>9098.4</v>
      </c>
      <c r="M1503" s="7">
        <f t="shared" si="5"/>
        <v>8719.3</v>
      </c>
      <c r="N1503" s="7">
        <f t="shared" si="6"/>
        <v>8340.2</v>
      </c>
    </row>
    <row r="1504">
      <c r="A1504" s="5" t="s">
        <v>2901</v>
      </c>
      <c r="B1504" s="6"/>
      <c r="C1504" s="5" t="s">
        <v>2965</v>
      </c>
      <c r="D1504" s="5" t="s">
        <v>2966</v>
      </c>
      <c r="E1504" s="5" t="s">
        <v>2967</v>
      </c>
      <c r="F1504" s="6"/>
      <c r="G1504" s="8">
        <v>3365.0</v>
      </c>
      <c r="H1504" s="5" t="s">
        <v>22</v>
      </c>
      <c r="I1504" s="7">
        <f t="shared" si="1"/>
        <v>5047.5</v>
      </c>
      <c r="J1504" s="7">
        <f t="shared" si="7"/>
        <v>4374.5</v>
      </c>
      <c r="K1504" s="7">
        <f t="shared" si="3"/>
        <v>4374.5</v>
      </c>
      <c r="L1504" s="7">
        <f t="shared" si="4"/>
        <v>4038</v>
      </c>
      <c r="M1504" s="7">
        <f t="shared" si="5"/>
        <v>3869.75</v>
      </c>
      <c r="N1504" s="7">
        <f t="shared" si="6"/>
        <v>3701.5</v>
      </c>
    </row>
    <row r="1505">
      <c r="A1505" s="5" t="s">
        <v>2901</v>
      </c>
      <c r="B1505" s="6"/>
      <c r="C1505" s="5" t="s">
        <v>2965</v>
      </c>
      <c r="D1505" s="5" t="s">
        <v>2968</v>
      </c>
      <c r="E1505" s="5" t="s">
        <v>2969</v>
      </c>
      <c r="F1505" s="6"/>
      <c r="G1505" s="8">
        <v>3502.0</v>
      </c>
      <c r="H1505" s="5" t="s">
        <v>22</v>
      </c>
      <c r="I1505" s="7">
        <f t="shared" si="1"/>
        <v>5253</v>
      </c>
      <c r="J1505" s="7">
        <f t="shared" si="7"/>
        <v>4552.6</v>
      </c>
      <c r="K1505" s="7">
        <f t="shared" si="3"/>
        <v>4552.6</v>
      </c>
      <c r="L1505" s="7">
        <f t="shared" si="4"/>
        <v>4202.4</v>
      </c>
      <c r="M1505" s="7">
        <f t="shared" si="5"/>
        <v>4027.3</v>
      </c>
      <c r="N1505" s="7">
        <f t="shared" si="6"/>
        <v>3852.2</v>
      </c>
    </row>
    <row r="1506">
      <c r="A1506" s="5" t="s">
        <v>2901</v>
      </c>
      <c r="B1506" s="6"/>
      <c r="C1506" s="5" t="s">
        <v>2965</v>
      </c>
      <c r="D1506" s="5" t="s">
        <v>2970</v>
      </c>
      <c r="E1506" s="5" t="s">
        <v>2971</v>
      </c>
      <c r="F1506" s="5" t="s">
        <v>2908</v>
      </c>
      <c r="G1506" s="8">
        <v>3576.0</v>
      </c>
      <c r="H1506" s="5" t="s">
        <v>22</v>
      </c>
      <c r="I1506" s="7">
        <f t="shared" si="1"/>
        <v>5364</v>
      </c>
      <c r="J1506" s="7">
        <f t="shared" si="7"/>
        <v>4648.8</v>
      </c>
      <c r="K1506" s="7">
        <f t="shared" si="3"/>
        <v>4648.8</v>
      </c>
      <c r="L1506" s="7">
        <f t="shared" si="4"/>
        <v>4291.2</v>
      </c>
      <c r="M1506" s="7">
        <f t="shared" si="5"/>
        <v>4112.4</v>
      </c>
      <c r="N1506" s="7">
        <f t="shared" si="6"/>
        <v>3933.6</v>
      </c>
    </row>
    <row r="1507">
      <c r="A1507" s="5" t="s">
        <v>2901</v>
      </c>
      <c r="B1507" s="6"/>
      <c r="C1507" s="5" t="s">
        <v>2965</v>
      </c>
      <c r="D1507" s="5" t="s">
        <v>2972</v>
      </c>
      <c r="E1507" s="5" t="s">
        <v>2973</v>
      </c>
      <c r="F1507" s="5" t="s">
        <v>2908</v>
      </c>
      <c r="G1507" s="8">
        <v>4202.0</v>
      </c>
      <c r="H1507" s="5" t="s">
        <v>22</v>
      </c>
      <c r="I1507" s="7">
        <f t="shared" si="1"/>
        <v>6303</v>
      </c>
      <c r="J1507" s="7">
        <f t="shared" si="7"/>
        <v>5462.6</v>
      </c>
      <c r="K1507" s="7">
        <f t="shared" si="3"/>
        <v>5462.6</v>
      </c>
      <c r="L1507" s="7">
        <f t="shared" si="4"/>
        <v>5042.4</v>
      </c>
      <c r="M1507" s="7">
        <f t="shared" si="5"/>
        <v>4832.3</v>
      </c>
      <c r="N1507" s="7">
        <f t="shared" si="6"/>
        <v>4622.2</v>
      </c>
    </row>
    <row r="1508">
      <c r="A1508" s="5" t="s">
        <v>2901</v>
      </c>
      <c r="B1508" s="6"/>
      <c r="C1508" s="5" t="s">
        <v>2965</v>
      </c>
      <c r="D1508" s="5" t="s">
        <v>2974</v>
      </c>
      <c r="E1508" s="5" t="s">
        <v>2975</v>
      </c>
      <c r="F1508" s="5" t="s">
        <v>2908</v>
      </c>
      <c r="G1508" s="8">
        <v>5203.0</v>
      </c>
      <c r="H1508" s="5" t="s">
        <v>22</v>
      </c>
      <c r="I1508" s="7">
        <f t="shared" si="1"/>
        <v>7804.5</v>
      </c>
      <c r="J1508" s="7">
        <f t="shared" si="7"/>
        <v>6763.9</v>
      </c>
      <c r="K1508" s="7">
        <f t="shared" si="3"/>
        <v>6763.9</v>
      </c>
      <c r="L1508" s="7">
        <f t="shared" si="4"/>
        <v>6243.6</v>
      </c>
      <c r="M1508" s="7">
        <f t="shared" si="5"/>
        <v>5983.45</v>
      </c>
      <c r="N1508" s="7">
        <f t="shared" si="6"/>
        <v>5723.3</v>
      </c>
    </row>
    <row r="1509">
      <c r="A1509" s="5" t="s">
        <v>2901</v>
      </c>
      <c r="B1509" s="6"/>
      <c r="C1509" s="5" t="s">
        <v>2965</v>
      </c>
      <c r="D1509" s="5" t="s">
        <v>2976</v>
      </c>
      <c r="E1509" s="5" t="s">
        <v>2977</v>
      </c>
      <c r="F1509" s="5" t="s">
        <v>2908</v>
      </c>
      <c r="G1509" s="8">
        <v>4121.0</v>
      </c>
      <c r="H1509" s="5" t="s">
        <v>22</v>
      </c>
      <c r="I1509" s="7">
        <f t="shared" si="1"/>
        <v>6181.5</v>
      </c>
      <c r="J1509" s="7">
        <f t="shared" si="7"/>
        <v>5357.3</v>
      </c>
      <c r="K1509" s="7">
        <f t="shared" si="3"/>
        <v>5357.3</v>
      </c>
      <c r="L1509" s="7">
        <f t="shared" si="4"/>
        <v>4945.2</v>
      </c>
      <c r="M1509" s="7">
        <f t="shared" si="5"/>
        <v>4739.15</v>
      </c>
      <c r="N1509" s="7">
        <f t="shared" si="6"/>
        <v>4533.1</v>
      </c>
    </row>
    <row r="1510">
      <c r="A1510" s="5" t="s">
        <v>2901</v>
      </c>
      <c r="B1510" s="5" t="s">
        <v>197</v>
      </c>
      <c r="C1510" s="5" t="s">
        <v>2978</v>
      </c>
      <c r="D1510" s="5" t="s">
        <v>2979</v>
      </c>
      <c r="E1510" s="5" t="s">
        <v>2980</v>
      </c>
      <c r="F1510" s="5" t="s">
        <v>2908</v>
      </c>
      <c r="G1510" s="8">
        <v>70890.0</v>
      </c>
      <c r="H1510" s="5" t="s">
        <v>22</v>
      </c>
      <c r="I1510" s="7">
        <f t="shared" si="1"/>
        <v>106335</v>
      </c>
      <c r="J1510" s="7">
        <f t="shared" si="7"/>
        <v>92157</v>
      </c>
      <c r="K1510" s="7">
        <f t="shared" si="3"/>
        <v>92157</v>
      </c>
      <c r="L1510" s="7">
        <f t="shared" si="4"/>
        <v>85068</v>
      </c>
      <c r="M1510" s="7">
        <f t="shared" si="5"/>
        <v>81523.5</v>
      </c>
      <c r="N1510" s="7">
        <f t="shared" si="6"/>
        <v>77979</v>
      </c>
    </row>
    <row r="1511">
      <c r="A1511" s="5" t="s">
        <v>2901</v>
      </c>
      <c r="B1511" s="6"/>
      <c r="C1511" s="5" t="s">
        <v>2981</v>
      </c>
      <c r="D1511" s="5" t="s">
        <v>2982</v>
      </c>
      <c r="E1511" s="5" t="s">
        <v>2983</v>
      </c>
      <c r="F1511" s="5" t="s">
        <v>2908</v>
      </c>
      <c r="G1511" s="8">
        <v>66772.0</v>
      </c>
      <c r="H1511" s="5" t="s">
        <v>22</v>
      </c>
      <c r="I1511" s="7">
        <f t="shared" si="1"/>
        <v>100158</v>
      </c>
      <c r="J1511" s="7">
        <f t="shared" si="7"/>
        <v>86803.6</v>
      </c>
      <c r="K1511" s="7">
        <f t="shared" si="3"/>
        <v>86803.6</v>
      </c>
      <c r="L1511" s="7">
        <f t="shared" si="4"/>
        <v>80126.4</v>
      </c>
      <c r="M1511" s="7">
        <f t="shared" si="5"/>
        <v>76787.8</v>
      </c>
      <c r="N1511" s="7">
        <f t="shared" si="6"/>
        <v>73449.2</v>
      </c>
    </row>
    <row r="1512">
      <c r="A1512" s="5" t="s">
        <v>2901</v>
      </c>
      <c r="B1512" s="6"/>
      <c r="C1512" s="5" t="s">
        <v>2981</v>
      </c>
      <c r="D1512" s="5" t="s">
        <v>2984</v>
      </c>
      <c r="E1512" s="5" t="s">
        <v>2985</v>
      </c>
      <c r="F1512" s="5" t="s">
        <v>2908</v>
      </c>
      <c r="G1512" s="8">
        <v>78408.0</v>
      </c>
      <c r="H1512" s="5" t="s">
        <v>22</v>
      </c>
      <c r="I1512" s="7">
        <f t="shared" si="1"/>
        <v>117612</v>
      </c>
      <c r="J1512" s="7">
        <f t="shared" si="7"/>
        <v>101930.4</v>
      </c>
      <c r="K1512" s="7">
        <f t="shared" si="3"/>
        <v>101930.4</v>
      </c>
      <c r="L1512" s="7">
        <f t="shared" si="4"/>
        <v>94089.6</v>
      </c>
      <c r="M1512" s="7">
        <f t="shared" si="5"/>
        <v>90169.2</v>
      </c>
      <c r="N1512" s="7">
        <f t="shared" si="6"/>
        <v>86248.8</v>
      </c>
    </row>
    <row r="1513">
      <c r="A1513" s="5" t="s">
        <v>2901</v>
      </c>
      <c r="B1513" s="6"/>
      <c r="C1513" s="5" t="s">
        <v>2986</v>
      </c>
      <c r="D1513" s="5" t="s">
        <v>2987</v>
      </c>
      <c r="E1513" s="5" t="s">
        <v>2988</v>
      </c>
      <c r="F1513" s="5" t="s">
        <v>2908</v>
      </c>
      <c r="G1513" s="8">
        <v>7799.0</v>
      </c>
      <c r="H1513" s="5" t="s">
        <v>22</v>
      </c>
      <c r="I1513" s="7">
        <f t="shared" si="1"/>
        <v>11698.5</v>
      </c>
      <c r="J1513" s="7">
        <f t="shared" si="7"/>
        <v>10138.7</v>
      </c>
      <c r="K1513" s="7">
        <f t="shared" si="3"/>
        <v>10138.7</v>
      </c>
      <c r="L1513" s="7">
        <f t="shared" si="4"/>
        <v>9358.8</v>
      </c>
      <c r="M1513" s="7">
        <f t="shared" si="5"/>
        <v>8968.85</v>
      </c>
      <c r="N1513" s="7">
        <f t="shared" si="6"/>
        <v>8578.9</v>
      </c>
    </row>
    <row r="1514">
      <c r="A1514" s="5" t="s">
        <v>2901</v>
      </c>
      <c r="B1514" s="5" t="s">
        <v>197</v>
      </c>
      <c r="C1514" s="5" t="s">
        <v>2989</v>
      </c>
      <c r="D1514" s="5" t="s">
        <v>2990</v>
      </c>
      <c r="E1514" s="5" t="s">
        <v>2991</v>
      </c>
      <c r="F1514" s="5" t="s">
        <v>2908</v>
      </c>
      <c r="G1514" s="8">
        <v>65451.0</v>
      </c>
      <c r="H1514" s="5" t="s">
        <v>22</v>
      </c>
      <c r="I1514" s="7">
        <f t="shared" si="1"/>
        <v>98176.5</v>
      </c>
      <c r="J1514" s="7">
        <f t="shared" si="7"/>
        <v>85086.3</v>
      </c>
      <c r="K1514" s="7">
        <f t="shared" si="3"/>
        <v>85086.3</v>
      </c>
      <c r="L1514" s="7">
        <f t="shared" si="4"/>
        <v>78541.2</v>
      </c>
      <c r="M1514" s="7">
        <f t="shared" si="5"/>
        <v>75268.65</v>
      </c>
      <c r="N1514" s="7">
        <f t="shared" si="6"/>
        <v>71996.1</v>
      </c>
    </row>
    <row r="1515">
      <c r="A1515" s="5" t="s">
        <v>2901</v>
      </c>
      <c r="B1515" s="5" t="s">
        <v>197</v>
      </c>
      <c r="C1515" s="5" t="s">
        <v>2989</v>
      </c>
      <c r="D1515" s="5" t="s">
        <v>2992</v>
      </c>
      <c r="E1515" s="5" t="s">
        <v>2993</v>
      </c>
      <c r="F1515" s="5" t="s">
        <v>2908</v>
      </c>
      <c r="G1515" s="8">
        <v>63716.0</v>
      </c>
      <c r="H1515" s="5" t="s">
        <v>22</v>
      </c>
      <c r="I1515" s="7">
        <f t="shared" si="1"/>
        <v>95574</v>
      </c>
      <c r="J1515" s="7">
        <f t="shared" si="7"/>
        <v>82830.8</v>
      </c>
      <c r="K1515" s="7">
        <f t="shared" si="3"/>
        <v>82830.8</v>
      </c>
      <c r="L1515" s="7">
        <f t="shared" si="4"/>
        <v>76459.2</v>
      </c>
      <c r="M1515" s="7">
        <f t="shared" si="5"/>
        <v>73273.4</v>
      </c>
      <c r="N1515" s="7">
        <f t="shared" si="6"/>
        <v>70087.6</v>
      </c>
    </row>
    <row r="1516">
      <c r="A1516" s="5" t="s">
        <v>2901</v>
      </c>
      <c r="B1516" s="5" t="s">
        <v>197</v>
      </c>
      <c r="C1516" s="5" t="s">
        <v>2989</v>
      </c>
      <c r="D1516" s="5" t="s">
        <v>2994</v>
      </c>
      <c r="E1516" s="5" t="s">
        <v>2995</v>
      </c>
      <c r="F1516" s="5" t="s">
        <v>2908</v>
      </c>
      <c r="G1516" s="8">
        <v>11662.0</v>
      </c>
      <c r="H1516" s="5" t="s">
        <v>22</v>
      </c>
      <c r="I1516" s="7">
        <f t="shared" si="1"/>
        <v>17493</v>
      </c>
      <c r="J1516" s="7">
        <f t="shared" si="7"/>
        <v>15160.6</v>
      </c>
      <c r="K1516" s="7">
        <f t="shared" si="3"/>
        <v>15160.6</v>
      </c>
      <c r="L1516" s="7">
        <f t="shared" si="4"/>
        <v>13994.4</v>
      </c>
      <c r="M1516" s="7">
        <f t="shared" si="5"/>
        <v>13411.3</v>
      </c>
      <c r="N1516" s="7">
        <f t="shared" si="6"/>
        <v>12828.2</v>
      </c>
    </row>
    <row r="1517">
      <c r="A1517" s="5" t="s">
        <v>2901</v>
      </c>
      <c r="B1517" s="5" t="s">
        <v>197</v>
      </c>
      <c r="C1517" s="5" t="s">
        <v>2989</v>
      </c>
      <c r="D1517" s="5" t="s">
        <v>2996</v>
      </c>
      <c r="E1517" s="5" t="s">
        <v>2997</v>
      </c>
      <c r="F1517" s="5" t="s">
        <v>2908</v>
      </c>
      <c r="G1517" s="8">
        <v>15077.0</v>
      </c>
      <c r="H1517" s="5" t="s">
        <v>22</v>
      </c>
      <c r="I1517" s="7">
        <f t="shared" si="1"/>
        <v>22615.5</v>
      </c>
      <c r="J1517" s="7">
        <f t="shared" si="7"/>
        <v>19600.1</v>
      </c>
      <c r="K1517" s="7">
        <f t="shared" si="3"/>
        <v>19600.1</v>
      </c>
      <c r="L1517" s="7">
        <f t="shared" si="4"/>
        <v>18092.4</v>
      </c>
      <c r="M1517" s="7">
        <f t="shared" si="5"/>
        <v>17338.55</v>
      </c>
      <c r="N1517" s="7">
        <f t="shared" si="6"/>
        <v>16584.7</v>
      </c>
    </row>
    <row r="1518">
      <c r="A1518" s="5" t="s">
        <v>2901</v>
      </c>
      <c r="B1518" s="5" t="s">
        <v>197</v>
      </c>
      <c r="C1518" s="5" t="s">
        <v>2989</v>
      </c>
      <c r="D1518" s="5" t="s">
        <v>2998</v>
      </c>
      <c r="E1518" s="5" t="s">
        <v>2999</v>
      </c>
      <c r="F1518" s="5" t="s">
        <v>2908</v>
      </c>
      <c r="G1518" s="8">
        <v>7366.0</v>
      </c>
      <c r="H1518" s="5" t="s">
        <v>22</v>
      </c>
      <c r="I1518" s="7">
        <f t="shared" si="1"/>
        <v>11049</v>
      </c>
      <c r="J1518" s="7">
        <f t="shared" si="7"/>
        <v>9575.8</v>
      </c>
      <c r="K1518" s="7">
        <f t="shared" si="3"/>
        <v>9575.8</v>
      </c>
      <c r="L1518" s="7">
        <f t="shared" si="4"/>
        <v>8839.2</v>
      </c>
      <c r="M1518" s="7">
        <f t="shared" si="5"/>
        <v>8470.9</v>
      </c>
      <c r="N1518" s="7">
        <f t="shared" si="6"/>
        <v>8102.6</v>
      </c>
    </row>
    <row r="1519">
      <c r="A1519" s="5" t="s">
        <v>2901</v>
      </c>
      <c r="B1519" s="5" t="s">
        <v>197</v>
      </c>
      <c r="C1519" s="5" t="s">
        <v>2989</v>
      </c>
      <c r="D1519" s="5" t="s">
        <v>3000</v>
      </c>
      <c r="E1519" s="5" t="s">
        <v>3001</v>
      </c>
      <c r="F1519" s="5" t="s">
        <v>2908</v>
      </c>
      <c r="G1519" s="8">
        <v>7634.0</v>
      </c>
      <c r="H1519" s="5" t="s">
        <v>22</v>
      </c>
      <c r="I1519" s="7">
        <f t="shared" si="1"/>
        <v>11451</v>
      </c>
      <c r="J1519" s="7">
        <f t="shared" si="7"/>
        <v>9924.2</v>
      </c>
      <c r="K1519" s="7">
        <f t="shared" si="3"/>
        <v>9924.2</v>
      </c>
      <c r="L1519" s="7">
        <f t="shared" si="4"/>
        <v>9160.8</v>
      </c>
      <c r="M1519" s="7">
        <f t="shared" si="5"/>
        <v>8779.1</v>
      </c>
      <c r="N1519" s="7">
        <f t="shared" si="6"/>
        <v>8397.4</v>
      </c>
    </row>
    <row r="1520">
      <c r="A1520" s="5" t="s">
        <v>2901</v>
      </c>
      <c r="B1520" s="5" t="s">
        <v>197</v>
      </c>
      <c r="C1520" s="5" t="s">
        <v>2989</v>
      </c>
      <c r="D1520" s="5" t="s">
        <v>3002</v>
      </c>
      <c r="E1520" s="5" t="s">
        <v>3003</v>
      </c>
      <c r="F1520" s="5" t="s">
        <v>2908</v>
      </c>
      <c r="G1520" s="8">
        <v>6598.0</v>
      </c>
      <c r="H1520" s="5" t="s">
        <v>22</v>
      </c>
      <c r="I1520" s="7">
        <f t="shared" si="1"/>
        <v>9897</v>
      </c>
      <c r="J1520" s="7">
        <f t="shared" si="7"/>
        <v>8577.4</v>
      </c>
      <c r="K1520" s="7">
        <f t="shared" si="3"/>
        <v>8577.4</v>
      </c>
      <c r="L1520" s="7">
        <f t="shared" si="4"/>
        <v>7917.6</v>
      </c>
      <c r="M1520" s="7">
        <f t="shared" si="5"/>
        <v>7587.7</v>
      </c>
      <c r="N1520" s="7">
        <f t="shared" si="6"/>
        <v>7257.8</v>
      </c>
    </row>
    <row r="1521">
      <c r="A1521" s="5" t="s">
        <v>2901</v>
      </c>
      <c r="B1521" s="6"/>
      <c r="C1521" s="5" t="s">
        <v>3004</v>
      </c>
      <c r="D1521" s="5" t="s">
        <v>3005</v>
      </c>
      <c r="E1521" s="5" t="s">
        <v>3006</v>
      </c>
      <c r="F1521" s="5" t="s">
        <v>2908</v>
      </c>
      <c r="G1521" s="5">
        <v>577.0</v>
      </c>
      <c r="H1521" s="5" t="s">
        <v>22</v>
      </c>
      <c r="I1521" s="7">
        <f t="shared" si="1"/>
        <v>865.5</v>
      </c>
      <c r="J1521" s="7">
        <f t="shared" si="7"/>
        <v>750.1</v>
      </c>
      <c r="K1521" s="7">
        <f t="shared" si="3"/>
        <v>750.1</v>
      </c>
      <c r="L1521" s="7">
        <f t="shared" si="4"/>
        <v>692.4</v>
      </c>
      <c r="M1521" s="7">
        <f t="shared" si="5"/>
        <v>663.55</v>
      </c>
      <c r="N1521" s="7">
        <f t="shared" si="6"/>
        <v>634.7</v>
      </c>
    </row>
    <row r="1522">
      <c r="A1522" s="5" t="s">
        <v>2901</v>
      </c>
      <c r="B1522" s="6"/>
      <c r="C1522" s="5" t="s">
        <v>3007</v>
      </c>
      <c r="D1522" s="5" t="s">
        <v>3008</v>
      </c>
      <c r="E1522" s="5" t="s">
        <v>3009</v>
      </c>
      <c r="F1522" s="5" t="s">
        <v>2908</v>
      </c>
      <c r="G1522" s="6"/>
      <c r="H1522" s="5" t="s">
        <v>22</v>
      </c>
      <c r="I1522" s="7">
        <f t="shared" si="1"/>
        <v>0</v>
      </c>
      <c r="J1522" s="7">
        <f t="shared" si="7"/>
        <v>0</v>
      </c>
      <c r="K1522" s="7">
        <f t="shared" si="3"/>
        <v>0</v>
      </c>
      <c r="L1522" s="7">
        <f t="shared" si="4"/>
        <v>0</v>
      </c>
      <c r="M1522" s="7">
        <f t="shared" si="5"/>
        <v>0</v>
      </c>
      <c r="N1522" s="7">
        <f t="shared" si="6"/>
        <v>0</v>
      </c>
    </row>
    <row r="1523">
      <c r="A1523" s="5" t="s">
        <v>2901</v>
      </c>
      <c r="B1523" s="6"/>
      <c r="C1523" s="5" t="s">
        <v>3007</v>
      </c>
      <c r="D1523" s="5" t="s">
        <v>3010</v>
      </c>
      <c r="E1523" s="5" t="s">
        <v>3011</v>
      </c>
      <c r="F1523" s="5" t="s">
        <v>2908</v>
      </c>
      <c r="G1523" s="6"/>
      <c r="H1523" s="5" t="s">
        <v>22</v>
      </c>
      <c r="I1523" s="7">
        <f t="shared" si="1"/>
        <v>0</v>
      </c>
      <c r="J1523" s="7">
        <f t="shared" si="7"/>
        <v>0</v>
      </c>
      <c r="K1523" s="7">
        <f t="shared" si="3"/>
        <v>0</v>
      </c>
      <c r="L1523" s="7">
        <f t="shared" si="4"/>
        <v>0</v>
      </c>
      <c r="M1523" s="7">
        <f t="shared" si="5"/>
        <v>0</v>
      </c>
      <c r="N1523" s="7">
        <f t="shared" si="6"/>
        <v>0</v>
      </c>
    </row>
    <row r="1524">
      <c r="A1524" s="5" t="s">
        <v>2901</v>
      </c>
      <c r="B1524" s="6"/>
      <c r="C1524" s="5" t="s">
        <v>3007</v>
      </c>
      <c r="D1524" s="5" t="s">
        <v>3012</v>
      </c>
      <c r="E1524" s="5" t="s">
        <v>3013</v>
      </c>
      <c r="F1524" s="5" t="s">
        <v>2908</v>
      </c>
      <c r="G1524" s="6"/>
      <c r="H1524" s="5" t="s">
        <v>22</v>
      </c>
      <c r="I1524" s="7">
        <f t="shared" si="1"/>
        <v>0</v>
      </c>
      <c r="J1524" s="7">
        <f t="shared" si="7"/>
        <v>0</v>
      </c>
      <c r="K1524" s="7">
        <f t="shared" si="3"/>
        <v>0</v>
      </c>
      <c r="L1524" s="7">
        <f t="shared" si="4"/>
        <v>0</v>
      </c>
      <c r="M1524" s="7">
        <f t="shared" si="5"/>
        <v>0</v>
      </c>
      <c r="N1524" s="7">
        <f t="shared" si="6"/>
        <v>0</v>
      </c>
    </row>
    <row r="1525">
      <c r="A1525" s="5" t="s">
        <v>2901</v>
      </c>
      <c r="B1525" s="6"/>
      <c r="C1525" s="5" t="s">
        <v>3007</v>
      </c>
      <c r="D1525" s="5" t="s">
        <v>3014</v>
      </c>
      <c r="E1525" s="5" t="s">
        <v>3015</v>
      </c>
      <c r="F1525" s="5" t="s">
        <v>2908</v>
      </c>
      <c r="G1525" s="6"/>
      <c r="H1525" s="5" t="s">
        <v>22</v>
      </c>
      <c r="I1525" s="7">
        <f t="shared" si="1"/>
        <v>0</v>
      </c>
      <c r="J1525" s="7">
        <f t="shared" si="7"/>
        <v>0</v>
      </c>
      <c r="K1525" s="7">
        <f t="shared" si="3"/>
        <v>0</v>
      </c>
      <c r="L1525" s="7">
        <f t="shared" si="4"/>
        <v>0</v>
      </c>
      <c r="M1525" s="7">
        <f t="shared" si="5"/>
        <v>0</v>
      </c>
      <c r="N1525" s="7">
        <f t="shared" si="6"/>
        <v>0</v>
      </c>
    </row>
    <row r="1526">
      <c r="A1526" s="5" t="s">
        <v>2901</v>
      </c>
      <c r="B1526" s="6"/>
      <c r="C1526" s="5" t="s">
        <v>3007</v>
      </c>
      <c r="D1526" s="5" t="s">
        <v>3016</v>
      </c>
      <c r="E1526" s="5" t="s">
        <v>3017</v>
      </c>
      <c r="F1526" s="5" t="s">
        <v>2908</v>
      </c>
      <c r="G1526" s="6"/>
      <c r="H1526" s="5" t="s">
        <v>22</v>
      </c>
      <c r="I1526" s="7">
        <f t="shared" si="1"/>
        <v>0</v>
      </c>
      <c r="J1526" s="7">
        <f t="shared" si="7"/>
        <v>0</v>
      </c>
      <c r="K1526" s="7">
        <f t="shared" si="3"/>
        <v>0</v>
      </c>
      <c r="L1526" s="7">
        <f t="shared" si="4"/>
        <v>0</v>
      </c>
      <c r="M1526" s="7">
        <f t="shared" si="5"/>
        <v>0</v>
      </c>
      <c r="N1526" s="7">
        <f t="shared" si="6"/>
        <v>0</v>
      </c>
    </row>
    <row r="1527">
      <c r="A1527" s="5" t="s">
        <v>2901</v>
      </c>
      <c r="B1527" s="6"/>
      <c r="C1527" s="5" t="s">
        <v>3007</v>
      </c>
      <c r="D1527" s="5" t="s">
        <v>3018</v>
      </c>
      <c r="E1527" s="5" t="s">
        <v>3019</v>
      </c>
      <c r="F1527" s="6"/>
      <c r="G1527" s="6"/>
      <c r="H1527" s="5" t="s">
        <v>22</v>
      </c>
      <c r="I1527" s="7">
        <f t="shared" si="1"/>
        <v>0</v>
      </c>
      <c r="J1527" s="7">
        <f t="shared" si="7"/>
        <v>0</v>
      </c>
      <c r="K1527" s="7">
        <f t="shared" si="3"/>
        <v>0</v>
      </c>
      <c r="L1527" s="7">
        <f t="shared" si="4"/>
        <v>0</v>
      </c>
      <c r="M1527" s="7">
        <f t="shared" si="5"/>
        <v>0</v>
      </c>
      <c r="N1527" s="7">
        <f t="shared" si="6"/>
        <v>0</v>
      </c>
    </row>
    <row r="1528">
      <c r="A1528" s="5" t="s">
        <v>2901</v>
      </c>
      <c r="B1528" s="6"/>
      <c r="C1528" s="5" t="s">
        <v>3007</v>
      </c>
      <c r="D1528" s="5" t="s">
        <v>3020</v>
      </c>
      <c r="E1528" s="5" t="s">
        <v>3021</v>
      </c>
      <c r="F1528" s="5" t="s">
        <v>2908</v>
      </c>
      <c r="G1528" s="6"/>
      <c r="H1528" s="5" t="s">
        <v>22</v>
      </c>
      <c r="I1528" s="7">
        <f t="shared" si="1"/>
        <v>0</v>
      </c>
      <c r="J1528" s="7">
        <f t="shared" si="7"/>
        <v>0</v>
      </c>
      <c r="K1528" s="7">
        <f t="shared" si="3"/>
        <v>0</v>
      </c>
      <c r="L1528" s="7">
        <f t="shared" si="4"/>
        <v>0</v>
      </c>
      <c r="M1528" s="7">
        <f t="shared" si="5"/>
        <v>0</v>
      </c>
      <c r="N1528" s="7">
        <f t="shared" si="6"/>
        <v>0</v>
      </c>
    </row>
    <row r="1529">
      <c r="A1529" s="5" t="s">
        <v>2901</v>
      </c>
      <c r="B1529" s="6"/>
      <c r="C1529" s="5" t="s">
        <v>3022</v>
      </c>
      <c r="D1529" s="5" t="s">
        <v>3023</v>
      </c>
      <c r="E1529" s="5" t="s">
        <v>3024</v>
      </c>
      <c r="F1529" s="5" t="s">
        <v>2908</v>
      </c>
      <c r="G1529" s="6"/>
      <c r="H1529" s="5" t="s">
        <v>22</v>
      </c>
      <c r="I1529" s="7">
        <f t="shared" si="1"/>
        <v>0</v>
      </c>
      <c r="J1529" s="7">
        <f t="shared" si="7"/>
        <v>0</v>
      </c>
      <c r="K1529" s="7">
        <f t="shared" si="3"/>
        <v>0</v>
      </c>
      <c r="L1529" s="7">
        <f t="shared" si="4"/>
        <v>0</v>
      </c>
      <c r="M1529" s="7">
        <f t="shared" si="5"/>
        <v>0</v>
      </c>
      <c r="N1529" s="7">
        <f t="shared" si="6"/>
        <v>0</v>
      </c>
    </row>
    <row r="1530">
      <c r="A1530" s="5" t="s">
        <v>2901</v>
      </c>
      <c r="B1530" s="6"/>
      <c r="C1530" s="5" t="s">
        <v>3022</v>
      </c>
      <c r="D1530" s="5" t="s">
        <v>3025</v>
      </c>
      <c r="E1530" s="5" t="s">
        <v>3026</v>
      </c>
      <c r="F1530" s="5" t="s">
        <v>2908</v>
      </c>
      <c r="G1530" s="6"/>
      <c r="H1530" s="5" t="s">
        <v>22</v>
      </c>
      <c r="I1530" s="7">
        <f t="shared" si="1"/>
        <v>0</v>
      </c>
      <c r="J1530" s="7">
        <f t="shared" si="7"/>
        <v>0</v>
      </c>
      <c r="K1530" s="7">
        <f t="shared" si="3"/>
        <v>0</v>
      </c>
      <c r="L1530" s="7">
        <f t="shared" si="4"/>
        <v>0</v>
      </c>
      <c r="M1530" s="7">
        <f t="shared" si="5"/>
        <v>0</v>
      </c>
      <c r="N1530" s="7">
        <f t="shared" si="6"/>
        <v>0</v>
      </c>
    </row>
    <row r="1531">
      <c r="A1531" s="5" t="s">
        <v>2901</v>
      </c>
      <c r="B1531" s="6"/>
      <c r="C1531" s="5" t="s">
        <v>3022</v>
      </c>
      <c r="D1531" s="5" t="s">
        <v>3027</v>
      </c>
      <c r="E1531" s="5" t="s">
        <v>3028</v>
      </c>
      <c r="F1531" s="5" t="s">
        <v>2908</v>
      </c>
      <c r="G1531" s="6"/>
      <c r="H1531" s="5" t="s">
        <v>22</v>
      </c>
      <c r="I1531" s="7">
        <f t="shared" si="1"/>
        <v>0</v>
      </c>
      <c r="J1531" s="7">
        <f t="shared" si="7"/>
        <v>0</v>
      </c>
      <c r="K1531" s="7">
        <f t="shared" si="3"/>
        <v>0</v>
      </c>
      <c r="L1531" s="7">
        <f t="shared" si="4"/>
        <v>0</v>
      </c>
      <c r="M1531" s="7">
        <f t="shared" si="5"/>
        <v>0</v>
      </c>
      <c r="N1531" s="7">
        <f t="shared" si="6"/>
        <v>0</v>
      </c>
    </row>
    <row r="1532">
      <c r="A1532" s="5" t="s">
        <v>2901</v>
      </c>
      <c r="B1532" s="6"/>
      <c r="C1532" s="5" t="s">
        <v>3022</v>
      </c>
      <c r="D1532" s="5" t="s">
        <v>3029</v>
      </c>
      <c r="E1532" s="5" t="s">
        <v>3030</v>
      </c>
      <c r="F1532" s="5" t="s">
        <v>2908</v>
      </c>
      <c r="G1532" s="6"/>
      <c r="H1532" s="5" t="s">
        <v>22</v>
      </c>
      <c r="I1532" s="7">
        <f t="shared" si="1"/>
        <v>0</v>
      </c>
      <c r="J1532" s="7">
        <f t="shared" si="7"/>
        <v>0</v>
      </c>
      <c r="K1532" s="7">
        <f t="shared" si="3"/>
        <v>0</v>
      </c>
      <c r="L1532" s="7">
        <f t="shared" si="4"/>
        <v>0</v>
      </c>
      <c r="M1532" s="7">
        <f t="shared" si="5"/>
        <v>0</v>
      </c>
      <c r="N1532" s="7">
        <f t="shared" si="6"/>
        <v>0</v>
      </c>
    </row>
    <row r="1533">
      <c r="A1533" s="5" t="s">
        <v>2901</v>
      </c>
      <c r="B1533" s="6"/>
      <c r="C1533" s="5" t="s">
        <v>3022</v>
      </c>
      <c r="D1533" s="5" t="s">
        <v>3031</v>
      </c>
      <c r="E1533" s="5" t="s">
        <v>3032</v>
      </c>
      <c r="F1533" s="5" t="s">
        <v>2908</v>
      </c>
      <c r="G1533" s="6"/>
      <c r="H1533" s="5" t="s">
        <v>22</v>
      </c>
      <c r="I1533" s="7">
        <f t="shared" si="1"/>
        <v>0</v>
      </c>
      <c r="J1533" s="7">
        <f t="shared" si="7"/>
        <v>0</v>
      </c>
      <c r="K1533" s="7">
        <f t="shared" si="3"/>
        <v>0</v>
      </c>
      <c r="L1533" s="7">
        <f t="shared" si="4"/>
        <v>0</v>
      </c>
      <c r="M1533" s="7">
        <f t="shared" si="5"/>
        <v>0</v>
      </c>
      <c r="N1533" s="7">
        <f t="shared" si="6"/>
        <v>0</v>
      </c>
    </row>
    <row r="1534">
      <c r="A1534" s="5" t="s">
        <v>2901</v>
      </c>
      <c r="B1534" s="6"/>
      <c r="C1534" s="5" t="s">
        <v>3022</v>
      </c>
      <c r="D1534" s="5" t="s">
        <v>3033</v>
      </c>
      <c r="E1534" s="5" t="s">
        <v>3034</v>
      </c>
      <c r="F1534" s="5" t="s">
        <v>2908</v>
      </c>
      <c r="G1534" s="6"/>
      <c r="H1534" s="5" t="s">
        <v>22</v>
      </c>
      <c r="I1534" s="7">
        <f t="shared" si="1"/>
        <v>0</v>
      </c>
      <c r="J1534" s="7">
        <f t="shared" si="7"/>
        <v>0</v>
      </c>
      <c r="K1534" s="7">
        <f t="shared" si="3"/>
        <v>0</v>
      </c>
      <c r="L1534" s="7">
        <f t="shared" si="4"/>
        <v>0</v>
      </c>
      <c r="M1534" s="7">
        <f t="shared" si="5"/>
        <v>0</v>
      </c>
      <c r="N1534" s="7">
        <f t="shared" si="6"/>
        <v>0</v>
      </c>
    </row>
    <row r="1535">
      <c r="A1535" s="5" t="s">
        <v>2901</v>
      </c>
      <c r="B1535" s="6"/>
      <c r="C1535" s="5" t="s">
        <v>3022</v>
      </c>
      <c r="D1535" s="5" t="s">
        <v>3035</v>
      </c>
      <c r="E1535" s="5" t="s">
        <v>3036</v>
      </c>
      <c r="F1535" s="5" t="s">
        <v>2908</v>
      </c>
      <c r="G1535" s="6"/>
      <c r="H1535" s="5" t="s">
        <v>22</v>
      </c>
      <c r="I1535" s="7">
        <f t="shared" si="1"/>
        <v>0</v>
      </c>
      <c r="J1535" s="7">
        <f t="shared" si="7"/>
        <v>0</v>
      </c>
      <c r="K1535" s="7">
        <f t="shared" si="3"/>
        <v>0</v>
      </c>
      <c r="L1535" s="7">
        <f t="shared" si="4"/>
        <v>0</v>
      </c>
      <c r="M1535" s="7">
        <f t="shared" si="5"/>
        <v>0</v>
      </c>
      <c r="N1535" s="7">
        <f t="shared" si="6"/>
        <v>0</v>
      </c>
    </row>
    <row r="1536">
      <c r="A1536" s="5" t="s">
        <v>2901</v>
      </c>
      <c r="B1536" s="6"/>
      <c r="C1536" s="5" t="s">
        <v>3022</v>
      </c>
      <c r="D1536" s="5" t="s">
        <v>3037</v>
      </c>
      <c r="E1536" s="5" t="s">
        <v>3038</v>
      </c>
      <c r="F1536" s="5" t="s">
        <v>2908</v>
      </c>
      <c r="G1536" s="6"/>
      <c r="H1536" s="5" t="s">
        <v>22</v>
      </c>
      <c r="I1536" s="7">
        <f t="shared" si="1"/>
        <v>0</v>
      </c>
      <c r="J1536" s="7">
        <f t="shared" si="7"/>
        <v>0</v>
      </c>
      <c r="K1536" s="7">
        <f t="shared" si="3"/>
        <v>0</v>
      </c>
      <c r="L1536" s="7">
        <f t="shared" si="4"/>
        <v>0</v>
      </c>
      <c r="M1536" s="7">
        <f t="shared" si="5"/>
        <v>0</v>
      </c>
      <c r="N1536" s="7">
        <f t="shared" si="6"/>
        <v>0</v>
      </c>
    </row>
    <row r="1537">
      <c r="A1537" s="5" t="s">
        <v>2901</v>
      </c>
      <c r="B1537" s="6"/>
      <c r="C1537" s="5" t="s">
        <v>3022</v>
      </c>
      <c r="D1537" s="5" t="s">
        <v>3039</v>
      </c>
      <c r="E1537" s="5" t="s">
        <v>3040</v>
      </c>
      <c r="F1537" s="5" t="s">
        <v>2908</v>
      </c>
      <c r="G1537" s="6"/>
      <c r="H1537" s="5" t="s">
        <v>22</v>
      </c>
      <c r="I1537" s="7">
        <f t="shared" si="1"/>
        <v>0</v>
      </c>
      <c r="J1537" s="7">
        <f t="shared" si="7"/>
        <v>0</v>
      </c>
      <c r="K1537" s="7">
        <f t="shared" si="3"/>
        <v>0</v>
      </c>
      <c r="L1537" s="7">
        <f t="shared" si="4"/>
        <v>0</v>
      </c>
      <c r="M1537" s="7">
        <f t="shared" si="5"/>
        <v>0</v>
      </c>
      <c r="N1537" s="7">
        <f t="shared" si="6"/>
        <v>0</v>
      </c>
    </row>
    <row r="1538">
      <c r="A1538" s="5" t="s">
        <v>2901</v>
      </c>
      <c r="B1538" s="6"/>
      <c r="C1538" s="5" t="s">
        <v>3022</v>
      </c>
      <c r="D1538" s="5" t="s">
        <v>3041</v>
      </c>
      <c r="E1538" s="5" t="s">
        <v>3042</v>
      </c>
      <c r="F1538" s="5" t="s">
        <v>2908</v>
      </c>
      <c r="G1538" s="6"/>
      <c r="H1538" s="5" t="s">
        <v>22</v>
      </c>
      <c r="I1538" s="7">
        <f t="shared" si="1"/>
        <v>0</v>
      </c>
      <c r="J1538" s="7">
        <f t="shared" si="7"/>
        <v>0</v>
      </c>
      <c r="K1538" s="7">
        <f t="shared" si="3"/>
        <v>0</v>
      </c>
      <c r="L1538" s="7">
        <f t="shared" si="4"/>
        <v>0</v>
      </c>
      <c r="M1538" s="7">
        <f t="shared" si="5"/>
        <v>0</v>
      </c>
      <c r="N1538" s="7">
        <f t="shared" si="6"/>
        <v>0</v>
      </c>
    </row>
    <row r="1539">
      <c r="A1539" s="5" t="s">
        <v>2901</v>
      </c>
      <c r="B1539" s="6"/>
      <c r="C1539" s="5" t="s">
        <v>3022</v>
      </c>
      <c r="D1539" s="5" t="s">
        <v>3043</v>
      </c>
      <c r="E1539" s="5" t="s">
        <v>3044</v>
      </c>
      <c r="F1539" s="5" t="s">
        <v>2908</v>
      </c>
      <c r="G1539" s="6"/>
      <c r="H1539" s="5" t="s">
        <v>22</v>
      </c>
      <c r="I1539" s="7">
        <f t="shared" si="1"/>
        <v>0</v>
      </c>
      <c r="J1539" s="7">
        <f t="shared" si="7"/>
        <v>0</v>
      </c>
      <c r="K1539" s="7">
        <f t="shared" si="3"/>
        <v>0</v>
      </c>
      <c r="L1539" s="7">
        <f t="shared" si="4"/>
        <v>0</v>
      </c>
      <c r="M1539" s="7">
        <f t="shared" si="5"/>
        <v>0</v>
      </c>
      <c r="N1539" s="7">
        <f t="shared" si="6"/>
        <v>0</v>
      </c>
    </row>
    <row r="1540">
      <c r="A1540" s="5" t="s">
        <v>2901</v>
      </c>
      <c r="B1540" s="6"/>
      <c r="C1540" s="5" t="s">
        <v>3022</v>
      </c>
      <c r="D1540" s="5" t="s">
        <v>3045</v>
      </c>
      <c r="E1540" s="5" t="s">
        <v>3046</v>
      </c>
      <c r="F1540" s="5" t="s">
        <v>2908</v>
      </c>
      <c r="G1540" s="6"/>
      <c r="H1540" s="5" t="s">
        <v>22</v>
      </c>
      <c r="I1540" s="7">
        <f t="shared" si="1"/>
        <v>0</v>
      </c>
      <c r="J1540" s="7">
        <f t="shared" si="7"/>
        <v>0</v>
      </c>
      <c r="K1540" s="7">
        <f t="shared" si="3"/>
        <v>0</v>
      </c>
      <c r="L1540" s="7">
        <f t="shared" si="4"/>
        <v>0</v>
      </c>
      <c r="M1540" s="7">
        <f t="shared" si="5"/>
        <v>0</v>
      </c>
      <c r="N1540" s="7">
        <f t="shared" si="6"/>
        <v>0</v>
      </c>
    </row>
    <row r="1541">
      <c r="A1541" s="5" t="s">
        <v>2901</v>
      </c>
      <c r="B1541" s="6"/>
      <c r="C1541" s="5" t="s">
        <v>3022</v>
      </c>
      <c r="D1541" s="5" t="s">
        <v>3047</v>
      </c>
      <c r="E1541" s="5" t="s">
        <v>3048</v>
      </c>
      <c r="F1541" s="5" t="s">
        <v>2908</v>
      </c>
      <c r="G1541" s="6"/>
      <c r="H1541" s="5" t="s">
        <v>22</v>
      </c>
      <c r="I1541" s="7">
        <f t="shared" si="1"/>
        <v>0</v>
      </c>
      <c r="J1541" s="7">
        <f t="shared" si="7"/>
        <v>0</v>
      </c>
      <c r="K1541" s="7">
        <f t="shared" si="3"/>
        <v>0</v>
      </c>
      <c r="L1541" s="7">
        <f t="shared" si="4"/>
        <v>0</v>
      </c>
      <c r="M1541" s="7">
        <f t="shared" si="5"/>
        <v>0</v>
      </c>
      <c r="N1541" s="7">
        <f t="shared" si="6"/>
        <v>0</v>
      </c>
    </row>
    <row r="1542">
      <c r="A1542" s="5" t="s">
        <v>2901</v>
      </c>
      <c r="B1542" s="6"/>
      <c r="C1542" s="5" t="s">
        <v>3022</v>
      </c>
      <c r="D1542" s="5" t="s">
        <v>3049</v>
      </c>
      <c r="E1542" s="5" t="s">
        <v>3050</v>
      </c>
      <c r="F1542" s="5" t="s">
        <v>2908</v>
      </c>
      <c r="G1542" s="6"/>
      <c r="H1542" s="5" t="s">
        <v>22</v>
      </c>
      <c r="I1542" s="7">
        <f t="shared" si="1"/>
        <v>0</v>
      </c>
      <c r="J1542" s="7">
        <f t="shared" si="7"/>
        <v>0</v>
      </c>
      <c r="K1542" s="7">
        <f t="shared" si="3"/>
        <v>0</v>
      </c>
      <c r="L1542" s="7">
        <f t="shared" si="4"/>
        <v>0</v>
      </c>
      <c r="M1542" s="7">
        <f t="shared" si="5"/>
        <v>0</v>
      </c>
      <c r="N1542" s="7">
        <f t="shared" si="6"/>
        <v>0</v>
      </c>
    </row>
    <row r="1543">
      <c r="A1543" s="5" t="s">
        <v>2901</v>
      </c>
      <c r="B1543" s="6"/>
      <c r="C1543" s="5" t="s">
        <v>3022</v>
      </c>
      <c r="D1543" s="5" t="s">
        <v>3051</v>
      </c>
      <c r="E1543" s="5" t="s">
        <v>3052</v>
      </c>
      <c r="F1543" s="5" t="s">
        <v>2908</v>
      </c>
      <c r="G1543" s="6"/>
      <c r="H1543" s="5" t="s">
        <v>22</v>
      </c>
      <c r="I1543" s="7">
        <f t="shared" si="1"/>
        <v>0</v>
      </c>
      <c r="J1543" s="7">
        <f t="shared" si="7"/>
        <v>0</v>
      </c>
      <c r="K1543" s="7">
        <f t="shared" si="3"/>
        <v>0</v>
      </c>
      <c r="L1543" s="7">
        <f t="shared" si="4"/>
        <v>0</v>
      </c>
      <c r="M1543" s="7">
        <f t="shared" si="5"/>
        <v>0</v>
      </c>
      <c r="N1543" s="7">
        <f t="shared" si="6"/>
        <v>0</v>
      </c>
    </row>
    <row r="1544">
      <c r="A1544" s="5" t="s">
        <v>2901</v>
      </c>
      <c r="B1544" s="6"/>
      <c r="C1544" s="5" t="s">
        <v>3022</v>
      </c>
      <c r="D1544" s="5" t="s">
        <v>3053</v>
      </c>
      <c r="E1544" s="5" t="s">
        <v>3054</v>
      </c>
      <c r="F1544" s="5" t="s">
        <v>2908</v>
      </c>
      <c r="G1544" s="6"/>
      <c r="H1544" s="5" t="s">
        <v>22</v>
      </c>
      <c r="I1544" s="7">
        <f t="shared" si="1"/>
        <v>0</v>
      </c>
      <c r="J1544" s="7">
        <f t="shared" si="7"/>
        <v>0</v>
      </c>
      <c r="K1544" s="7">
        <f t="shared" si="3"/>
        <v>0</v>
      </c>
      <c r="L1544" s="7">
        <f t="shared" si="4"/>
        <v>0</v>
      </c>
      <c r="M1544" s="7">
        <f t="shared" si="5"/>
        <v>0</v>
      </c>
      <c r="N1544" s="7">
        <f t="shared" si="6"/>
        <v>0</v>
      </c>
    </row>
    <row r="1545">
      <c r="A1545" s="5" t="s">
        <v>2901</v>
      </c>
      <c r="B1545" s="6"/>
      <c r="C1545" s="5" t="s">
        <v>3022</v>
      </c>
      <c r="D1545" s="5" t="s">
        <v>3055</v>
      </c>
      <c r="E1545" s="5" t="s">
        <v>3056</v>
      </c>
      <c r="F1545" s="5" t="s">
        <v>2908</v>
      </c>
      <c r="G1545" s="6"/>
      <c r="H1545" s="5" t="s">
        <v>22</v>
      </c>
      <c r="I1545" s="7">
        <f t="shared" si="1"/>
        <v>0</v>
      </c>
      <c r="J1545" s="7">
        <f t="shared" si="7"/>
        <v>0</v>
      </c>
      <c r="K1545" s="7">
        <f t="shared" si="3"/>
        <v>0</v>
      </c>
      <c r="L1545" s="7">
        <f t="shared" si="4"/>
        <v>0</v>
      </c>
      <c r="M1545" s="7">
        <f t="shared" si="5"/>
        <v>0</v>
      </c>
      <c r="N1545" s="7">
        <f t="shared" si="6"/>
        <v>0</v>
      </c>
    </row>
    <row r="1546">
      <c r="A1546" s="5" t="s">
        <v>2901</v>
      </c>
      <c r="B1546" s="6"/>
      <c r="C1546" s="5" t="s">
        <v>3022</v>
      </c>
      <c r="D1546" s="5" t="s">
        <v>3057</v>
      </c>
      <c r="E1546" s="5" t="s">
        <v>3058</v>
      </c>
      <c r="F1546" s="5" t="s">
        <v>2908</v>
      </c>
      <c r="G1546" s="6"/>
      <c r="H1546" s="5" t="s">
        <v>22</v>
      </c>
      <c r="I1546" s="7">
        <f t="shared" si="1"/>
        <v>0</v>
      </c>
      <c r="J1546" s="7">
        <f t="shared" si="7"/>
        <v>0</v>
      </c>
      <c r="K1546" s="7">
        <f t="shared" si="3"/>
        <v>0</v>
      </c>
      <c r="L1546" s="7">
        <f t="shared" si="4"/>
        <v>0</v>
      </c>
      <c r="M1546" s="7">
        <f t="shared" si="5"/>
        <v>0</v>
      </c>
      <c r="N1546" s="7">
        <f t="shared" si="6"/>
        <v>0</v>
      </c>
    </row>
    <row r="1547">
      <c r="A1547" s="5" t="s">
        <v>2901</v>
      </c>
      <c r="B1547" s="6"/>
      <c r="C1547" s="5" t="s">
        <v>3022</v>
      </c>
      <c r="D1547" s="5" t="s">
        <v>3059</v>
      </c>
      <c r="E1547" s="5" t="s">
        <v>3060</v>
      </c>
      <c r="F1547" s="5" t="s">
        <v>2908</v>
      </c>
      <c r="G1547" s="6"/>
      <c r="H1547" s="5" t="s">
        <v>22</v>
      </c>
      <c r="I1547" s="7">
        <f t="shared" si="1"/>
        <v>0</v>
      </c>
      <c r="J1547" s="7">
        <f t="shared" si="7"/>
        <v>0</v>
      </c>
      <c r="K1547" s="7">
        <f t="shared" si="3"/>
        <v>0</v>
      </c>
      <c r="L1547" s="7">
        <f t="shared" si="4"/>
        <v>0</v>
      </c>
      <c r="M1547" s="7">
        <f t="shared" si="5"/>
        <v>0</v>
      </c>
      <c r="N1547" s="7">
        <f t="shared" si="6"/>
        <v>0</v>
      </c>
    </row>
    <row r="1548">
      <c r="A1548" s="5" t="s">
        <v>2901</v>
      </c>
      <c r="B1548" s="6"/>
      <c r="C1548" s="5" t="s">
        <v>3022</v>
      </c>
      <c r="D1548" s="5" t="s">
        <v>3061</v>
      </c>
      <c r="E1548" s="5" t="s">
        <v>3062</v>
      </c>
      <c r="F1548" s="5" t="s">
        <v>2908</v>
      </c>
      <c r="G1548" s="6"/>
      <c r="H1548" s="5" t="s">
        <v>22</v>
      </c>
      <c r="I1548" s="7">
        <f t="shared" si="1"/>
        <v>0</v>
      </c>
      <c r="J1548" s="7">
        <f t="shared" si="7"/>
        <v>0</v>
      </c>
      <c r="K1548" s="7">
        <f t="shared" si="3"/>
        <v>0</v>
      </c>
      <c r="L1548" s="7">
        <f t="shared" si="4"/>
        <v>0</v>
      </c>
      <c r="M1548" s="7">
        <f t="shared" si="5"/>
        <v>0</v>
      </c>
      <c r="N1548" s="7">
        <f t="shared" si="6"/>
        <v>0</v>
      </c>
    </row>
    <row r="1549">
      <c r="A1549" s="5" t="s">
        <v>2901</v>
      </c>
      <c r="B1549" s="6"/>
      <c r="C1549" s="5" t="s">
        <v>3022</v>
      </c>
      <c r="D1549" s="5" t="s">
        <v>3063</v>
      </c>
      <c r="E1549" s="5" t="s">
        <v>3064</v>
      </c>
      <c r="F1549" s="5" t="s">
        <v>2908</v>
      </c>
      <c r="G1549" s="6"/>
      <c r="H1549" s="5" t="s">
        <v>22</v>
      </c>
      <c r="I1549" s="7">
        <f t="shared" si="1"/>
        <v>0</v>
      </c>
      <c r="J1549" s="7">
        <f t="shared" si="7"/>
        <v>0</v>
      </c>
      <c r="K1549" s="7">
        <f t="shared" si="3"/>
        <v>0</v>
      </c>
      <c r="L1549" s="7">
        <f t="shared" si="4"/>
        <v>0</v>
      </c>
      <c r="M1549" s="7">
        <f t="shared" si="5"/>
        <v>0</v>
      </c>
      <c r="N1549" s="7">
        <f t="shared" si="6"/>
        <v>0</v>
      </c>
    </row>
    <row r="1550">
      <c r="A1550" s="5" t="s">
        <v>2901</v>
      </c>
      <c r="B1550" s="6"/>
      <c r="C1550" s="5" t="s">
        <v>3022</v>
      </c>
      <c r="D1550" s="5" t="s">
        <v>3065</v>
      </c>
      <c r="E1550" s="5" t="s">
        <v>3066</v>
      </c>
      <c r="F1550" s="5" t="s">
        <v>2908</v>
      </c>
      <c r="G1550" s="6"/>
      <c r="H1550" s="5" t="s">
        <v>22</v>
      </c>
      <c r="I1550" s="7">
        <f t="shared" si="1"/>
        <v>0</v>
      </c>
      <c r="J1550" s="7">
        <f t="shared" si="7"/>
        <v>0</v>
      </c>
      <c r="K1550" s="7">
        <f t="shared" si="3"/>
        <v>0</v>
      </c>
      <c r="L1550" s="7">
        <f t="shared" si="4"/>
        <v>0</v>
      </c>
      <c r="M1550" s="7">
        <f t="shared" si="5"/>
        <v>0</v>
      </c>
      <c r="N1550" s="7">
        <f t="shared" si="6"/>
        <v>0</v>
      </c>
    </row>
    <row r="1551">
      <c r="A1551" s="5" t="s">
        <v>2901</v>
      </c>
      <c r="B1551" s="6"/>
      <c r="C1551" s="5" t="s">
        <v>3022</v>
      </c>
      <c r="D1551" s="5" t="s">
        <v>3067</v>
      </c>
      <c r="E1551" s="5" t="s">
        <v>3068</v>
      </c>
      <c r="F1551" s="5" t="s">
        <v>2908</v>
      </c>
      <c r="G1551" s="6"/>
      <c r="H1551" s="5" t="s">
        <v>22</v>
      </c>
      <c r="I1551" s="7">
        <f t="shared" si="1"/>
        <v>0</v>
      </c>
      <c r="J1551" s="7">
        <f t="shared" si="7"/>
        <v>0</v>
      </c>
      <c r="K1551" s="7">
        <f t="shared" si="3"/>
        <v>0</v>
      </c>
      <c r="L1551" s="7">
        <f t="shared" si="4"/>
        <v>0</v>
      </c>
      <c r="M1551" s="7">
        <f t="shared" si="5"/>
        <v>0</v>
      </c>
      <c r="N1551" s="7">
        <f t="shared" si="6"/>
        <v>0</v>
      </c>
    </row>
    <row r="1552">
      <c r="A1552" s="5" t="s">
        <v>2901</v>
      </c>
      <c r="B1552" s="6"/>
      <c r="C1552" s="5" t="s">
        <v>3022</v>
      </c>
      <c r="D1552" s="5" t="s">
        <v>3069</v>
      </c>
      <c r="E1552" s="5" t="s">
        <v>3070</v>
      </c>
      <c r="F1552" s="5" t="s">
        <v>2908</v>
      </c>
      <c r="G1552" s="6"/>
      <c r="H1552" s="5" t="s">
        <v>22</v>
      </c>
      <c r="I1552" s="7">
        <f t="shared" si="1"/>
        <v>0</v>
      </c>
      <c r="J1552" s="7">
        <f t="shared" si="7"/>
        <v>0</v>
      </c>
      <c r="K1552" s="7">
        <f t="shared" si="3"/>
        <v>0</v>
      </c>
      <c r="L1552" s="7">
        <f t="shared" si="4"/>
        <v>0</v>
      </c>
      <c r="M1552" s="7">
        <f t="shared" si="5"/>
        <v>0</v>
      </c>
      <c r="N1552" s="7">
        <f t="shared" si="6"/>
        <v>0</v>
      </c>
    </row>
    <row r="1553">
      <c r="A1553" s="5" t="s">
        <v>2901</v>
      </c>
      <c r="B1553" s="6"/>
      <c r="C1553" s="5" t="s">
        <v>3022</v>
      </c>
      <c r="D1553" s="5" t="s">
        <v>3071</v>
      </c>
      <c r="E1553" s="5" t="s">
        <v>3072</v>
      </c>
      <c r="F1553" s="5" t="s">
        <v>2908</v>
      </c>
      <c r="G1553" s="6"/>
      <c r="H1553" s="5" t="s">
        <v>22</v>
      </c>
      <c r="I1553" s="7">
        <f t="shared" si="1"/>
        <v>0</v>
      </c>
      <c r="J1553" s="7">
        <f t="shared" si="7"/>
        <v>0</v>
      </c>
      <c r="K1553" s="7">
        <f t="shared" si="3"/>
        <v>0</v>
      </c>
      <c r="L1553" s="7">
        <f t="shared" si="4"/>
        <v>0</v>
      </c>
      <c r="M1553" s="7">
        <f t="shared" si="5"/>
        <v>0</v>
      </c>
      <c r="N1553" s="7">
        <f t="shared" si="6"/>
        <v>0</v>
      </c>
    </row>
    <row r="1554">
      <c r="A1554" s="5" t="s">
        <v>2901</v>
      </c>
      <c r="B1554" s="6"/>
      <c r="C1554" s="5" t="s">
        <v>3022</v>
      </c>
      <c r="D1554" s="5" t="s">
        <v>3073</v>
      </c>
      <c r="E1554" s="5" t="s">
        <v>3074</v>
      </c>
      <c r="F1554" s="5" t="s">
        <v>2908</v>
      </c>
      <c r="G1554" s="6"/>
      <c r="H1554" s="5" t="s">
        <v>22</v>
      </c>
      <c r="I1554" s="7">
        <f t="shared" si="1"/>
        <v>0</v>
      </c>
      <c r="J1554" s="7">
        <f t="shared" si="7"/>
        <v>0</v>
      </c>
      <c r="K1554" s="7">
        <f t="shared" si="3"/>
        <v>0</v>
      </c>
      <c r="L1554" s="7">
        <f t="shared" si="4"/>
        <v>0</v>
      </c>
      <c r="M1554" s="7">
        <f t="shared" si="5"/>
        <v>0</v>
      </c>
      <c r="N1554" s="7">
        <f t="shared" si="6"/>
        <v>0</v>
      </c>
    </row>
    <row r="1555">
      <c r="A1555" s="5" t="s">
        <v>2901</v>
      </c>
      <c r="B1555" s="6"/>
      <c r="C1555" s="5" t="s">
        <v>3022</v>
      </c>
      <c r="D1555" s="5" t="s">
        <v>3075</v>
      </c>
      <c r="E1555" s="5" t="s">
        <v>3076</v>
      </c>
      <c r="F1555" s="5" t="s">
        <v>2908</v>
      </c>
      <c r="G1555" s="6"/>
      <c r="H1555" s="5" t="s">
        <v>22</v>
      </c>
      <c r="I1555" s="7">
        <f t="shared" si="1"/>
        <v>0</v>
      </c>
      <c r="J1555" s="7">
        <f t="shared" si="7"/>
        <v>0</v>
      </c>
      <c r="K1555" s="7">
        <f t="shared" si="3"/>
        <v>0</v>
      </c>
      <c r="L1555" s="7">
        <f t="shared" si="4"/>
        <v>0</v>
      </c>
      <c r="M1555" s="7">
        <f t="shared" si="5"/>
        <v>0</v>
      </c>
      <c r="N1555" s="7">
        <f t="shared" si="6"/>
        <v>0</v>
      </c>
    </row>
    <row r="1556">
      <c r="A1556" s="5" t="s">
        <v>2901</v>
      </c>
      <c r="B1556" s="6"/>
      <c r="C1556" s="5" t="s">
        <v>3022</v>
      </c>
      <c r="D1556" s="5" t="s">
        <v>3077</v>
      </c>
      <c r="E1556" s="5" t="s">
        <v>3078</v>
      </c>
      <c r="F1556" s="5" t="s">
        <v>2908</v>
      </c>
      <c r="G1556" s="6"/>
      <c r="H1556" s="5" t="s">
        <v>22</v>
      </c>
      <c r="I1556" s="7">
        <f t="shared" si="1"/>
        <v>0</v>
      </c>
      <c r="J1556" s="7">
        <f t="shared" si="7"/>
        <v>0</v>
      </c>
      <c r="K1556" s="7">
        <f t="shared" si="3"/>
        <v>0</v>
      </c>
      <c r="L1556" s="7">
        <f t="shared" si="4"/>
        <v>0</v>
      </c>
      <c r="M1556" s="7">
        <f t="shared" si="5"/>
        <v>0</v>
      </c>
      <c r="N1556" s="7">
        <f t="shared" si="6"/>
        <v>0</v>
      </c>
    </row>
    <row r="1557">
      <c r="A1557" s="5" t="s">
        <v>2901</v>
      </c>
      <c r="B1557" s="6"/>
      <c r="C1557" s="5" t="s">
        <v>3022</v>
      </c>
      <c r="D1557" s="5" t="s">
        <v>3079</v>
      </c>
      <c r="E1557" s="5" t="s">
        <v>3080</v>
      </c>
      <c r="F1557" s="5" t="s">
        <v>2908</v>
      </c>
      <c r="G1557" s="6"/>
      <c r="H1557" s="5" t="s">
        <v>22</v>
      </c>
      <c r="I1557" s="7">
        <f t="shared" si="1"/>
        <v>0</v>
      </c>
      <c r="J1557" s="7">
        <f t="shared" si="7"/>
        <v>0</v>
      </c>
      <c r="K1557" s="7">
        <f t="shared" si="3"/>
        <v>0</v>
      </c>
      <c r="L1557" s="7">
        <f t="shared" si="4"/>
        <v>0</v>
      </c>
      <c r="M1557" s="7">
        <f t="shared" si="5"/>
        <v>0</v>
      </c>
      <c r="N1557" s="7">
        <f t="shared" si="6"/>
        <v>0</v>
      </c>
    </row>
    <row r="1558">
      <c r="A1558" s="5" t="s">
        <v>2901</v>
      </c>
      <c r="B1558" s="6"/>
      <c r="C1558" s="5" t="s">
        <v>3022</v>
      </c>
      <c r="D1558" s="5" t="s">
        <v>3081</v>
      </c>
      <c r="E1558" s="5" t="s">
        <v>3082</v>
      </c>
      <c r="F1558" s="5" t="s">
        <v>2908</v>
      </c>
      <c r="G1558" s="6"/>
      <c r="H1558" s="5" t="s">
        <v>22</v>
      </c>
      <c r="I1558" s="7">
        <f t="shared" si="1"/>
        <v>0</v>
      </c>
      <c r="J1558" s="7">
        <f t="shared" si="7"/>
        <v>0</v>
      </c>
      <c r="K1558" s="7">
        <f t="shared" si="3"/>
        <v>0</v>
      </c>
      <c r="L1558" s="7">
        <f t="shared" si="4"/>
        <v>0</v>
      </c>
      <c r="M1558" s="7">
        <f t="shared" si="5"/>
        <v>0</v>
      </c>
      <c r="N1558" s="7">
        <f t="shared" si="6"/>
        <v>0</v>
      </c>
    </row>
    <row r="1559">
      <c r="A1559" s="5" t="s">
        <v>2901</v>
      </c>
      <c r="B1559" s="6"/>
      <c r="C1559" s="5" t="s">
        <v>3022</v>
      </c>
      <c r="D1559" s="5" t="s">
        <v>3083</v>
      </c>
      <c r="E1559" s="5" t="s">
        <v>3084</v>
      </c>
      <c r="F1559" s="5" t="s">
        <v>2908</v>
      </c>
      <c r="G1559" s="6"/>
      <c r="H1559" s="5" t="s">
        <v>22</v>
      </c>
      <c r="I1559" s="7">
        <f t="shared" si="1"/>
        <v>0</v>
      </c>
      <c r="J1559" s="7">
        <f t="shared" si="7"/>
        <v>0</v>
      </c>
      <c r="K1559" s="7">
        <f t="shared" si="3"/>
        <v>0</v>
      </c>
      <c r="L1559" s="7">
        <f t="shared" si="4"/>
        <v>0</v>
      </c>
      <c r="M1559" s="7">
        <f t="shared" si="5"/>
        <v>0</v>
      </c>
      <c r="N1559" s="7">
        <f t="shared" si="6"/>
        <v>0</v>
      </c>
    </row>
    <row r="1560">
      <c r="A1560" s="5" t="s">
        <v>2901</v>
      </c>
      <c r="B1560" s="6"/>
      <c r="C1560" s="5" t="s">
        <v>3022</v>
      </c>
      <c r="D1560" s="5" t="s">
        <v>3085</v>
      </c>
      <c r="E1560" s="5" t="s">
        <v>3084</v>
      </c>
      <c r="F1560" s="5" t="s">
        <v>2908</v>
      </c>
      <c r="G1560" s="6"/>
      <c r="H1560" s="5" t="s">
        <v>22</v>
      </c>
      <c r="I1560" s="7">
        <f t="shared" si="1"/>
        <v>0</v>
      </c>
      <c r="J1560" s="7">
        <f t="shared" si="7"/>
        <v>0</v>
      </c>
      <c r="K1560" s="7">
        <f t="shared" si="3"/>
        <v>0</v>
      </c>
      <c r="L1560" s="7">
        <f t="shared" si="4"/>
        <v>0</v>
      </c>
      <c r="M1560" s="7">
        <f t="shared" si="5"/>
        <v>0</v>
      </c>
      <c r="N1560" s="7">
        <f t="shared" si="6"/>
        <v>0</v>
      </c>
    </row>
    <row r="1561">
      <c r="A1561" s="5" t="s">
        <v>2901</v>
      </c>
      <c r="B1561" s="6"/>
      <c r="C1561" s="5" t="s">
        <v>3022</v>
      </c>
      <c r="D1561" s="5" t="s">
        <v>3086</v>
      </c>
      <c r="E1561" s="5" t="s">
        <v>3087</v>
      </c>
      <c r="F1561" s="5" t="s">
        <v>2908</v>
      </c>
      <c r="G1561" s="6"/>
      <c r="H1561" s="5" t="s">
        <v>22</v>
      </c>
      <c r="I1561" s="7">
        <f t="shared" si="1"/>
        <v>0</v>
      </c>
      <c r="J1561" s="7">
        <f t="shared" si="7"/>
        <v>0</v>
      </c>
      <c r="K1561" s="7">
        <f t="shared" si="3"/>
        <v>0</v>
      </c>
      <c r="L1561" s="7">
        <f t="shared" si="4"/>
        <v>0</v>
      </c>
      <c r="M1561" s="7">
        <f t="shared" si="5"/>
        <v>0</v>
      </c>
      <c r="N1561" s="7">
        <f t="shared" si="6"/>
        <v>0</v>
      </c>
    </row>
    <row r="1562">
      <c r="A1562" s="5" t="s">
        <v>2901</v>
      </c>
      <c r="B1562" s="6"/>
      <c r="C1562" s="5" t="s">
        <v>3022</v>
      </c>
      <c r="D1562" s="5" t="s">
        <v>3088</v>
      </c>
      <c r="E1562" s="5" t="s">
        <v>3089</v>
      </c>
      <c r="F1562" s="5" t="s">
        <v>2908</v>
      </c>
      <c r="G1562" s="6"/>
      <c r="H1562" s="5" t="s">
        <v>22</v>
      </c>
      <c r="I1562" s="7">
        <f t="shared" si="1"/>
        <v>0</v>
      </c>
      <c r="J1562" s="7">
        <f t="shared" si="7"/>
        <v>0</v>
      </c>
      <c r="K1562" s="7">
        <f t="shared" si="3"/>
        <v>0</v>
      </c>
      <c r="L1562" s="7">
        <f t="shared" si="4"/>
        <v>0</v>
      </c>
      <c r="M1562" s="7">
        <f t="shared" si="5"/>
        <v>0</v>
      </c>
      <c r="N1562" s="7">
        <f t="shared" si="6"/>
        <v>0</v>
      </c>
    </row>
    <row r="1563">
      <c r="A1563" s="5" t="s">
        <v>2901</v>
      </c>
      <c r="B1563" s="6"/>
      <c r="C1563" s="5" t="s">
        <v>3022</v>
      </c>
      <c r="D1563" s="5" t="s">
        <v>3090</v>
      </c>
      <c r="E1563" s="5" t="s">
        <v>3091</v>
      </c>
      <c r="F1563" s="5" t="s">
        <v>2908</v>
      </c>
      <c r="G1563" s="6"/>
      <c r="H1563" s="5" t="s">
        <v>22</v>
      </c>
      <c r="I1563" s="7">
        <f t="shared" si="1"/>
        <v>0</v>
      </c>
      <c r="J1563" s="7">
        <f t="shared" si="7"/>
        <v>0</v>
      </c>
      <c r="K1563" s="7">
        <f t="shared" si="3"/>
        <v>0</v>
      </c>
      <c r="L1563" s="7">
        <f t="shared" si="4"/>
        <v>0</v>
      </c>
      <c r="M1563" s="7">
        <f t="shared" si="5"/>
        <v>0</v>
      </c>
      <c r="N1563" s="7">
        <f t="shared" si="6"/>
        <v>0</v>
      </c>
    </row>
    <row r="1564">
      <c r="A1564" s="5" t="s">
        <v>2901</v>
      </c>
      <c r="B1564" s="6"/>
      <c r="C1564" s="5" t="s">
        <v>3022</v>
      </c>
      <c r="D1564" s="5" t="s">
        <v>3092</v>
      </c>
      <c r="E1564" s="5" t="s">
        <v>3093</v>
      </c>
      <c r="F1564" s="5" t="s">
        <v>2908</v>
      </c>
      <c r="G1564" s="6"/>
      <c r="H1564" s="5" t="s">
        <v>22</v>
      </c>
      <c r="I1564" s="7">
        <f t="shared" si="1"/>
        <v>0</v>
      </c>
      <c r="J1564" s="7">
        <f t="shared" si="7"/>
        <v>0</v>
      </c>
      <c r="K1564" s="7">
        <f t="shared" si="3"/>
        <v>0</v>
      </c>
      <c r="L1564" s="7">
        <f t="shared" si="4"/>
        <v>0</v>
      </c>
      <c r="M1564" s="7">
        <f t="shared" si="5"/>
        <v>0</v>
      </c>
      <c r="N1564" s="7">
        <f t="shared" si="6"/>
        <v>0</v>
      </c>
    </row>
    <row r="1565">
      <c r="A1565" s="5" t="s">
        <v>2901</v>
      </c>
      <c r="B1565" s="6"/>
      <c r="C1565" s="5" t="s">
        <v>3022</v>
      </c>
      <c r="D1565" s="5" t="s">
        <v>3094</v>
      </c>
      <c r="E1565" s="5" t="s">
        <v>3095</v>
      </c>
      <c r="F1565" s="5" t="s">
        <v>2908</v>
      </c>
      <c r="G1565" s="6"/>
      <c r="H1565" s="5" t="s">
        <v>22</v>
      </c>
      <c r="I1565" s="7">
        <f t="shared" si="1"/>
        <v>0</v>
      </c>
      <c r="J1565" s="7">
        <f t="shared" si="7"/>
        <v>0</v>
      </c>
      <c r="K1565" s="7">
        <f t="shared" si="3"/>
        <v>0</v>
      </c>
      <c r="L1565" s="7">
        <f t="shared" si="4"/>
        <v>0</v>
      </c>
      <c r="M1565" s="7">
        <f t="shared" si="5"/>
        <v>0</v>
      </c>
      <c r="N1565" s="7">
        <f t="shared" si="6"/>
        <v>0</v>
      </c>
    </row>
    <row r="1566">
      <c r="A1566" s="5" t="s">
        <v>2901</v>
      </c>
      <c r="B1566" s="6"/>
      <c r="C1566" s="5" t="s">
        <v>3022</v>
      </c>
      <c r="D1566" s="5" t="s">
        <v>3096</v>
      </c>
      <c r="E1566" s="5" t="s">
        <v>3097</v>
      </c>
      <c r="F1566" s="5" t="s">
        <v>2908</v>
      </c>
      <c r="G1566" s="6"/>
      <c r="H1566" s="5" t="s">
        <v>22</v>
      </c>
      <c r="I1566" s="7">
        <f t="shared" si="1"/>
        <v>0</v>
      </c>
      <c r="J1566" s="7">
        <f t="shared" si="7"/>
        <v>0</v>
      </c>
      <c r="K1566" s="7">
        <f t="shared" si="3"/>
        <v>0</v>
      </c>
      <c r="L1566" s="7">
        <f t="shared" si="4"/>
        <v>0</v>
      </c>
      <c r="M1566" s="7">
        <f t="shared" si="5"/>
        <v>0</v>
      </c>
      <c r="N1566" s="7">
        <f t="shared" si="6"/>
        <v>0</v>
      </c>
    </row>
    <row r="1567">
      <c r="A1567" s="5" t="s">
        <v>2901</v>
      </c>
      <c r="B1567" s="6"/>
      <c r="C1567" s="5" t="s">
        <v>3022</v>
      </c>
      <c r="D1567" s="5" t="s">
        <v>3098</v>
      </c>
      <c r="E1567" s="5" t="s">
        <v>3099</v>
      </c>
      <c r="F1567" s="5" t="s">
        <v>2908</v>
      </c>
      <c r="G1567" s="6"/>
      <c r="H1567" s="5" t="s">
        <v>22</v>
      </c>
      <c r="I1567" s="7">
        <f t="shared" si="1"/>
        <v>0</v>
      </c>
      <c r="J1567" s="7">
        <f t="shared" si="7"/>
        <v>0</v>
      </c>
      <c r="K1567" s="7">
        <f t="shared" si="3"/>
        <v>0</v>
      </c>
      <c r="L1567" s="7">
        <f t="shared" si="4"/>
        <v>0</v>
      </c>
      <c r="M1567" s="7">
        <f t="shared" si="5"/>
        <v>0</v>
      </c>
      <c r="N1567" s="7">
        <f t="shared" si="6"/>
        <v>0</v>
      </c>
    </row>
    <row r="1568">
      <c r="A1568" s="5" t="s">
        <v>2901</v>
      </c>
      <c r="B1568" s="6"/>
      <c r="C1568" s="5" t="s">
        <v>3022</v>
      </c>
      <c r="D1568" s="5" t="s">
        <v>3100</v>
      </c>
      <c r="E1568" s="5" t="s">
        <v>3101</v>
      </c>
      <c r="F1568" s="5" t="s">
        <v>2908</v>
      </c>
      <c r="G1568" s="6"/>
      <c r="H1568" s="5" t="s">
        <v>22</v>
      </c>
      <c r="I1568" s="7">
        <f t="shared" si="1"/>
        <v>0</v>
      </c>
      <c r="J1568" s="7">
        <f t="shared" si="7"/>
        <v>0</v>
      </c>
      <c r="K1568" s="7">
        <f t="shared" si="3"/>
        <v>0</v>
      </c>
      <c r="L1568" s="7">
        <f t="shared" si="4"/>
        <v>0</v>
      </c>
      <c r="M1568" s="7">
        <f t="shared" si="5"/>
        <v>0</v>
      </c>
      <c r="N1568" s="7">
        <f t="shared" si="6"/>
        <v>0</v>
      </c>
    </row>
    <row r="1569">
      <c r="A1569" s="5" t="s">
        <v>2901</v>
      </c>
      <c r="B1569" s="6"/>
      <c r="C1569" s="5" t="s">
        <v>3102</v>
      </c>
      <c r="D1569" s="5" t="s">
        <v>3103</v>
      </c>
      <c r="E1569" s="5" t="s">
        <v>3104</v>
      </c>
      <c r="F1569" s="5" t="s">
        <v>2908</v>
      </c>
      <c r="G1569" s="6"/>
      <c r="H1569" s="5" t="s">
        <v>22</v>
      </c>
      <c r="I1569" s="7">
        <f t="shared" si="1"/>
        <v>0</v>
      </c>
      <c r="J1569" s="7">
        <f t="shared" si="7"/>
        <v>0</v>
      </c>
      <c r="K1569" s="7">
        <f t="shared" si="3"/>
        <v>0</v>
      </c>
      <c r="L1569" s="7">
        <f t="shared" si="4"/>
        <v>0</v>
      </c>
      <c r="M1569" s="7">
        <f t="shared" si="5"/>
        <v>0</v>
      </c>
      <c r="N1569" s="7">
        <f t="shared" si="6"/>
        <v>0</v>
      </c>
    </row>
    <row r="1570">
      <c r="A1570" s="5" t="s">
        <v>2901</v>
      </c>
      <c r="B1570" s="6"/>
      <c r="C1570" s="5" t="s">
        <v>3102</v>
      </c>
      <c r="D1570" s="5" t="s">
        <v>3105</v>
      </c>
      <c r="E1570" s="5" t="s">
        <v>3106</v>
      </c>
      <c r="F1570" s="5" t="s">
        <v>2908</v>
      </c>
      <c r="G1570" s="6"/>
      <c r="H1570" s="5" t="s">
        <v>22</v>
      </c>
      <c r="I1570" s="7">
        <f t="shared" si="1"/>
        <v>0</v>
      </c>
      <c r="J1570" s="7">
        <f t="shared" si="7"/>
        <v>0</v>
      </c>
      <c r="K1570" s="7">
        <f t="shared" si="3"/>
        <v>0</v>
      </c>
      <c r="L1570" s="7">
        <f t="shared" si="4"/>
        <v>0</v>
      </c>
      <c r="M1570" s="7">
        <f t="shared" si="5"/>
        <v>0</v>
      </c>
      <c r="N1570" s="7">
        <f t="shared" si="6"/>
        <v>0</v>
      </c>
    </row>
    <row r="1571">
      <c r="A1571" s="5" t="s">
        <v>2901</v>
      </c>
      <c r="B1571" s="6"/>
      <c r="C1571" s="5" t="s">
        <v>3102</v>
      </c>
      <c r="D1571" s="5" t="s">
        <v>3107</v>
      </c>
      <c r="E1571" s="5" t="s">
        <v>3108</v>
      </c>
      <c r="F1571" s="5" t="s">
        <v>2908</v>
      </c>
      <c r="G1571" s="6"/>
      <c r="H1571" s="5" t="s">
        <v>22</v>
      </c>
      <c r="I1571" s="7">
        <f t="shared" si="1"/>
        <v>0</v>
      </c>
      <c r="J1571" s="7">
        <f t="shared" si="7"/>
        <v>0</v>
      </c>
      <c r="K1571" s="7">
        <f t="shared" si="3"/>
        <v>0</v>
      </c>
      <c r="L1571" s="7">
        <f t="shared" si="4"/>
        <v>0</v>
      </c>
      <c r="M1571" s="7">
        <f t="shared" si="5"/>
        <v>0</v>
      </c>
      <c r="N1571" s="7">
        <f t="shared" si="6"/>
        <v>0</v>
      </c>
    </row>
    <row r="1572">
      <c r="A1572" s="5" t="s">
        <v>2901</v>
      </c>
      <c r="B1572" s="6"/>
      <c r="C1572" s="5" t="s">
        <v>3102</v>
      </c>
      <c r="D1572" s="5" t="s">
        <v>2929</v>
      </c>
      <c r="E1572" s="5" t="s">
        <v>2930</v>
      </c>
      <c r="F1572" s="5" t="s">
        <v>2908</v>
      </c>
      <c r="G1572" s="5">
        <v>212.0</v>
      </c>
      <c r="H1572" s="5" t="s">
        <v>22</v>
      </c>
      <c r="I1572" s="7">
        <f t="shared" si="1"/>
        <v>318</v>
      </c>
      <c r="J1572" s="7">
        <f t="shared" si="7"/>
        <v>275.6</v>
      </c>
      <c r="K1572" s="7">
        <f t="shared" si="3"/>
        <v>275.6</v>
      </c>
      <c r="L1572" s="7">
        <f t="shared" si="4"/>
        <v>254.4</v>
      </c>
      <c r="M1572" s="7">
        <f t="shared" si="5"/>
        <v>243.8</v>
      </c>
      <c r="N1572" s="7">
        <f t="shared" si="6"/>
        <v>233.2</v>
      </c>
    </row>
    <row r="1573">
      <c r="A1573" s="5" t="s">
        <v>2901</v>
      </c>
      <c r="B1573" s="6"/>
      <c r="C1573" s="5" t="s">
        <v>3109</v>
      </c>
      <c r="D1573" s="5" t="s">
        <v>3110</v>
      </c>
      <c r="E1573" s="5" t="s">
        <v>3111</v>
      </c>
      <c r="F1573" s="5" t="s">
        <v>2908</v>
      </c>
      <c r="G1573" s="8">
        <v>2804.0</v>
      </c>
      <c r="H1573" s="5" t="s">
        <v>22</v>
      </c>
      <c r="I1573" s="7">
        <f t="shared" si="1"/>
        <v>4206</v>
      </c>
      <c r="J1573" s="7">
        <f t="shared" si="7"/>
        <v>3645.2</v>
      </c>
      <c r="K1573" s="7">
        <f t="shared" si="3"/>
        <v>3645.2</v>
      </c>
      <c r="L1573" s="7">
        <f t="shared" si="4"/>
        <v>3364.8</v>
      </c>
      <c r="M1573" s="7">
        <f t="shared" si="5"/>
        <v>3224.6</v>
      </c>
      <c r="N1573" s="7">
        <f t="shared" si="6"/>
        <v>3084.4</v>
      </c>
    </row>
    <row r="1574">
      <c r="A1574" s="5" t="s">
        <v>2901</v>
      </c>
      <c r="B1574" s="6"/>
      <c r="C1574" s="5" t="s">
        <v>3102</v>
      </c>
      <c r="D1574" s="5" t="s">
        <v>3112</v>
      </c>
      <c r="E1574" s="5" t="s">
        <v>3113</v>
      </c>
      <c r="F1574" s="5" t="s">
        <v>3114</v>
      </c>
      <c r="G1574" s="8">
        <v>4156.0</v>
      </c>
      <c r="H1574" s="5" t="s">
        <v>22</v>
      </c>
      <c r="I1574" s="7">
        <f t="shared" si="1"/>
        <v>6234</v>
      </c>
      <c r="J1574" s="7">
        <f t="shared" si="7"/>
        <v>5402.8</v>
      </c>
      <c r="K1574" s="7">
        <f t="shared" si="3"/>
        <v>5402.8</v>
      </c>
      <c r="L1574" s="7">
        <f t="shared" si="4"/>
        <v>4987.2</v>
      </c>
      <c r="M1574" s="7">
        <f t="shared" si="5"/>
        <v>4779.4</v>
      </c>
      <c r="N1574" s="7">
        <f t="shared" si="6"/>
        <v>4571.6</v>
      </c>
    </row>
    <row r="1575">
      <c r="A1575" s="5" t="s">
        <v>2901</v>
      </c>
      <c r="B1575" s="5" t="s">
        <v>1524</v>
      </c>
      <c r="C1575" s="5" t="s">
        <v>3115</v>
      </c>
      <c r="D1575" s="5" t="s">
        <v>3116</v>
      </c>
      <c r="E1575" s="5" t="s">
        <v>3117</v>
      </c>
      <c r="F1575" s="5" t="s">
        <v>3118</v>
      </c>
      <c r="G1575" s="8">
        <v>3802.0</v>
      </c>
      <c r="H1575" s="5" t="s">
        <v>22</v>
      </c>
      <c r="I1575" s="7">
        <f t="shared" si="1"/>
        <v>5703</v>
      </c>
      <c r="J1575" s="7">
        <f t="shared" si="7"/>
        <v>4942.6</v>
      </c>
      <c r="K1575" s="7">
        <f t="shared" si="3"/>
        <v>4942.6</v>
      </c>
      <c r="L1575" s="7">
        <f t="shared" si="4"/>
        <v>4562.4</v>
      </c>
      <c r="M1575" s="7">
        <f t="shared" si="5"/>
        <v>4372.3</v>
      </c>
      <c r="N1575" s="7">
        <f t="shared" si="6"/>
        <v>4182.2</v>
      </c>
    </row>
    <row r="1576">
      <c r="A1576" s="5" t="s">
        <v>2901</v>
      </c>
      <c r="B1576" s="5" t="s">
        <v>1524</v>
      </c>
      <c r="C1576" s="5" t="s">
        <v>3115</v>
      </c>
      <c r="D1576" s="5" t="s">
        <v>3119</v>
      </c>
      <c r="E1576" s="5" t="s">
        <v>3120</v>
      </c>
      <c r="F1576" s="5" t="s">
        <v>3118</v>
      </c>
      <c r="G1576" s="8">
        <v>3543.0</v>
      </c>
      <c r="H1576" s="5" t="s">
        <v>22</v>
      </c>
      <c r="I1576" s="7">
        <f t="shared" si="1"/>
        <v>5314.5</v>
      </c>
      <c r="J1576" s="7">
        <f t="shared" si="7"/>
        <v>4605.9</v>
      </c>
      <c r="K1576" s="7">
        <f t="shared" si="3"/>
        <v>4605.9</v>
      </c>
      <c r="L1576" s="7">
        <f t="shared" si="4"/>
        <v>4251.6</v>
      </c>
      <c r="M1576" s="7">
        <f t="shared" si="5"/>
        <v>4074.45</v>
      </c>
      <c r="N1576" s="7">
        <f t="shared" si="6"/>
        <v>3897.3</v>
      </c>
    </row>
    <row r="1577">
      <c r="A1577" s="5" t="s">
        <v>2901</v>
      </c>
      <c r="B1577" s="5" t="s">
        <v>1524</v>
      </c>
      <c r="C1577" s="5" t="s">
        <v>3121</v>
      </c>
      <c r="D1577" s="5" t="s">
        <v>3122</v>
      </c>
      <c r="E1577" s="5" t="s">
        <v>3123</v>
      </c>
      <c r="F1577" s="5" t="s">
        <v>3118</v>
      </c>
      <c r="G1577" s="8">
        <v>2981.0</v>
      </c>
      <c r="H1577" s="5" t="s">
        <v>22</v>
      </c>
      <c r="I1577" s="7">
        <f t="shared" si="1"/>
        <v>4471.5</v>
      </c>
      <c r="J1577" s="7">
        <f t="shared" si="7"/>
        <v>3875.3</v>
      </c>
      <c r="K1577" s="7">
        <f t="shared" si="3"/>
        <v>3875.3</v>
      </c>
      <c r="L1577" s="7">
        <f t="shared" si="4"/>
        <v>3577.2</v>
      </c>
      <c r="M1577" s="7">
        <f t="shared" si="5"/>
        <v>3428.15</v>
      </c>
      <c r="N1577" s="7">
        <f t="shared" si="6"/>
        <v>3279.1</v>
      </c>
    </row>
    <row r="1578">
      <c r="A1578" s="5" t="s">
        <v>2901</v>
      </c>
      <c r="B1578" s="5" t="s">
        <v>1524</v>
      </c>
      <c r="C1578" s="5" t="s">
        <v>3121</v>
      </c>
      <c r="D1578" s="5" t="s">
        <v>3124</v>
      </c>
      <c r="E1578" s="5" t="s">
        <v>3125</v>
      </c>
      <c r="F1578" s="5" t="s">
        <v>2904</v>
      </c>
      <c r="G1578" s="5">
        <v>994.0</v>
      </c>
      <c r="H1578" s="5" t="s">
        <v>22</v>
      </c>
      <c r="I1578" s="7">
        <f t="shared" si="1"/>
        <v>1491</v>
      </c>
      <c r="J1578" s="7">
        <f t="shared" si="7"/>
        <v>1292.2</v>
      </c>
      <c r="K1578" s="7">
        <f t="shared" si="3"/>
        <v>1292.2</v>
      </c>
      <c r="L1578" s="7">
        <f t="shared" si="4"/>
        <v>1192.8</v>
      </c>
      <c r="M1578" s="7">
        <f t="shared" si="5"/>
        <v>1143.1</v>
      </c>
      <c r="N1578" s="7">
        <f t="shared" si="6"/>
        <v>1093.4</v>
      </c>
    </row>
    <row r="1579">
      <c r="A1579" s="5" t="s">
        <v>2901</v>
      </c>
      <c r="B1579" s="5" t="s">
        <v>1524</v>
      </c>
      <c r="C1579" s="5" t="s">
        <v>3121</v>
      </c>
      <c r="D1579" s="5" t="s">
        <v>3126</v>
      </c>
      <c r="E1579" s="5" t="s">
        <v>3127</v>
      </c>
      <c r="F1579" s="5" t="s">
        <v>2904</v>
      </c>
      <c r="G1579" s="8">
        <v>4395.0</v>
      </c>
      <c r="H1579" s="5" t="s">
        <v>22</v>
      </c>
      <c r="I1579" s="7">
        <f t="shared" si="1"/>
        <v>6592.5</v>
      </c>
      <c r="J1579" s="7">
        <f t="shared" si="7"/>
        <v>5713.5</v>
      </c>
      <c r="K1579" s="7">
        <f t="shared" si="3"/>
        <v>5713.5</v>
      </c>
      <c r="L1579" s="7">
        <f t="shared" si="4"/>
        <v>5274</v>
      </c>
      <c r="M1579" s="7">
        <f t="shared" si="5"/>
        <v>5054.25</v>
      </c>
      <c r="N1579" s="7">
        <f t="shared" si="6"/>
        <v>4834.5</v>
      </c>
    </row>
    <row r="1580">
      <c r="A1580" s="5" t="s">
        <v>2901</v>
      </c>
      <c r="B1580" s="5" t="s">
        <v>1524</v>
      </c>
      <c r="C1580" s="5" t="s">
        <v>3121</v>
      </c>
      <c r="D1580" s="5" t="s">
        <v>3128</v>
      </c>
      <c r="E1580" s="5" t="s">
        <v>3129</v>
      </c>
      <c r="F1580" s="5" t="s">
        <v>2904</v>
      </c>
      <c r="G1580" s="8">
        <v>4581.0</v>
      </c>
      <c r="H1580" s="5" t="s">
        <v>22</v>
      </c>
      <c r="I1580" s="7">
        <f t="shared" si="1"/>
        <v>6871.5</v>
      </c>
      <c r="J1580" s="7">
        <f t="shared" si="7"/>
        <v>5955.3</v>
      </c>
      <c r="K1580" s="7">
        <f t="shared" si="3"/>
        <v>5955.3</v>
      </c>
      <c r="L1580" s="7">
        <f t="shared" si="4"/>
        <v>5497.2</v>
      </c>
      <c r="M1580" s="7">
        <f t="shared" si="5"/>
        <v>5268.15</v>
      </c>
      <c r="N1580" s="7">
        <f t="shared" si="6"/>
        <v>5039.1</v>
      </c>
    </row>
    <row r="1581">
      <c r="A1581" s="5" t="s">
        <v>2901</v>
      </c>
      <c r="B1581" s="6"/>
      <c r="C1581" s="5" t="s">
        <v>3130</v>
      </c>
      <c r="D1581" s="5" t="s">
        <v>3131</v>
      </c>
      <c r="E1581" s="5" t="s">
        <v>3132</v>
      </c>
      <c r="F1581" s="5" t="s">
        <v>2904</v>
      </c>
      <c r="G1581" s="8">
        <v>2862.0</v>
      </c>
      <c r="H1581" s="5" t="s">
        <v>22</v>
      </c>
      <c r="I1581" s="7">
        <f t="shared" si="1"/>
        <v>4293</v>
      </c>
      <c r="J1581" s="7">
        <f t="shared" si="7"/>
        <v>3720.6</v>
      </c>
      <c r="K1581" s="7">
        <f t="shared" si="3"/>
        <v>3720.6</v>
      </c>
      <c r="L1581" s="7">
        <f t="shared" si="4"/>
        <v>3434.4</v>
      </c>
      <c r="M1581" s="7">
        <f t="shared" si="5"/>
        <v>3291.3</v>
      </c>
      <c r="N1581" s="7">
        <f t="shared" si="6"/>
        <v>3148.2</v>
      </c>
    </row>
    <row r="1582">
      <c r="A1582" s="5" t="s">
        <v>2901</v>
      </c>
      <c r="B1582" s="6"/>
      <c r="C1582" s="5" t="s">
        <v>3130</v>
      </c>
      <c r="D1582" s="5" t="s">
        <v>3133</v>
      </c>
      <c r="E1582" s="5" t="s">
        <v>3134</v>
      </c>
      <c r="F1582" s="5" t="s">
        <v>2904</v>
      </c>
      <c r="G1582" s="8">
        <v>2862.0</v>
      </c>
      <c r="H1582" s="5" t="s">
        <v>22</v>
      </c>
      <c r="I1582" s="7">
        <f t="shared" si="1"/>
        <v>4293</v>
      </c>
      <c r="J1582" s="7">
        <f t="shared" si="7"/>
        <v>3720.6</v>
      </c>
      <c r="K1582" s="7">
        <f t="shared" si="3"/>
        <v>3720.6</v>
      </c>
      <c r="L1582" s="7">
        <f t="shared" si="4"/>
        <v>3434.4</v>
      </c>
      <c r="M1582" s="7">
        <f t="shared" si="5"/>
        <v>3291.3</v>
      </c>
      <c r="N1582" s="7">
        <f t="shared" si="6"/>
        <v>3148.2</v>
      </c>
    </row>
    <row r="1583">
      <c r="A1583" s="5" t="s">
        <v>2901</v>
      </c>
      <c r="B1583" s="6"/>
      <c r="C1583" s="5" t="s">
        <v>3130</v>
      </c>
      <c r="D1583" s="5" t="s">
        <v>3135</v>
      </c>
      <c r="E1583" s="5" t="s">
        <v>3136</v>
      </c>
      <c r="F1583" s="5" t="s">
        <v>2904</v>
      </c>
      <c r="G1583" s="8">
        <v>4830.0</v>
      </c>
      <c r="H1583" s="5" t="s">
        <v>22</v>
      </c>
      <c r="I1583" s="7">
        <f t="shared" si="1"/>
        <v>7245</v>
      </c>
      <c r="J1583" s="7">
        <f t="shared" si="7"/>
        <v>6279</v>
      </c>
      <c r="K1583" s="7">
        <f t="shared" si="3"/>
        <v>6279</v>
      </c>
      <c r="L1583" s="7">
        <f t="shared" si="4"/>
        <v>5796</v>
      </c>
      <c r="M1583" s="7">
        <f t="shared" si="5"/>
        <v>5554.5</v>
      </c>
      <c r="N1583" s="7">
        <f t="shared" si="6"/>
        <v>5313</v>
      </c>
    </row>
    <row r="1584">
      <c r="A1584" s="5" t="s">
        <v>2901</v>
      </c>
      <c r="B1584" s="6"/>
      <c r="C1584" s="5" t="s">
        <v>3130</v>
      </c>
      <c r="D1584" s="5" t="s">
        <v>3137</v>
      </c>
      <c r="E1584" s="5" t="s">
        <v>3138</v>
      </c>
      <c r="F1584" s="5" t="s">
        <v>2904</v>
      </c>
      <c r="G1584" s="8">
        <v>2955.0</v>
      </c>
      <c r="H1584" s="5" t="s">
        <v>22</v>
      </c>
      <c r="I1584" s="7">
        <f t="shared" si="1"/>
        <v>4432.5</v>
      </c>
      <c r="J1584" s="7">
        <f t="shared" si="7"/>
        <v>3841.5</v>
      </c>
      <c r="K1584" s="7">
        <f t="shared" si="3"/>
        <v>3841.5</v>
      </c>
      <c r="L1584" s="7">
        <f t="shared" si="4"/>
        <v>3546</v>
      </c>
      <c r="M1584" s="7">
        <f t="shared" si="5"/>
        <v>3398.25</v>
      </c>
      <c r="N1584" s="7">
        <f t="shared" si="6"/>
        <v>3250.5</v>
      </c>
    </row>
    <row r="1585">
      <c r="A1585" s="5" t="s">
        <v>2901</v>
      </c>
      <c r="B1585" s="6"/>
      <c r="C1585" s="5" t="s">
        <v>3130</v>
      </c>
      <c r="D1585" s="5" t="s">
        <v>3139</v>
      </c>
      <c r="E1585" s="5" t="s">
        <v>3140</v>
      </c>
      <c r="F1585" s="5" t="s">
        <v>2904</v>
      </c>
      <c r="G1585" s="8">
        <v>5060.0</v>
      </c>
      <c r="H1585" s="5" t="s">
        <v>22</v>
      </c>
      <c r="I1585" s="7">
        <f t="shared" si="1"/>
        <v>7590</v>
      </c>
      <c r="J1585" s="7">
        <f t="shared" si="7"/>
        <v>6578</v>
      </c>
      <c r="K1585" s="7">
        <f t="shared" si="3"/>
        <v>6578</v>
      </c>
      <c r="L1585" s="7">
        <f t="shared" si="4"/>
        <v>6072</v>
      </c>
      <c r="M1585" s="7">
        <f t="shared" si="5"/>
        <v>5819</v>
      </c>
      <c r="N1585" s="7">
        <f t="shared" si="6"/>
        <v>5566</v>
      </c>
    </row>
    <row r="1586">
      <c r="A1586" s="5" t="s">
        <v>2901</v>
      </c>
      <c r="B1586" s="6"/>
      <c r="C1586" s="5" t="s">
        <v>3130</v>
      </c>
      <c r="D1586" s="5" t="s">
        <v>3141</v>
      </c>
      <c r="E1586" s="5" t="s">
        <v>3142</v>
      </c>
      <c r="F1586" s="5" t="s">
        <v>2904</v>
      </c>
      <c r="G1586" s="8">
        <v>3601.0</v>
      </c>
      <c r="H1586" s="5" t="s">
        <v>22</v>
      </c>
      <c r="I1586" s="7">
        <f t="shared" si="1"/>
        <v>5401.5</v>
      </c>
      <c r="J1586" s="7">
        <f t="shared" si="7"/>
        <v>4681.3</v>
      </c>
      <c r="K1586" s="7">
        <f t="shared" si="3"/>
        <v>4681.3</v>
      </c>
      <c r="L1586" s="7">
        <f t="shared" si="4"/>
        <v>4321.2</v>
      </c>
      <c r="M1586" s="7">
        <f t="shared" si="5"/>
        <v>4141.15</v>
      </c>
      <c r="N1586" s="7">
        <f t="shared" si="6"/>
        <v>3961.1</v>
      </c>
    </row>
    <row r="1587">
      <c r="A1587" s="5" t="s">
        <v>2901</v>
      </c>
      <c r="B1587" s="6"/>
      <c r="C1587" s="5" t="s">
        <v>3130</v>
      </c>
      <c r="D1587" s="5" t="s">
        <v>3143</v>
      </c>
      <c r="E1587" s="5" t="s">
        <v>3138</v>
      </c>
      <c r="F1587" s="5" t="s">
        <v>2904</v>
      </c>
      <c r="G1587" s="8">
        <v>4057.0</v>
      </c>
      <c r="H1587" s="5" t="s">
        <v>22</v>
      </c>
      <c r="I1587" s="7">
        <f t="shared" si="1"/>
        <v>6085.5</v>
      </c>
      <c r="J1587" s="7">
        <f t="shared" si="7"/>
        <v>5274.1</v>
      </c>
      <c r="K1587" s="7">
        <f t="shared" si="3"/>
        <v>5274.1</v>
      </c>
      <c r="L1587" s="7">
        <f t="shared" si="4"/>
        <v>4868.4</v>
      </c>
      <c r="M1587" s="7">
        <f t="shared" si="5"/>
        <v>4665.55</v>
      </c>
      <c r="N1587" s="7">
        <f t="shared" si="6"/>
        <v>4462.7</v>
      </c>
    </row>
    <row r="1588">
      <c r="A1588" s="5" t="s">
        <v>2901</v>
      </c>
      <c r="B1588" s="6"/>
      <c r="C1588" s="5" t="s">
        <v>3130</v>
      </c>
      <c r="D1588" s="5" t="s">
        <v>3144</v>
      </c>
      <c r="E1588" s="5" t="s">
        <v>3145</v>
      </c>
      <c r="F1588" s="5" t="s">
        <v>2904</v>
      </c>
      <c r="G1588" s="8">
        <v>3979.0</v>
      </c>
      <c r="H1588" s="5" t="s">
        <v>22</v>
      </c>
      <c r="I1588" s="7">
        <f t="shared" si="1"/>
        <v>5968.5</v>
      </c>
      <c r="J1588" s="7">
        <f t="shared" si="7"/>
        <v>5172.7</v>
      </c>
      <c r="K1588" s="7">
        <f t="shared" si="3"/>
        <v>5172.7</v>
      </c>
      <c r="L1588" s="7">
        <f t="shared" si="4"/>
        <v>4774.8</v>
      </c>
      <c r="M1588" s="7">
        <f t="shared" si="5"/>
        <v>4575.85</v>
      </c>
      <c r="N1588" s="7">
        <f t="shared" si="6"/>
        <v>4376.9</v>
      </c>
    </row>
    <row r="1589">
      <c r="A1589" s="5" t="s">
        <v>2901</v>
      </c>
      <c r="B1589" s="6"/>
      <c r="C1589" s="5" t="s">
        <v>3130</v>
      </c>
      <c r="D1589" s="5" t="s">
        <v>3146</v>
      </c>
      <c r="E1589" s="5" t="s">
        <v>3147</v>
      </c>
      <c r="F1589" s="5" t="s">
        <v>2904</v>
      </c>
      <c r="G1589" s="8">
        <v>4278.0</v>
      </c>
      <c r="H1589" s="5" t="s">
        <v>22</v>
      </c>
      <c r="I1589" s="7">
        <f t="shared" si="1"/>
        <v>6417</v>
      </c>
      <c r="J1589" s="7">
        <f t="shared" si="7"/>
        <v>5561.4</v>
      </c>
      <c r="K1589" s="7">
        <f t="shared" si="3"/>
        <v>5561.4</v>
      </c>
      <c r="L1589" s="7">
        <f t="shared" si="4"/>
        <v>5133.6</v>
      </c>
      <c r="M1589" s="7">
        <f t="shared" si="5"/>
        <v>4919.7</v>
      </c>
      <c r="N1589" s="7">
        <f t="shared" si="6"/>
        <v>4705.8</v>
      </c>
    </row>
    <row r="1590">
      <c r="A1590" s="5" t="s">
        <v>2901</v>
      </c>
      <c r="B1590" s="6"/>
      <c r="C1590" s="5" t="s">
        <v>3130</v>
      </c>
      <c r="D1590" s="5" t="s">
        <v>3148</v>
      </c>
      <c r="E1590" s="5" t="s">
        <v>3147</v>
      </c>
      <c r="F1590" s="5" t="s">
        <v>2904</v>
      </c>
      <c r="G1590" s="8">
        <v>3859.0</v>
      </c>
      <c r="H1590" s="5" t="s">
        <v>22</v>
      </c>
      <c r="I1590" s="7">
        <f t="shared" si="1"/>
        <v>5788.5</v>
      </c>
      <c r="J1590" s="7">
        <f t="shared" si="7"/>
        <v>5016.7</v>
      </c>
      <c r="K1590" s="7">
        <f t="shared" si="3"/>
        <v>5016.7</v>
      </c>
      <c r="L1590" s="7">
        <f t="shared" si="4"/>
        <v>4630.8</v>
      </c>
      <c r="M1590" s="7">
        <f t="shared" si="5"/>
        <v>4437.85</v>
      </c>
      <c r="N1590" s="7">
        <f t="shared" si="6"/>
        <v>4244.9</v>
      </c>
    </row>
    <row r="1591">
      <c r="A1591" s="5" t="s">
        <v>3149</v>
      </c>
      <c r="B1591" s="6"/>
      <c r="C1591" s="5" t="s">
        <v>1610</v>
      </c>
      <c r="D1591" s="5" t="s">
        <v>3150</v>
      </c>
      <c r="E1591" s="5" t="s">
        <v>3151</v>
      </c>
      <c r="F1591" s="6"/>
      <c r="G1591" s="8">
        <v>51545.0</v>
      </c>
      <c r="H1591" s="5" t="s">
        <v>22</v>
      </c>
      <c r="I1591" s="7">
        <f t="shared" si="1"/>
        <v>77317.5</v>
      </c>
      <c r="J1591" s="7">
        <f t="shared" si="7"/>
        <v>67008.5</v>
      </c>
      <c r="K1591" s="7">
        <f t="shared" si="3"/>
        <v>67008.5</v>
      </c>
      <c r="L1591" s="7">
        <f t="shared" si="4"/>
        <v>61854</v>
      </c>
      <c r="M1591" s="7">
        <f t="shared" si="5"/>
        <v>59276.75</v>
      </c>
      <c r="N1591" s="7">
        <f t="shared" si="6"/>
        <v>56699.5</v>
      </c>
    </row>
    <row r="1592">
      <c r="A1592" s="5" t="s">
        <v>3149</v>
      </c>
      <c r="B1592" s="6"/>
      <c r="C1592" s="6"/>
      <c r="D1592" s="5" t="s">
        <v>3152</v>
      </c>
      <c r="E1592" s="5" t="s">
        <v>3153</v>
      </c>
      <c r="F1592" s="6"/>
      <c r="G1592" s="8">
        <v>68414.0</v>
      </c>
      <c r="H1592" s="5" t="s">
        <v>22</v>
      </c>
      <c r="I1592" s="7">
        <f t="shared" si="1"/>
        <v>102621</v>
      </c>
      <c r="J1592" s="7">
        <f t="shared" si="7"/>
        <v>88938.2</v>
      </c>
      <c r="K1592" s="7">
        <f t="shared" si="3"/>
        <v>88938.2</v>
      </c>
      <c r="L1592" s="7">
        <f t="shared" si="4"/>
        <v>82096.8</v>
      </c>
      <c r="M1592" s="7">
        <f t="shared" si="5"/>
        <v>78676.1</v>
      </c>
      <c r="N1592" s="7">
        <f t="shared" si="6"/>
        <v>75255.4</v>
      </c>
    </row>
    <row r="1593">
      <c r="A1593" s="5" t="s">
        <v>3149</v>
      </c>
      <c r="B1593" s="6"/>
      <c r="C1593" s="6"/>
      <c r="D1593" s="5" t="s">
        <v>3154</v>
      </c>
      <c r="E1593" s="5" t="s">
        <v>3155</v>
      </c>
      <c r="F1593" s="6"/>
      <c r="G1593" s="8">
        <v>1792.0</v>
      </c>
      <c r="H1593" s="5" t="s">
        <v>22</v>
      </c>
      <c r="I1593" s="7">
        <f t="shared" si="1"/>
        <v>2688</v>
      </c>
      <c r="J1593" s="7">
        <f t="shared" si="7"/>
        <v>2329.6</v>
      </c>
      <c r="K1593" s="7">
        <f t="shared" si="3"/>
        <v>2329.6</v>
      </c>
      <c r="L1593" s="7">
        <f t="shared" si="4"/>
        <v>2150.4</v>
      </c>
      <c r="M1593" s="7">
        <f t="shared" si="5"/>
        <v>2060.8</v>
      </c>
      <c r="N1593" s="7">
        <f t="shared" si="6"/>
        <v>1971.2</v>
      </c>
    </row>
    <row r="1594">
      <c r="A1594" s="5" t="s">
        <v>3149</v>
      </c>
      <c r="B1594" s="6"/>
      <c r="C1594" s="6"/>
      <c r="D1594" s="5" t="s">
        <v>3156</v>
      </c>
      <c r="E1594" s="5" t="s">
        <v>3157</v>
      </c>
      <c r="F1594" s="6"/>
      <c r="G1594" s="8">
        <v>1444.0</v>
      </c>
      <c r="H1594" s="5" t="s">
        <v>22</v>
      </c>
      <c r="I1594" s="7">
        <f t="shared" si="1"/>
        <v>2166</v>
      </c>
      <c r="J1594" s="7">
        <f t="shared" si="7"/>
        <v>1877.2</v>
      </c>
      <c r="K1594" s="7">
        <f t="shared" si="3"/>
        <v>1877.2</v>
      </c>
      <c r="L1594" s="7">
        <f t="shared" si="4"/>
        <v>1732.8</v>
      </c>
      <c r="M1594" s="7">
        <f t="shared" si="5"/>
        <v>1660.6</v>
      </c>
      <c r="N1594" s="7">
        <f t="shared" si="6"/>
        <v>1588.4</v>
      </c>
    </row>
    <row r="1595">
      <c r="A1595" s="5" t="s">
        <v>3149</v>
      </c>
      <c r="B1595" s="6"/>
      <c r="C1595" s="6"/>
      <c r="D1595" s="5" t="s">
        <v>3158</v>
      </c>
      <c r="E1595" s="5" t="s">
        <v>3159</v>
      </c>
      <c r="F1595" s="6"/>
      <c r="G1595" s="8">
        <v>1604.0</v>
      </c>
      <c r="H1595" s="5" t="s">
        <v>22</v>
      </c>
      <c r="I1595" s="7">
        <f t="shared" si="1"/>
        <v>2406</v>
      </c>
      <c r="J1595" s="7">
        <f t="shared" si="7"/>
        <v>2085.2</v>
      </c>
      <c r="K1595" s="7">
        <f t="shared" si="3"/>
        <v>2085.2</v>
      </c>
      <c r="L1595" s="7">
        <f t="shared" si="4"/>
        <v>1924.8</v>
      </c>
      <c r="M1595" s="7">
        <f t="shared" si="5"/>
        <v>1844.6</v>
      </c>
      <c r="N1595" s="7">
        <f t="shared" si="6"/>
        <v>1764.4</v>
      </c>
    </row>
    <row r="1596">
      <c r="A1596" s="5" t="s">
        <v>3149</v>
      </c>
      <c r="B1596" s="6"/>
      <c r="C1596" s="6"/>
      <c r="D1596" s="5" t="s">
        <v>3160</v>
      </c>
      <c r="E1596" s="5" t="s">
        <v>3161</v>
      </c>
      <c r="F1596" s="6"/>
      <c r="G1596" s="5">
        <v>289.0</v>
      </c>
      <c r="H1596" s="5" t="s">
        <v>22</v>
      </c>
      <c r="I1596" s="7">
        <f t="shared" si="1"/>
        <v>433.5</v>
      </c>
      <c r="J1596" s="7">
        <f t="shared" si="7"/>
        <v>375.7</v>
      </c>
      <c r="K1596" s="7">
        <f t="shared" si="3"/>
        <v>375.7</v>
      </c>
      <c r="L1596" s="7">
        <f t="shared" si="4"/>
        <v>346.8</v>
      </c>
      <c r="M1596" s="7">
        <f t="shared" si="5"/>
        <v>332.35</v>
      </c>
      <c r="N1596" s="7">
        <f t="shared" si="6"/>
        <v>317.9</v>
      </c>
    </row>
    <row r="1597">
      <c r="A1597" s="5" t="s">
        <v>3149</v>
      </c>
      <c r="B1597" s="6"/>
      <c r="C1597" s="6"/>
      <c r="D1597" s="5" t="s">
        <v>3162</v>
      </c>
      <c r="E1597" s="5" t="s">
        <v>3163</v>
      </c>
      <c r="F1597" s="6"/>
      <c r="G1597" s="8">
        <v>4851.0</v>
      </c>
      <c r="H1597" s="5" t="s">
        <v>22</v>
      </c>
      <c r="I1597" s="7">
        <f t="shared" si="1"/>
        <v>7276.5</v>
      </c>
      <c r="J1597" s="7">
        <f t="shared" si="7"/>
        <v>6306.3</v>
      </c>
      <c r="K1597" s="7">
        <f t="shared" si="3"/>
        <v>6306.3</v>
      </c>
      <c r="L1597" s="7">
        <f t="shared" si="4"/>
        <v>5821.2</v>
      </c>
      <c r="M1597" s="7">
        <f t="shared" si="5"/>
        <v>5578.65</v>
      </c>
      <c r="N1597" s="7">
        <f t="shared" si="6"/>
        <v>5336.1</v>
      </c>
    </row>
    <row r="1598">
      <c r="A1598" s="5" t="s">
        <v>3149</v>
      </c>
      <c r="B1598" s="6"/>
      <c r="C1598" s="6"/>
      <c r="D1598" s="5" t="s">
        <v>3164</v>
      </c>
      <c r="E1598" s="5" t="s">
        <v>3165</v>
      </c>
      <c r="F1598" s="6"/>
      <c r="G1598" s="8">
        <v>2965.0</v>
      </c>
      <c r="H1598" s="5" t="s">
        <v>22</v>
      </c>
      <c r="I1598" s="7">
        <f t="shared" si="1"/>
        <v>4447.5</v>
      </c>
      <c r="J1598" s="7">
        <f t="shared" si="7"/>
        <v>3854.5</v>
      </c>
      <c r="K1598" s="7">
        <f t="shared" si="3"/>
        <v>3854.5</v>
      </c>
      <c r="L1598" s="7">
        <f t="shared" si="4"/>
        <v>3558</v>
      </c>
      <c r="M1598" s="7">
        <f t="shared" si="5"/>
        <v>3409.75</v>
      </c>
      <c r="N1598" s="7">
        <f t="shared" si="6"/>
        <v>3261.5</v>
      </c>
    </row>
    <row r="1599">
      <c r="A1599" s="5" t="s">
        <v>3149</v>
      </c>
      <c r="B1599" s="6"/>
      <c r="C1599" s="6"/>
      <c r="D1599" s="5" t="s">
        <v>3166</v>
      </c>
      <c r="E1599" s="5" t="s">
        <v>3167</v>
      </c>
      <c r="F1599" s="6"/>
      <c r="G1599" s="5">
        <v>322.0</v>
      </c>
      <c r="H1599" s="5" t="s">
        <v>22</v>
      </c>
      <c r="I1599" s="7">
        <f t="shared" si="1"/>
        <v>483</v>
      </c>
      <c r="J1599" s="7">
        <f t="shared" si="7"/>
        <v>418.6</v>
      </c>
      <c r="K1599" s="7">
        <f t="shared" si="3"/>
        <v>418.6</v>
      </c>
      <c r="L1599" s="7">
        <f t="shared" si="4"/>
        <v>386.4</v>
      </c>
      <c r="M1599" s="7">
        <f t="shared" si="5"/>
        <v>370.3</v>
      </c>
      <c r="N1599" s="7">
        <f t="shared" si="6"/>
        <v>354.2</v>
      </c>
    </row>
    <row r="1600">
      <c r="A1600" s="5" t="s">
        <v>3149</v>
      </c>
      <c r="B1600" s="6"/>
      <c r="C1600" s="6"/>
      <c r="D1600" s="5" t="s">
        <v>3168</v>
      </c>
      <c r="E1600" s="5" t="s">
        <v>3169</v>
      </c>
      <c r="F1600" s="6"/>
      <c r="G1600" s="8">
        <v>6409.0</v>
      </c>
      <c r="H1600" s="5" t="s">
        <v>22</v>
      </c>
      <c r="I1600" s="7">
        <f t="shared" si="1"/>
        <v>9613.5</v>
      </c>
      <c r="J1600" s="7">
        <f t="shared" si="7"/>
        <v>8331.7</v>
      </c>
      <c r="K1600" s="7">
        <f t="shared" si="3"/>
        <v>8331.7</v>
      </c>
      <c r="L1600" s="7">
        <f t="shared" si="4"/>
        <v>7690.8</v>
      </c>
      <c r="M1600" s="7">
        <f t="shared" si="5"/>
        <v>7370.35</v>
      </c>
      <c r="N1600" s="7">
        <f t="shared" si="6"/>
        <v>7049.9</v>
      </c>
    </row>
    <row r="1601">
      <c r="A1601" s="5" t="s">
        <v>3149</v>
      </c>
      <c r="B1601" s="6"/>
      <c r="C1601" s="6"/>
      <c r="D1601" s="5" t="s">
        <v>3170</v>
      </c>
      <c r="E1601" s="5" t="s">
        <v>3171</v>
      </c>
      <c r="F1601" s="6"/>
      <c r="G1601" s="8">
        <v>4007.0</v>
      </c>
      <c r="H1601" s="5" t="s">
        <v>22</v>
      </c>
      <c r="I1601" s="7">
        <f t="shared" si="1"/>
        <v>6010.5</v>
      </c>
      <c r="J1601" s="7">
        <f t="shared" si="7"/>
        <v>5209.1</v>
      </c>
      <c r="K1601" s="7">
        <f t="shared" si="3"/>
        <v>5209.1</v>
      </c>
      <c r="L1601" s="7">
        <f t="shared" si="4"/>
        <v>4808.4</v>
      </c>
      <c r="M1601" s="7">
        <f t="shared" si="5"/>
        <v>4608.05</v>
      </c>
      <c r="N1601" s="7">
        <f t="shared" si="6"/>
        <v>4407.7</v>
      </c>
    </row>
    <row r="1602">
      <c r="A1602" s="5" t="s">
        <v>3149</v>
      </c>
      <c r="B1602" s="6"/>
      <c r="C1602" s="6"/>
      <c r="D1602" s="5" t="s">
        <v>3172</v>
      </c>
      <c r="E1602" s="5" t="s">
        <v>3173</v>
      </c>
      <c r="F1602" s="6"/>
      <c r="G1602" s="5">
        <v>397.0</v>
      </c>
      <c r="H1602" s="5" t="s">
        <v>22</v>
      </c>
      <c r="I1602" s="7">
        <f t="shared" si="1"/>
        <v>595.5</v>
      </c>
      <c r="J1602" s="7">
        <f t="shared" si="7"/>
        <v>516.1</v>
      </c>
      <c r="K1602" s="7">
        <f t="shared" si="3"/>
        <v>516.1</v>
      </c>
      <c r="L1602" s="7">
        <f t="shared" si="4"/>
        <v>476.4</v>
      </c>
      <c r="M1602" s="7">
        <f t="shared" si="5"/>
        <v>456.55</v>
      </c>
      <c r="N1602" s="7">
        <f t="shared" si="6"/>
        <v>436.7</v>
      </c>
    </row>
    <row r="1603">
      <c r="A1603" s="5" t="s">
        <v>3149</v>
      </c>
      <c r="B1603" s="6"/>
      <c r="C1603" s="6"/>
      <c r="D1603" s="5" t="s">
        <v>3174</v>
      </c>
      <c r="E1603" s="5" t="s">
        <v>3175</v>
      </c>
      <c r="F1603" s="6"/>
      <c r="G1603" s="8">
        <v>2291.0</v>
      </c>
      <c r="H1603" s="5" t="s">
        <v>22</v>
      </c>
      <c r="I1603" s="7">
        <f t="shared" si="1"/>
        <v>3436.5</v>
      </c>
      <c r="J1603" s="7">
        <f t="shared" si="7"/>
        <v>2978.3</v>
      </c>
      <c r="K1603" s="7">
        <f t="shared" si="3"/>
        <v>2978.3</v>
      </c>
      <c r="L1603" s="7">
        <f t="shared" si="4"/>
        <v>2749.2</v>
      </c>
      <c r="M1603" s="7">
        <f t="shared" si="5"/>
        <v>2634.65</v>
      </c>
      <c r="N1603" s="7">
        <f t="shared" si="6"/>
        <v>2520.1</v>
      </c>
    </row>
    <row r="1604">
      <c r="A1604" s="5" t="s">
        <v>3149</v>
      </c>
      <c r="B1604" s="6"/>
      <c r="C1604" s="6"/>
      <c r="D1604" s="5" t="s">
        <v>3176</v>
      </c>
      <c r="E1604" s="5" t="s">
        <v>3177</v>
      </c>
      <c r="F1604" s="6"/>
      <c r="G1604" s="8">
        <v>8348.0</v>
      </c>
      <c r="H1604" s="5" t="s">
        <v>22</v>
      </c>
      <c r="I1604" s="7">
        <f t="shared" si="1"/>
        <v>12522</v>
      </c>
      <c r="J1604" s="7">
        <f t="shared" si="7"/>
        <v>10852.4</v>
      </c>
      <c r="K1604" s="7">
        <f t="shared" si="3"/>
        <v>10852.4</v>
      </c>
      <c r="L1604" s="7">
        <f t="shared" si="4"/>
        <v>10017.6</v>
      </c>
      <c r="M1604" s="7">
        <f t="shared" si="5"/>
        <v>9600.2</v>
      </c>
      <c r="N1604" s="7">
        <f t="shared" si="6"/>
        <v>9182.8</v>
      </c>
    </row>
    <row r="1605">
      <c r="A1605" s="5" t="s">
        <v>3149</v>
      </c>
      <c r="B1605" s="6"/>
      <c r="C1605" s="6"/>
      <c r="D1605" s="5" t="s">
        <v>3178</v>
      </c>
      <c r="E1605" s="5" t="s">
        <v>3179</v>
      </c>
      <c r="F1605" s="6"/>
      <c r="G1605" s="8">
        <v>6013.0</v>
      </c>
      <c r="H1605" s="5" t="s">
        <v>22</v>
      </c>
      <c r="I1605" s="7">
        <f t="shared" si="1"/>
        <v>9019.5</v>
      </c>
      <c r="J1605" s="7">
        <f t="shared" si="7"/>
        <v>7816.9</v>
      </c>
      <c r="K1605" s="7">
        <f t="shared" si="3"/>
        <v>7816.9</v>
      </c>
      <c r="L1605" s="7">
        <f t="shared" si="4"/>
        <v>7215.6</v>
      </c>
      <c r="M1605" s="7">
        <f t="shared" si="5"/>
        <v>6914.95</v>
      </c>
      <c r="N1605" s="7">
        <f t="shared" si="6"/>
        <v>6614.3</v>
      </c>
    </row>
    <row r="1606">
      <c r="A1606" s="5" t="s">
        <v>3149</v>
      </c>
      <c r="B1606" s="6"/>
      <c r="C1606" s="6"/>
      <c r="D1606" s="5" t="s">
        <v>3180</v>
      </c>
      <c r="E1606" s="5" t="s">
        <v>3181</v>
      </c>
      <c r="F1606" s="6"/>
      <c r="G1606" s="8">
        <v>16635.0</v>
      </c>
      <c r="H1606" s="5" t="s">
        <v>22</v>
      </c>
      <c r="I1606" s="7">
        <f t="shared" si="1"/>
        <v>24952.5</v>
      </c>
      <c r="J1606" s="7">
        <f t="shared" si="7"/>
        <v>21625.5</v>
      </c>
      <c r="K1606" s="7">
        <f t="shared" si="3"/>
        <v>21625.5</v>
      </c>
      <c r="L1606" s="7">
        <f t="shared" si="4"/>
        <v>19962</v>
      </c>
      <c r="M1606" s="7">
        <f t="shared" si="5"/>
        <v>19130.25</v>
      </c>
      <c r="N1606" s="7">
        <f t="shared" si="6"/>
        <v>18298.5</v>
      </c>
    </row>
    <row r="1607">
      <c r="A1607" s="5" t="s">
        <v>3149</v>
      </c>
      <c r="B1607" s="6"/>
      <c r="C1607" s="6"/>
      <c r="D1607" s="5" t="s">
        <v>3182</v>
      </c>
      <c r="E1607" s="5" t="s">
        <v>3183</v>
      </c>
      <c r="F1607" s="6"/>
      <c r="G1607" s="8">
        <v>2374.0</v>
      </c>
      <c r="H1607" s="5" t="s">
        <v>22</v>
      </c>
      <c r="I1607" s="7">
        <f t="shared" si="1"/>
        <v>3561</v>
      </c>
      <c r="J1607" s="7">
        <f t="shared" si="7"/>
        <v>3086.2</v>
      </c>
      <c r="K1607" s="7">
        <f t="shared" si="3"/>
        <v>3086.2</v>
      </c>
      <c r="L1607" s="7">
        <f t="shared" si="4"/>
        <v>2848.8</v>
      </c>
      <c r="M1607" s="7">
        <f t="shared" si="5"/>
        <v>2730.1</v>
      </c>
      <c r="N1607" s="7">
        <f t="shared" si="6"/>
        <v>2611.4</v>
      </c>
    </row>
    <row r="1608">
      <c r="A1608" s="5" t="s">
        <v>3149</v>
      </c>
      <c r="B1608" s="6"/>
      <c r="C1608" s="6"/>
      <c r="D1608" s="5" t="s">
        <v>3184</v>
      </c>
      <c r="E1608" s="5" t="s">
        <v>3185</v>
      </c>
      <c r="F1608" s="6"/>
      <c r="G1608" s="8">
        <v>1978.0</v>
      </c>
      <c r="H1608" s="5" t="s">
        <v>22</v>
      </c>
      <c r="I1608" s="7">
        <f t="shared" si="1"/>
        <v>2967</v>
      </c>
      <c r="J1608" s="7">
        <f t="shared" si="7"/>
        <v>2571.4</v>
      </c>
      <c r="K1608" s="7">
        <f t="shared" si="3"/>
        <v>2571.4</v>
      </c>
      <c r="L1608" s="7">
        <f t="shared" si="4"/>
        <v>2373.6</v>
      </c>
      <c r="M1608" s="7">
        <f t="shared" si="5"/>
        <v>2274.7</v>
      </c>
      <c r="N1608" s="7">
        <f t="shared" si="6"/>
        <v>2175.8</v>
      </c>
    </row>
    <row r="1609">
      <c r="A1609" s="5" t="s">
        <v>3149</v>
      </c>
      <c r="B1609" s="6"/>
      <c r="C1609" s="6"/>
      <c r="D1609" s="5" t="s">
        <v>3186</v>
      </c>
      <c r="E1609" s="5" t="s">
        <v>3187</v>
      </c>
      <c r="F1609" s="6"/>
      <c r="G1609" s="8">
        <v>1206.0</v>
      </c>
      <c r="H1609" s="5" t="s">
        <v>22</v>
      </c>
      <c r="I1609" s="7">
        <f t="shared" si="1"/>
        <v>1809</v>
      </c>
      <c r="J1609" s="7">
        <f t="shared" si="7"/>
        <v>1567.8</v>
      </c>
      <c r="K1609" s="7">
        <f t="shared" si="3"/>
        <v>1567.8</v>
      </c>
      <c r="L1609" s="7">
        <f t="shared" si="4"/>
        <v>1447.2</v>
      </c>
      <c r="M1609" s="7">
        <f t="shared" si="5"/>
        <v>1386.9</v>
      </c>
      <c r="N1609" s="7">
        <f t="shared" si="6"/>
        <v>1326.6</v>
      </c>
    </row>
    <row r="1610">
      <c r="A1610" s="5" t="s">
        <v>3149</v>
      </c>
      <c r="B1610" s="6"/>
      <c r="C1610" s="6"/>
      <c r="D1610" s="5" t="s">
        <v>3188</v>
      </c>
      <c r="E1610" s="5" t="s">
        <v>3189</v>
      </c>
      <c r="F1610" s="6"/>
      <c r="G1610" s="8">
        <v>71545.0</v>
      </c>
      <c r="H1610" s="5" t="s">
        <v>22</v>
      </c>
      <c r="I1610" s="7">
        <f t="shared" si="1"/>
        <v>107317.5</v>
      </c>
      <c r="J1610" s="7">
        <f t="shared" si="7"/>
        <v>93008.5</v>
      </c>
      <c r="K1610" s="7">
        <f t="shared" si="3"/>
        <v>93008.5</v>
      </c>
      <c r="L1610" s="7">
        <f t="shared" si="4"/>
        <v>85854</v>
      </c>
      <c r="M1610" s="7">
        <f t="shared" si="5"/>
        <v>82276.75</v>
      </c>
      <c r="N1610" s="7">
        <f t="shared" si="6"/>
        <v>78699.5</v>
      </c>
    </row>
    <row r="1611">
      <c r="A1611" s="5" t="s">
        <v>3149</v>
      </c>
      <c r="B1611" s="6"/>
      <c r="C1611" s="6"/>
      <c r="D1611" s="5" t="s">
        <v>3190</v>
      </c>
      <c r="E1611" s="5" t="s">
        <v>3191</v>
      </c>
      <c r="F1611" s="6"/>
      <c r="G1611" s="8">
        <v>57351.0</v>
      </c>
      <c r="H1611" s="5" t="s">
        <v>22</v>
      </c>
      <c r="I1611" s="7">
        <f t="shared" si="1"/>
        <v>86026.5</v>
      </c>
      <c r="J1611" s="7">
        <f t="shared" si="7"/>
        <v>74556.3</v>
      </c>
      <c r="K1611" s="7">
        <f t="shared" si="3"/>
        <v>74556.3</v>
      </c>
      <c r="L1611" s="7">
        <f t="shared" si="4"/>
        <v>68821.2</v>
      </c>
      <c r="M1611" s="7">
        <f t="shared" si="5"/>
        <v>65953.65</v>
      </c>
      <c r="N1611" s="7">
        <f t="shared" si="6"/>
        <v>63086.1</v>
      </c>
    </row>
    <row r="1612">
      <c r="A1612" s="5" t="s">
        <v>3149</v>
      </c>
      <c r="B1612" s="6"/>
      <c r="C1612" s="6"/>
      <c r="D1612" s="5" t="s">
        <v>3192</v>
      </c>
      <c r="E1612" s="5" t="s">
        <v>3193</v>
      </c>
      <c r="F1612" s="6"/>
      <c r="G1612" s="5">
        <v>234.0</v>
      </c>
      <c r="H1612" s="5" t="s">
        <v>22</v>
      </c>
      <c r="I1612" s="7">
        <f t="shared" si="1"/>
        <v>351</v>
      </c>
      <c r="J1612" s="7">
        <f t="shared" si="7"/>
        <v>304.2</v>
      </c>
      <c r="K1612" s="7">
        <f t="shared" si="3"/>
        <v>304.2</v>
      </c>
      <c r="L1612" s="7">
        <f t="shared" si="4"/>
        <v>280.8</v>
      </c>
      <c r="M1612" s="7">
        <f t="shared" si="5"/>
        <v>269.1</v>
      </c>
      <c r="N1612" s="7">
        <f t="shared" si="6"/>
        <v>257.4</v>
      </c>
    </row>
    <row r="1613">
      <c r="A1613" s="5" t="s">
        <v>3149</v>
      </c>
      <c r="B1613" s="6"/>
      <c r="C1613" s="6"/>
      <c r="D1613" s="5" t="s">
        <v>3194</v>
      </c>
      <c r="E1613" s="5" t="s">
        <v>3195</v>
      </c>
      <c r="F1613" s="6"/>
      <c r="G1613" s="8">
        <v>2264.0</v>
      </c>
      <c r="H1613" s="5" t="s">
        <v>22</v>
      </c>
      <c r="I1613" s="7">
        <f t="shared" si="1"/>
        <v>3396</v>
      </c>
      <c r="J1613" s="7">
        <f t="shared" si="7"/>
        <v>2943.2</v>
      </c>
      <c r="K1613" s="7">
        <f t="shared" si="3"/>
        <v>2943.2</v>
      </c>
      <c r="L1613" s="7">
        <f t="shared" si="4"/>
        <v>2716.8</v>
      </c>
      <c r="M1613" s="7">
        <f t="shared" si="5"/>
        <v>2603.6</v>
      </c>
      <c r="N1613" s="7">
        <f t="shared" si="6"/>
        <v>2490.4</v>
      </c>
    </row>
    <row r="1614">
      <c r="A1614" s="5" t="s">
        <v>3149</v>
      </c>
      <c r="B1614" s="6"/>
      <c r="C1614" s="6"/>
      <c r="D1614" s="5" t="s">
        <v>3196</v>
      </c>
      <c r="E1614" s="5" t="s">
        <v>3197</v>
      </c>
      <c r="F1614" s="6"/>
      <c r="G1614" s="8">
        <v>1827.0</v>
      </c>
      <c r="H1614" s="5" t="s">
        <v>22</v>
      </c>
      <c r="I1614" s="7">
        <f t="shared" si="1"/>
        <v>2740.5</v>
      </c>
      <c r="J1614" s="7">
        <f t="shared" si="7"/>
        <v>2375.1</v>
      </c>
      <c r="K1614" s="7">
        <f t="shared" si="3"/>
        <v>2375.1</v>
      </c>
      <c r="L1614" s="7">
        <f t="shared" si="4"/>
        <v>2192.4</v>
      </c>
      <c r="M1614" s="7">
        <f t="shared" si="5"/>
        <v>2101.05</v>
      </c>
      <c r="N1614" s="7">
        <f t="shared" si="6"/>
        <v>2009.7</v>
      </c>
    </row>
    <row r="1615">
      <c r="A1615" s="5" t="s">
        <v>3149</v>
      </c>
      <c r="B1615" s="6"/>
      <c r="C1615" s="6"/>
      <c r="D1615" s="5" t="s">
        <v>3198</v>
      </c>
      <c r="E1615" s="5" t="s">
        <v>3199</v>
      </c>
      <c r="F1615" s="6"/>
      <c r="G1615" s="8">
        <v>30945.0</v>
      </c>
      <c r="H1615" s="5" t="s">
        <v>22</v>
      </c>
      <c r="I1615" s="7">
        <f t="shared" si="1"/>
        <v>46417.5</v>
      </c>
      <c r="J1615" s="7">
        <f t="shared" si="7"/>
        <v>40228.5</v>
      </c>
      <c r="K1615" s="7">
        <f t="shared" si="3"/>
        <v>40228.5</v>
      </c>
      <c r="L1615" s="7">
        <f t="shared" si="4"/>
        <v>37134</v>
      </c>
      <c r="M1615" s="7">
        <f t="shared" si="5"/>
        <v>35586.75</v>
      </c>
      <c r="N1615" s="7">
        <f t="shared" si="6"/>
        <v>34039.5</v>
      </c>
    </row>
    <row r="1616">
      <c r="A1616" s="5" t="s">
        <v>3149</v>
      </c>
      <c r="B1616" s="6"/>
      <c r="C1616" s="5" t="s">
        <v>2007</v>
      </c>
      <c r="D1616" s="5" t="s">
        <v>3200</v>
      </c>
      <c r="E1616" s="5" t="s">
        <v>3201</v>
      </c>
      <c r="F1616" s="6"/>
      <c r="G1616" s="8">
        <v>63871.0</v>
      </c>
      <c r="H1616" s="5" t="s">
        <v>22</v>
      </c>
      <c r="I1616" s="7">
        <f t="shared" si="1"/>
        <v>95806.5</v>
      </c>
      <c r="J1616" s="7">
        <f t="shared" si="7"/>
        <v>83032.3</v>
      </c>
      <c r="K1616" s="7">
        <f t="shared" si="3"/>
        <v>83032.3</v>
      </c>
      <c r="L1616" s="7">
        <f t="shared" si="4"/>
        <v>76645.2</v>
      </c>
      <c r="M1616" s="7">
        <f t="shared" si="5"/>
        <v>73451.65</v>
      </c>
      <c r="N1616" s="7">
        <f t="shared" si="6"/>
        <v>70258.1</v>
      </c>
    </row>
    <row r="1617">
      <c r="A1617" s="5" t="s">
        <v>3149</v>
      </c>
      <c r="B1617" s="6"/>
      <c r="C1617" s="6"/>
      <c r="D1617" s="5" t="s">
        <v>3202</v>
      </c>
      <c r="E1617" s="5" t="s">
        <v>3203</v>
      </c>
      <c r="F1617" s="6"/>
      <c r="G1617" s="8">
        <v>63871.0</v>
      </c>
      <c r="H1617" s="5" t="s">
        <v>22</v>
      </c>
      <c r="I1617" s="7">
        <f t="shared" si="1"/>
        <v>95806.5</v>
      </c>
      <c r="J1617" s="7">
        <f t="shared" si="7"/>
        <v>83032.3</v>
      </c>
      <c r="K1617" s="7">
        <f t="shared" si="3"/>
        <v>83032.3</v>
      </c>
      <c r="L1617" s="7">
        <f t="shared" si="4"/>
        <v>76645.2</v>
      </c>
      <c r="M1617" s="7">
        <f t="shared" si="5"/>
        <v>73451.65</v>
      </c>
      <c r="N1617" s="7">
        <f t="shared" si="6"/>
        <v>70258.1</v>
      </c>
    </row>
    <row r="1618">
      <c r="A1618" s="5" t="s">
        <v>3149</v>
      </c>
      <c r="B1618" s="6"/>
      <c r="C1618" s="6"/>
      <c r="D1618" s="5" t="s">
        <v>3204</v>
      </c>
      <c r="E1618" s="5" t="s">
        <v>3205</v>
      </c>
      <c r="F1618" s="6"/>
      <c r="G1618" s="8">
        <v>114686.0</v>
      </c>
      <c r="H1618" s="5" t="s">
        <v>22</v>
      </c>
      <c r="I1618" s="7">
        <f t="shared" si="1"/>
        <v>172029</v>
      </c>
      <c r="J1618" s="7">
        <f t="shared" si="7"/>
        <v>149091.8</v>
      </c>
      <c r="K1618" s="7">
        <f t="shared" si="3"/>
        <v>149091.8</v>
      </c>
      <c r="L1618" s="7">
        <f t="shared" si="4"/>
        <v>137623.2</v>
      </c>
      <c r="M1618" s="7">
        <f t="shared" si="5"/>
        <v>131888.9</v>
      </c>
      <c r="N1618" s="7">
        <f t="shared" si="6"/>
        <v>126154.6</v>
      </c>
    </row>
    <row r="1619">
      <c r="A1619" s="5" t="s">
        <v>3149</v>
      </c>
      <c r="B1619" s="6"/>
      <c r="C1619" s="6"/>
      <c r="D1619" s="5" t="s">
        <v>3206</v>
      </c>
      <c r="E1619" s="5" t="s">
        <v>3207</v>
      </c>
      <c r="F1619" s="6"/>
      <c r="G1619" s="8">
        <v>114686.0</v>
      </c>
      <c r="H1619" s="5" t="s">
        <v>22</v>
      </c>
      <c r="I1619" s="7">
        <f t="shared" si="1"/>
        <v>172029</v>
      </c>
      <c r="J1619" s="7">
        <f t="shared" si="7"/>
        <v>149091.8</v>
      </c>
      <c r="K1619" s="7">
        <f t="shared" si="3"/>
        <v>149091.8</v>
      </c>
      <c r="L1619" s="7">
        <f t="shared" si="4"/>
        <v>137623.2</v>
      </c>
      <c r="M1619" s="7">
        <f t="shared" si="5"/>
        <v>131888.9</v>
      </c>
      <c r="N1619" s="7">
        <f t="shared" si="6"/>
        <v>126154.6</v>
      </c>
    </row>
    <row r="1620">
      <c r="A1620" s="5" t="s">
        <v>3149</v>
      </c>
      <c r="B1620" s="6"/>
      <c r="C1620" s="6"/>
      <c r="D1620" s="5" t="s">
        <v>3208</v>
      </c>
      <c r="E1620" s="5" t="s">
        <v>3209</v>
      </c>
      <c r="F1620" s="6"/>
      <c r="G1620" s="8">
        <v>196889.0</v>
      </c>
      <c r="H1620" s="5" t="s">
        <v>22</v>
      </c>
      <c r="I1620" s="7">
        <f t="shared" si="1"/>
        <v>295333.5</v>
      </c>
      <c r="J1620" s="7">
        <f t="shared" si="7"/>
        <v>255955.7</v>
      </c>
      <c r="K1620" s="7">
        <f t="shared" si="3"/>
        <v>255955.7</v>
      </c>
      <c r="L1620" s="7">
        <f t="shared" si="4"/>
        <v>236266.8</v>
      </c>
      <c r="M1620" s="7">
        <f t="shared" si="5"/>
        <v>226422.35</v>
      </c>
      <c r="N1620" s="7">
        <f t="shared" si="6"/>
        <v>216577.9</v>
      </c>
    </row>
    <row r="1621">
      <c r="A1621" s="5" t="s">
        <v>3149</v>
      </c>
      <c r="B1621" s="6"/>
      <c r="C1621" s="6"/>
      <c r="D1621" s="5" t="s">
        <v>3206</v>
      </c>
      <c r="E1621" s="5" t="s">
        <v>3207</v>
      </c>
      <c r="F1621" s="6"/>
      <c r="G1621" s="8">
        <v>196889.0</v>
      </c>
      <c r="H1621" s="5" t="s">
        <v>22</v>
      </c>
      <c r="I1621" s="7">
        <f t="shared" si="1"/>
        <v>295333.5</v>
      </c>
      <c r="J1621" s="7">
        <f t="shared" si="7"/>
        <v>255955.7</v>
      </c>
      <c r="K1621" s="7">
        <f t="shared" si="3"/>
        <v>255955.7</v>
      </c>
      <c r="L1621" s="7">
        <f t="shared" si="4"/>
        <v>236266.8</v>
      </c>
      <c r="M1621" s="7">
        <f t="shared" si="5"/>
        <v>226422.35</v>
      </c>
      <c r="N1621" s="7">
        <f t="shared" si="6"/>
        <v>216577.9</v>
      </c>
    </row>
    <row r="1622">
      <c r="A1622" s="5" t="s">
        <v>3149</v>
      </c>
      <c r="B1622" s="6"/>
      <c r="C1622" s="6"/>
      <c r="D1622" s="5" t="s">
        <v>3210</v>
      </c>
      <c r="E1622" s="5" t="s">
        <v>3211</v>
      </c>
      <c r="F1622" s="6"/>
      <c r="G1622" s="8">
        <v>273393.0</v>
      </c>
      <c r="H1622" s="5" t="s">
        <v>22</v>
      </c>
      <c r="I1622" s="7">
        <f t="shared" si="1"/>
        <v>410089.5</v>
      </c>
      <c r="J1622" s="7">
        <f t="shared" si="7"/>
        <v>355410.9</v>
      </c>
      <c r="K1622" s="7">
        <f t="shared" si="3"/>
        <v>355410.9</v>
      </c>
      <c r="L1622" s="7">
        <f t="shared" si="4"/>
        <v>328071.6</v>
      </c>
      <c r="M1622" s="7">
        <f t="shared" si="5"/>
        <v>314401.95</v>
      </c>
      <c r="N1622" s="7">
        <f t="shared" si="6"/>
        <v>300732.3</v>
      </c>
    </row>
    <row r="1623">
      <c r="A1623" s="5" t="s">
        <v>3149</v>
      </c>
      <c r="B1623" s="6"/>
      <c r="C1623" s="6"/>
      <c r="D1623" s="5" t="s">
        <v>3206</v>
      </c>
      <c r="E1623" s="5" t="s">
        <v>3207</v>
      </c>
      <c r="F1623" s="6"/>
      <c r="G1623" s="8">
        <v>273393.0</v>
      </c>
      <c r="H1623" s="5" t="s">
        <v>22</v>
      </c>
      <c r="I1623" s="7">
        <f t="shared" si="1"/>
        <v>410089.5</v>
      </c>
      <c r="J1623" s="7">
        <f t="shared" si="7"/>
        <v>355410.9</v>
      </c>
      <c r="K1623" s="7">
        <f t="shared" si="3"/>
        <v>355410.9</v>
      </c>
      <c r="L1623" s="7">
        <f t="shared" si="4"/>
        <v>328071.6</v>
      </c>
      <c r="M1623" s="7">
        <f t="shared" si="5"/>
        <v>314401.95</v>
      </c>
      <c r="N1623" s="7">
        <f t="shared" si="6"/>
        <v>300732.3</v>
      </c>
    </row>
    <row r="1624">
      <c r="A1624" s="5" t="s">
        <v>3149</v>
      </c>
      <c r="B1624" s="6"/>
      <c r="C1624" s="6"/>
      <c r="D1624" s="5" t="s">
        <v>3212</v>
      </c>
      <c r="E1624" s="5" t="s">
        <v>3213</v>
      </c>
      <c r="F1624" s="6"/>
      <c r="G1624" s="8">
        <v>17060.0</v>
      </c>
      <c r="H1624" s="5" t="s">
        <v>22</v>
      </c>
      <c r="I1624" s="7">
        <f t="shared" si="1"/>
        <v>25590</v>
      </c>
      <c r="J1624" s="7">
        <f t="shared" si="7"/>
        <v>22178</v>
      </c>
      <c r="K1624" s="7">
        <f t="shared" si="3"/>
        <v>22178</v>
      </c>
      <c r="L1624" s="7">
        <f t="shared" si="4"/>
        <v>20472</v>
      </c>
      <c r="M1624" s="7">
        <f t="shared" si="5"/>
        <v>19619</v>
      </c>
      <c r="N1624" s="7">
        <f t="shared" si="6"/>
        <v>18766</v>
      </c>
    </row>
    <row r="1625">
      <c r="A1625" s="5" t="s">
        <v>3149</v>
      </c>
      <c r="B1625" s="6"/>
      <c r="C1625" s="6"/>
      <c r="D1625" s="5" t="s">
        <v>3214</v>
      </c>
      <c r="E1625" s="5" t="s">
        <v>3215</v>
      </c>
      <c r="F1625" s="6"/>
      <c r="G1625" s="8">
        <v>6055.0</v>
      </c>
      <c r="H1625" s="5" t="s">
        <v>22</v>
      </c>
      <c r="I1625" s="7">
        <f t="shared" si="1"/>
        <v>9082.5</v>
      </c>
      <c r="J1625" s="7">
        <f t="shared" si="7"/>
        <v>7871.5</v>
      </c>
      <c r="K1625" s="7">
        <f t="shared" si="3"/>
        <v>7871.5</v>
      </c>
      <c r="L1625" s="7">
        <f t="shared" si="4"/>
        <v>7266</v>
      </c>
      <c r="M1625" s="7">
        <f t="shared" si="5"/>
        <v>6963.25</v>
      </c>
      <c r="N1625" s="7">
        <f t="shared" si="6"/>
        <v>6660.5</v>
      </c>
    </row>
    <row r="1626">
      <c r="A1626" s="5" t="s">
        <v>3149</v>
      </c>
      <c r="B1626" s="6"/>
      <c r="C1626" s="6"/>
      <c r="D1626" s="5" t="s">
        <v>3216</v>
      </c>
      <c r="E1626" s="5" t="s">
        <v>3217</v>
      </c>
      <c r="F1626" s="6"/>
      <c r="G1626" s="8">
        <v>3150.0</v>
      </c>
      <c r="H1626" s="5" t="s">
        <v>22</v>
      </c>
      <c r="I1626" s="7">
        <f t="shared" si="1"/>
        <v>4725</v>
      </c>
      <c r="J1626" s="7">
        <f t="shared" si="7"/>
        <v>4095</v>
      </c>
      <c r="K1626" s="7">
        <f t="shared" si="3"/>
        <v>4095</v>
      </c>
      <c r="L1626" s="7">
        <f t="shared" si="4"/>
        <v>3780</v>
      </c>
      <c r="M1626" s="7">
        <f t="shared" si="5"/>
        <v>3622.5</v>
      </c>
      <c r="N1626" s="7">
        <f t="shared" si="6"/>
        <v>3465</v>
      </c>
    </row>
    <row r="1627">
      <c r="A1627" s="5" t="s">
        <v>3149</v>
      </c>
      <c r="B1627" s="6"/>
      <c r="C1627" s="6"/>
      <c r="D1627" s="5" t="s">
        <v>3218</v>
      </c>
      <c r="E1627" s="5" t="s">
        <v>3219</v>
      </c>
      <c r="F1627" s="6"/>
      <c r="G1627" s="8">
        <v>2907.0</v>
      </c>
      <c r="H1627" s="5" t="s">
        <v>22</v>
      </c>
      <c r="I1627" s="7">
        <f t="shared" si="1"/>
        <v>4360.5</v>
      </c>
      <c r="J1627" s="7">
        <f t="shared" si="7"/>
        <v>3779.1</v>
      </c>
      <c r="K1627" s="7">
        <f t="shared" si="3"/>
        <v>3779.1</v>
      </c>
      <c r="L1627" s="7">
        <f t="shared" si="4"/>
        <v>3488.4</v>
      </c>
      <c r="M1627" s="7">
        <f t="shared" si="5"/>
        <v>3343.05</v>
      </c>
      <c r="N1627" s="7">
        <f t="shared" si="6"/>
        <v>3197.7</v>
      </c>
    </row>
    <row r="1628">
      <c r="A1628" s="5" t="s">
        <v>3149</v>
      </c>
      <c r="B1628" s="6"/>
      <c r="C1628" s="6"/>
      <c r="D1628" s="5" t="s">
        <v>3220</v>
      </c>
      <c r="E1628" s="5" t="s">
        <v>3221</v>
      </c>
      <c r="F1628" s="6"/>
      <c r="G1628" s="5">
        <v>276.0</v>
      </c>
      <c r="H1628" s="5" t="s">
        <v>22</v>
      </c>
      <c r="I1628" s="7">
        <f t="shared" si="1"/>
        <v>414</v>
      </c>
      <c r="J1628" s="7">
        <f t="shared" si="7"/>
        <v>358.8</v>
      </c>
      <c r="K1628" s="7">
        <f t="shared" si="3"/>
        <v>358.8</v>
      </c>
      <c r="L1628" s="7">
        <f t="shared" si="4"/>
        <v>331.2</v>
      </c>
      <c r="M1628" s="7">
        <f t="shared" si="5"/>
        <v>317.4</v>
      </c>
      <c r="N1628" s="7">
        <f t="shared" si="6"/>
        <v>303.6</v>
      </c>
    </row>
    <row r="1629">
      <c r="A1629" s="5" t="s">
        <v>3149</v>
      </c>
      <c r="B1629" s="6"/>
      <c r="C1629" s="6"/>
      <c r="D1629" s="5" t="s">
        <v>3222</v>
      </c>
      <c r="E1629" s="5" t="s">
        <v>3223</v>
      </c>
      <c r="F1629" s="6"/>
      <c r="G1629" s="8">
        <v>4566.0</v>
      </c>
      <c r="H1629" s="5" t="s">
        <v>22</v>
      </c>
      <c r="I1629" s="7">
        <f t="shared" si="1"/>
        <v>6849</v>
      </c>
      <c r="J1629" s="7">
        <f t="shared" si="7"/>
        <v>5935.8</v>
      </c>
      <c r="K1629" s="7">
        <f t="shared" si="3"/>
        <v>5935.8</v>
      </c>
      <c r="L1629" s="7">
        <f t="shared" si="4"/>
        <v>5479.2</v>
      </c>
      <c r="M1629" s="7">
        <f t="shared" si="5"/>
        <v>5250.9</v>
      </c>
      <c r="N1629" s="7">
        <f t="shared" si="6"/>
        <v>5022.6</v>
      </c>
    </row>
    <row r="1630">
      <c r="A1630" s="5" t="s">
        <v>3149</v>
      </c>
      <c r="B1630" s="6"/>
      <c r="C1630" s="6"/>
      <c r="D1630" s="5" t="s">
        <v>3224</v>
      </c>
      <c r="E1630" s="5" t="s">
        <v>3225</v>
      </c>
      <c r="F1630" s="6"/>
      <c r="G1630" s="8">
        <v>5201.0</v>
      </c>
      <c r="H1630" s="5" t="s">
        <v>22</v>
      </c>
      <c r="I1630" s="7">
        <f t="shared" si="1"/>
        <v>7801.5</v>
      </c>
      <c r="J1630" s="7">
        <f t="shared" si="7"/>
        <v>6761.3</v>
      </c>
      <c r="K1630" s="7">
        <f t="shared" si="3"/>
        <v>6761.3</v>
      </c>
      <c r="L1630" s="7">
        <f t="shared" si="4"/>
        <v>6241.2</v>
      </c>
      <c r="M1630" s="7">
        <f t="shared" si="5"/>
        <v>5981.15</v>
      </c>
      <c r="N1630" s="7">
        <f t="shared" si="6"/>
        <v>5721.1</v>
      </c>
    </row>
    <row r="1631">
      <c r="A1631" s="5" t="s">
        <v>3149</v>
      </c>
      <c r="B1631" s="6"/>
      <c r="C1631" s="6"/>
      <c r="D1631" s="5" t="s">
        <v>3226</v>
      </c>
      <c r="E1631" s="5" t="s">
        <v>3227</v>
      </c>
      <c r="F1631" s="6"/>
      <c r="G1631" s="8">
        <v>5075.0</v>
      </c>
      <c r="H1631" s="5" t="s">
        <v>22</v>
      </c>
      <c r="I1631" s="7">
        <f t="shared" si="1"/>
        <v>7612.5</v>
      </c>
      <c r="J1631" s="7">
        <f t="shared" si="7"/>
        <v>6597.5</v>
      </c>
      <c r="K1631" s="7">
        <f t="shared" si="3"/>
        <v>6597.5</v>
      </c>
      <c r="L1631" s="7">
        <f t="shared" si="4"/>
        <v>6090</v>
      </c>
      <c r="M1631" s="7">
        <f t="shared" si="5"/>
        <v>5836.25</v>
      </c>
      <c r="N1631" s="7">
        <f t="shared" si="6"/>
        <v>5582.5</v>
      </c>
    </row>
    <row r="1632">
      <c r="A1632" s="5" t="s">
        <v>3149</v>
      </c>
      <c r="B1632" s="6"/>
      <c r="C1632" s="6"/>
      <c r="D1632" s="5" t="s">
        <v>3228</v>
      </c>
      <c r="E1632" s="5" t="s">
        <v>3229</v>
      </c>
      <c r="F1632" s="6"/>
      <c r="G1632" s="8">
        <v>3096.0</v>
      </c>
      <c r="H1632" s="5" t="s">
        <v>22</v>
      </c>
      <c r="I1632" s="7">
        <f t="shared" si="1"/>
        <v>4644</v>
      </c>
      <c r="J1632" s="7">
        <f t="shared" si="7"/>
        <v>4024.8</v>
      </c>
      <c r="K1632" s="7">
        <f t="shared" si="3"/>
        <v>4024.8</v>
      </c>
      <c r="L1632" s="7">
        <f t="shared" si="4"/>
        <v>3715.2</v>
      </c>
      <c r="M1632" s="7">
        <f t="shared" si="5"/>
        <v>3560.4</v>
      </c>
      <c r="N1632" s="7">
        <f t="shared" si="6"/>
        <v>3405.6</v>
      </c>
    </row>
    <row r="1633">
      <c r="A1633" s="5" t="s">
        <v>3149</v>
      </c>
      <c r="B1633" s="6"/>
      <c r="C1633" s="6"/>
      <c r="D1633" s="5" t="s">
        <v>3230</v>
      </c>
      <c r="E1633" s="5" t="s">
        <v>3231</v>
      </c>
      <c r="F1633" s="6"/>
      <c r="G1633" s="8">
        <v>4131.0</v>
      </c>
      <c r="H1633" s="5" t="s">
        <v>22</v>
      </c>
      <c r="I1633" s="7">
        <f t="shared" si="1"/>
        <v>6196.5</v>
      </c>
      <c r="J1633" s="7">
        <f t="shared" si="7"/>
        <v>5370.3</v>
      </c>
      <c r="K1633" s="7">
        <f t="shared" si="3"/>
        <v>5370.3</v>
      </c>
      <c r="L1633" s="7">
        <f t="shared" si="4"/>
        <v>4957.2</v>
      </c>
      <c r="M1633" s="7">
        <f t="shared" si="5"/>
        <v>4750.65</v>
      </c>
      <c r="N1633" s="7">
        <f t="shared" si="6"/>
        <v>4544.1</v>
      </c>
    </row>
    <row r="1634">
      <c r="A1634" s="5" t="s">
        <v>3149</v>
      </c>
      <c r="B1634" s="6"/>
      <c r="C1634" s="6"/>
      <c r="D1634" s="5" t="s">
        <v>3232</v>
      </c>
      <c r="E1634" s="5" t="s">
        <v>3233</v>
      </c>
      <c r="F1634" s="6"/>
      <c r="G1634" s="8">
        <v>4185.0</v>
      </c>
      <c r="H1634" s="5" t="s">
        <v>22</v>
      </c>
      <c r="I1634" s="7">
        <f t="shared" si="1"/>
        <v>6277.5</v>
      </c>
      <c r="J1634" s="7">
        <f t="shared" si="7"/>
        <v>5440.5</v>
      </c>
      <c r="K1634" s="7">
        <f t="shared" si="3"/>
        <v>5440.5</v>
      </c>
      <c r="L1634" s="7">
        <f t="shared" si="4"/>
        <v>5022</v>
      </c>
      <c r="M1634" s="7">
        <f t="shared" si="5"/>
        <v>4812.75</v>
      </c>
      <c r="N1634" s="7">
        <f t="shared" si="6"/>
        <v>4603.5</v>
      </c>
    </row>
    <row r="1635">
      <c r="A1635" s="5" t="s">
        <v>3149</v>
      </c>
      <c r="B1635" s="6"/>
      <c r="C1635" s="6"/>
      <c r="D1635" s="5" t="s">
        <v>3234</v>
      </c>
      <c r="E1635" s="5" t="s">
        <v>3235</v>
      </c>
      <c r="F1635" s="6"/>
      <c r="G1635" s="8">
        <v>4913.0</v>
      </c>
      <c r="H1635" s="5" t="s">
        <v>22</v>
      </c>
      <c r="I1635" s="7">
        <f t="shared" si="1"/>
        <v>7369.5</v>
      </c>
      <c r="J1635" s="7">
        <f t="shared" si="7"/>
        <v>6386.9</v>
      </c>
      <c r="K1635" s="7">
        <f t="shared" si="3"/>
        <v>6386.9</v>
      </c>
      <c r="L1635" s="7">
        <f t="shared" si="4"/>
        <v>5895.6</v>
      </c>
      <c r="M1635" s="7">
        <f t="shared" si="5"/>
        <v>5649.95</v>
      </c>
      <c r="N1635" s="7">
        <f t="shared" si="6"/>
        <v>5404.3</v>
      </c>
    </row>
    <row r="1636">
      <c r="A1636" s="5" t="s">
        <v>3149</v>
      </c>
      <c r="B1636" s="6"/>
      <c r="C1636" s="6"/>
      <c r="D1636" s="5" t="s">
        <v>3236</v>
      </c>
      <c r="E1636" s="5" t="s">
        <v>3237</v>
      </c>
      <c r="F1636" s="6"/>
      <c r="G1636" s="8">
        <v>12568.0</v>
      </c>
      <c r="H1636" s="5" t="s">
        <v>22</v>
      </c>
      <c r="I1636" s="7">
        <f t="shared" si="1"/>
        <v>18852</v>
      </c>
      <c r="J1636" s="7">
        <f t="shared" si="7"/>
        <v>16338.4</v>
      </c>
      <c r="K1636" s="7">
        <f t="shared" si="3"/>
        <v>16338.4</v>
      </c>
      <c r="L1636" s="7">
        <f t="shared" si="4"/>
        <v>15081.6</v>
      </c>
      <c r="M1636" s="7">
        <f t="shared" si="5"/>
        <v>14453.2</v>
      </c>
      <c r="N1636" s="7">
        <f t="shared" si="6"/>
        <v>13824.8</v>
      </c>
    </row>
    <row r="1637">
      <c r="A1637" s="5" t="s">
        <v>3149</v>
      </c>
      <c r="B1637" s="6"/>
      <c r="C1637" s="6"/>
      <c r="D1637" s="5" t="s">
        <v>3238</v>
      </c>
      <c r="E1637" s="5" t="s">
        <v>3239</v>
      </c>
      <c r="F1637" s="6"/>
      <c r="G1637" s="8">
        <v>80872.0</v>
      </c>
      <c r="H1637" s="5" t="s">
        <v>22</v>
      </c>
      <c r="I1637" s="7">
        <f t="shared" si="1"/>
        <v>121308</v>
      </c>
      <c r="J1637" s="7">
        <f t="shared" si="7"/>
        <v>105133.6</v>
      </c>
      <c r="K1637" s="7">
        <f t="shared" si="3"/>
        <v>105133.6</v>
      </c>
      <c r="L1637" s="7">
        <f t="shared" si="4"/>
        <v>97046.4</v>
      </c>
      <c r="M1637" s="7">
        <f t="shared" si="5"/>
        <v>93002.8</v>
      </c>
      <c r="N1637" s="7">
        <f t="shared" si="6"/>
        <v>88959.2</v>
      </c>
    </row>
    <row r="1638">
      <c r="A1638" s="5" t="s">
        <v>3149</v>
      </c>
      <c r="B1638" s="6"/>
      <c r="C1638" s="6"/>
      <c r="D1638" s="5" t="s">
        <v>3240</v>
      </c>
      <c r="E1638" s="5" t="s">
        <v>3241</v>
      </c>
      <c r="F1638" s="6"/>
      <c r="G1638" s="8">
        <v>51984.0</v>
      </c>
      <c r="H1638" s="5" t="s">
        <v>22</v>
      </c>
      <c r="I1638" s="7">
        <f t="shared" si="1"/>
        <v>77976</v>
      </c>
      <c r="J1638" s="7">
        <f t="shared" si="7"/>
        <v>67579.2</v>
      </c>
      <c r="K1638" s="7">
        <f t="shared" si="3"/>
        <v>67579.2</v>
      </c>
      <c r="L1638" s="7">
        <f t="shared" si="4"/>
        <v>62380.8</v>
      </c>
      <c r="M1638" s="7">
        <f t="shared" si="5"/>
        <v>59781.6</v>
      </c>
      <c r="N1638" s="7">
        <f t="shared" si="6"/>
        <v>57182.4</v>
      </c>
    </row>
    <row r="1639">
      <c r="A1639" s="5" t="s">
        <v>3149</v>
      </c>
      <c r="B1639" s="6"/>
      <c r="C1639" s="6"/>
      <c r="D1639" s="5" t="s">
        <v>3242</v>
      </c>
      <c r="E1639" s="5" t="s">
        <v>3243</v>
      </c>
      <c r="F1639" s="6"/>
      <c r="G1639" s="8">
        <v>10328.0</v>
      </c>
      <c r="H1639" s="5" t="s">
        <v>22</v>
      </c>
      <c r="I1639" s="7">
        <f t="shared" si="1"/>
        <v>15492</v>
      </c>
      <c r="J1639" s="7">
        <f t="shared" si="7"/>
        <v>13426.4</v>
      </c>
      <c r="K1639" s="7">
        <f t="shared" si="3"/>
        <v>13426.4</v>
      </c>
      <c r="L1639" s="7">
        <f t="shared" si="4"/>
        <v>12393.6</v>
      </c>
      <c r="M1639" s="7">
        <f t="shared" si="5"/>
        <v>11877.2</v>
      </c>
      <c r="N1639" s="7">
        <f t="shared" si="6"/>
        <v>11360.8</v>
      </c>
    </row>
    <row r="1640">
      <c r="A1640" s="5" t="s">
        <v>3149</v>
      </c>
      <c r="B1640" s="6"/>
      <c r="C1640" s="6"/>
      <c r="D1640" s="5" t="s">
        <v>3244</v>
      </c>
      <c r="E1640" s="5" t="s">
        <v>3245</v>
      </c>
      <c r="F1640" s="6"/>
      <c r="G1640" s="8">
        <v>46416.0</v>
      </c>
      <c r="H1640" s="5" t="s">
        <v>22</v>
      </c>
      <c r="I1640" s="7">
        <f t="shared" si="1"/>
        <v>69624</v>
      </c>
      <c r="J1640" s="7">
        <f t="shared" si="7"/>
        <v>60340.8</v>
      </c>
      <c r="K1640" s="7">
        <f t="shared" si="3"/>
        <v>60340.8</v>
      </c>
      <c r="L1640" s="7">
        <f t="shared" si="4"/>
        <v>55699.2</v>
      </c>
      <c r="M1640" s="7">
        <f t="shared" si="5"/>
        <v>53378.4</v>
      </c>
      <c r="N1640" s="7">
        <f t="shared" si="6"/>
        <v>51057.6</v>
      </c>
    </row>
    <row r="1641">
      <c r="A1641" s="5" t="s">
        <v>3149</v>
      </c>
      <c r="B1641" s="6"/>
      <c r="C1641" s="6"/>
      <c r="D1641" s="5" t="s">
        <v>3246</v>
      </c>
      <c r="E1641" s="5" t="s">
        <v>3247</v>
      </c>
      <c r="F1641" s="6"/>
      <c r="G1641" s="8">
        <v>31075.0</v>
      </c>
      <c r="H1641" s="5" t="s">
        <v>22</v>
      </c>
      <c r="I1641" s="7">
        <f t="shared" si="1"/>
        <v>46612.5</v>
      </c>
      <c r="J1641" s="7">
        <f t="shared" si="7"/>
        <v>40397.5</v>
      </c>
      <c r="K1641" s="7">
        <f t="shared" si="3"/>
        <v>40397.5</v>
      </c>
      <c r="L1641" s="7">
        <f t="shared" si="4"/>
        <v>37290</v>
      </c>
      <c r="M1641" s="7">
        <f t="shared" si="5"/>
        <v>35736.25</v>
      </c>
      <c r="N1641" s="7">
        <f t="shared" si="6"/>
        <v>34182.5</v>
      </c>
    </row>
    <row r="1642">
      <c r="A1642" s="5" t="s">
        <v>3149</v>
      </c>
      <c r="B1642" s="6"/>
      <c r="C1642" s="6"/>
      <c r="D1642" s="5" t="s">
        <v>3248</v>
      </c>
      <c r="E1642" s="5" t="s">
        <v>3249</v>
      </c>
      <c r="F1642" s="6"/>
      <c r="G1642" s="8">
        <v>40313.0</v>
      </c>
      <c r="H1642" s="5" t="s">
        <v>22</v>
      </c>
      <c r="I1642" s="7">
        <f t="shared" si="1"/>
        <v>60469.5</v>
      </c>
      <c r="J1642" s="7">
        <f t="shared" si="7"/>
        <v>52406.9</v>
      </c>
      <c r="K1642" s="7">
        <f t="shared" si="3"/>
        <v>52406.9</v>
      </c>
      <c r="L1642" s="7">
        <f t="shared" si="4"/>
        <v>48375.6</v>
      </c>
      <c r="M1642" s="7">
        <f t="shared" si="5"/>
        <v>46359.95</v>
      </c>
      <c r="N1642" s="7">
        <f t="shared" si="6"/>
        <v>44344.3</v>
      </c>
    </row>
    <row r="1643">
      <c r="A1643" s="5" t="s">
        <v>3149</v>
      </c>
      <c r="B1643" s="6"/>
      <c r="C1643" s="6"/>
      <c r="D1643" s="5" t="s">
        <v>3250</v>
      </c>
      <c r="E1643" s="5" t="s">
        <v>3251</v>
      </c>
      <c r="F1643" s="6"/>
      <c r="G1643" s="8">
        <v>13399.0</v>
      </c>
      <c r="H1643" s="5" t="s">
        <v>22</v>
      </c>
      <c r="I1643" s="7">
        <f t="shared" si="1"/>
        <v>20098.5</v>
      </c>
      <c r="J1643" s="7">
        <f t="shared" si="7"/>
        <v>17418.7</v>
      </c>
      <c r="K1643" s="7">
        <f t="shared" si="3"/>
        <v>17418.7</v>
      </c>
      <c r="L1643" s="7">
        <f t="shared" si="4"/>
        <v>16078.8</v>
      </c>
      <c r="M1643" s="7">
        <f t="shared" si="5"/>
        <v>15408.85</v>
      </c>
      <c r="N1643" s="7">
        <f t="shared" si="6"/>
        <v>14738.9</v>
      </c>
    </row>
    <row r="1644">
      <c r="A1644" s="5" t="s">
        <v>3149</v>
      </c>
      <c r="B1644" s="6"/>
      <c r="C1644" s="6"/>
      <c r="D1644" s="5" t="s">
        <v>3252</v>
      </c>
      <c r="E1644" s="5" t="s">
        <v>3253</v>
      </c>
      <c r="F1644" s="6"/>
      <c r="G1644" s="8">
        <v>247395.0</v>
      </c>
      <c r="H1644" s="5" t="s">
        <v>22</v>
      </c>
      <c r="I1644" s="7">
        <f t="shared" si="1"/>
        <v>371092.5</v>
      </c>
      <c r="J1644" s="7">
        <f t="shared" si="7"/>
        <v>321613.5</v>
      </c>
      <c r="K1644" s="7">
        <f t="shared" si="3"/>
        <v>321613.5</v>
      </c>
      <c r="L1644" s="7">
        <f t="shared" si="4"/>
        <v>296874</v>
      </c>
      <c r="M1644" s="7">
        <f t="shared" si="5"/>
        <v>284504.25</v>
      </c>
      <c r="N1644" s="7">
        <f t="shared" si="6"/>
        <v>272134.5</v>
      </c>
    </row>
    <row r="1645">
      <c r="A1645" s="5" t="s">
        <v>3149</v>
      </c>
      <c r="B1645" s="6"/>
      <c r="C1645" s="6"/>
      <c r="D1645" s="5" t="s">
        <v>3254</v>
      </c>
      <c r="E1645" s="5" t="s">
        <v>3255</v>
      </c>
      <c r="F1645" s="6"/>
      <c r="G1645" s="8">
        <v>8092.0</v>
      </c>
      <c r="H1645" s="5" t="s">
        <v>22</v>
      </c>
      <c r="I1645" s="7">
        <f t="shared" si="1"/>
        <v>12138</v>
      </c>
      <c r="J1645" s="7">
        <f t="shared" si="7"/>
        <v>10519.6</v>
      </c>
      <c r="K1645" s="7">
        <f t="shared" si="3"/>
        <v>10519.6</v>
      </c>
      <c r="L1645" s="7">
        <f t="shared" si="4"/>
        <v>9710.4</v>
      </c>
      <c r="M1645" s="7">
        <f t="shared" si="5"/>
        <v>9305.8</v>
      </c>
      <c r="N1645" s="7">
        <f t="shared" si="6"/>
        <v>8901.2</v>
      </c>
    </row>
    <row r="1646">
      <c r="A1646" s="5" t="s">
        <v>3149</v>
      </c>
      <c r="B1646" s="6"/>
      <c r="C1646" s="6"/>
      <c r="D1646" s="5" t="s">
        <v>3256</v>
      </c>
      <c r="E1646" s="5" t="s">
        <v>3257</v>
      </c>
      <c r="F1646" s="6"/>
      <c r="G1646" s="8">
        <v>3645.0</v>
      </c>
      <c r="H1646" s="5" t="s">
        <v>22</v>
      </c>
      <c r="I1646" s="7">
        <f t="shared" si="1"/>
        <v>5467.5</v>
      </c>
      <c r="J1646" s="7">
        <f t="shared" si="7"/>
        <v>4738.5</v>
      </c>
      <c r="K1646" s="7">
        <f t="shared" si="3"/>
        <v>4738.5</v>
      </c>
      <c r="L1646" s="7">
        <f t="shared" si="4"/>
        <v>4374</v>
      </c>
      <c r="M1646" s="7">
        <f t="shared" si="5"/>
        <v>4191.75</v>
      </c>
      <c r="N1646" s="7">
        <f t="shared" si="6"/>
        <v>4009.5</v>
      </c>
    </row>
    <row r="1647">
      <c r="A1647" s="5" t="s">
        <v>3149</v>
      </c>
      <c r="B1647" s="6"/>
      <c r="C1647" s="6"/>
      <c r="D1647" s="5" t="s">
        <v>3258</v>
      </c>
      <c r="E1647" s="5" t="s">
        <v>3259</v>
      </c>
      <c r="F1647" s="6"/>
      <c r="G1647" s="8">
        <v>6425.0</v>
      </c>
      <c r="H1647" s="5" t="s">
        <v>22</v>
      </c>
      <c r="I1647" s="7">
        <f t="shared" si="1"/>
        <v>9637.5</v>
      </c>
      <c r="J1647" s="7">
        <f t="shared" si="7"/>
        <v>8352.5</v>
      </c>
      <c r="K1647" s="7">
        <f t="shared" si="3"/>
        <v>8352.5</v>
      </c>
      <c r="L1647" s="7">
        <f t="shared" si="4"/>
        <v>7710</v>
      </c>
      <c r="M1647" s="7">
        <f t="shared" si="5"/>
        <v>7388.75</v>
      </c>
      <c r="N1647" s="7">
        <f t="shared" si="6"/>
        <v>7067.5</v>
      </c>
    </row>
    <row r="1648">
      <c r="A1648" s="5" t="s">
        <v>3149</v>
      </c>
      <c r="B1648" s="6"/>
      <c r="C1648" s="6"/>
      <c r="D1648" s="5" t="s">
        <v>3260</v>
      </c>
      <c r="E1648" s="5" t="s">
        <v>3261</v>
      </c>
      <c r="F1648" s="6"/>
      <c r="G1648" s="8">
        <v>64213.0</v>
      </c>
      <c r="H1648" s="5" t="s">
        <v>22</v>
      </c>
      <c r="I1648" s="7">
        <f t="shared" si="1"/>
        <v>96319.5</v>
      </c>
      <c r="J1648" s="7">
        <f t="shared" si="7"/>
        <v>83476.9</v>
      </c>
      <c r="K1648" s="7">
        <f t="shared" si="3"/>
        <v>83476.9</v>
      </c>
      <c r="L1648" s="7">
        <f t="shared" si="4"/>
        <v>77055.6</v>
      </c>
      <c r="M1648" s="7">
        <f t="shared" si="5"/>
        <v>73844.95</v>
      </c>
      <c r="N1648" s="7">
        <f t="shared" si="6"/>
        <v>70634.3</v>
      </c>
    </row>
    <row r="1649">
      <c r="A1649" s="5" t="s">
        <v>3262</v>
      </c>
      <c r="B1649" s="6"/>
      <c r="C1649" s="6"/>
      <c r="D1649" s="5" t="s">
        <v>3263</v>
      </c>
      <c r="E1649" s="6"/>
      <c r="F1649" s="6"/>
      <c r="G1649" s="8">
        <v>1885.73</v>
      </c>
      <c r="H1649" s="5" t="s">
        <v>22</v>
      </c>
      <c r="I1649" s="7">
        <f t="shared" si="1"/>
        <v>2828.595</v>
      </c>
      <c r="J1649" s="7">
        <f t="shared" si="7"/>
        <v>2451.449</v>
      </c>
      <c r="K1649" s="7">
        <f t="shared" si="3"/>
        <v>2451.449</v>
      </c>
      <c r="L1649" s="7">
        <f t="shared" si="4"/>
        <v>2262.876</v>
      </c>
      <c r="M1649" s="7">
        <f t="shared" si="5"/>
        <v>2168.5895</v>
      </c>
      <c r="N1649" s="7">
        <f t="shared" si="6"/>
        <v>2074.303</v>
      </c>
    </row>
    <row r="1650">
      <c r="A1650" s="5" t="s">
        <v>3262</v>
      </c>
      <c r="B1650" s="6"/>
      <c r="C1650" s="6"/>
      <c r="D1650" s="5" t="s">
        <v>3264</v>
      </c>
      <c r="E1650" s="6"/>
      <c r="F1650" s="6"/>
      <c r="G1650" s="8">
        <v>3902.98</v>
      </c>
      <c r="H1650" s="5" t="s">
        <v>22</v>
      </c>
      <c r="I1650" s="7">
        <f t="shared" si="1"/>
        <v>5854.47</v>
      </c>
      <c r="J1650" s="7">
        <f t="shared" si="7"/>
        <v>5073.874</v>
      </c>
      <c r="K1650" s="7">
        <f t="shared" si="3"/>
        <v>5073.874</v>
      </c>
      <c r="L1650" s="7">
        <f t="shared" si="4"/>
        <v>4683.576</v>
      </c>
      <c r="M1650" s="7">
        <f t="shared" si="5"/>
        <v>4488.427</v>
      </c>
      <c r="N1650" s="7">
        <f t="shared" si="6"/>
        <v>4293.278</v>
      </c>
    </row>
    <row r="1651">
      <c r="A1651" s="5" t="s">
        <v>3262</v>
      </c>
      <c r="B1651" s="6"/>
      <c r="C1651" s="6"/>
      <c r="D1651" s="5" t="s">
        <v>3265</v>
      </c>
      <c r="E1651" s="6"/>
      <c r="F1651" s="6"/>
      <c r="G1651" s="8">
        <v>2456.16</v>
      </c>
      <c r="H1651" s="5" t="s">
        <v>22</v>
      </c>
      <c r="I1651" s="7">
        <f t="shared" si="1"/>
        <v>3684.24</v>
      </c>
      <c r="J1651" s="7">
        <f t="shared" si="7"/>
        <v>3193.008</v>
      </c>
      <c r="K1651" s="7">
        <f t="shared" si="3"/>
        <v>3193.008</v>
      </c>
      <c r="L1651" s="7">
        <f t="shared" si="4"/>
        <v>2947.392</v>
      </c>
      <c r="M1651" s="7">
        <f t="shared" si="5"/>
        <v>2824.584</v>
      </c>
      <c r="N1651" s="7">
        <f t="shared" si="6"/>
        <v>2701.776</v>
      </c>
    </row>
    <row r="1652">
      <c r="A1652" s="5" t="s">
        <v>3262</v>
      </c>
      <c r="B1652" s="6"/>
      <c r="C1652" s="6"/>
      <c r="D1652" s="14">
        <v>767377.0</v>
      </c>
      <c r="E1652" s="6"/>
      <c r="F1652" s="6"/>
      <c r="G1652" s="8">
        <v>15449.28</v>
      </c>
      <c r="H1652" s="5" t="s">
        <v>22</v>
      </c>
      <c r="I1652" s="7">
        <f t="shared" si="1"/>
        <v>23173.92</v>
      </c>
      <c r="J1652" s="7">
        <f t="shared" si="7"/>
        <v>20084.064</v>
      </c>
      <c r="K1652" s="7">
        <f t="shared" si="3"/>
        <v>20084.064</v>
      </c>
      <c r="L1652" s="7">
        <f t="shared" si="4"/>
        <v>18539.136</v>
      </c>
      <c r="M1652" s="7">
        <f t="shared" si="5"/>
        <v>17766.672</v>
      </c>
      <c r="N1652" s="7">
        <f t="shared" si="6"/>
        <v>16994.208</v>
      </c>
    </row>
    <row r="1653">
      <c r="A1653" s="5" t="s">
        <v>3262</v>
      </c>
      <c r="B1653" s="6"/>
      <c r="C1653" s="6"/>
      <c r="D1653" s="14">
        <v>767408.0</v>
      </c>
      <c r="E1653" s="6"/>
      <c r="F1653" s="6"/>
      <c r="G1653" s="8">
        <v>17888.64</v>
      </c>
      <c r="H1653" s="5" t="s">
        <v>22</v>
      </c>
      <c r="I1653" s="7">
        <f t="shared" si="1"/>
        <v>26832.96</v>
      </c>
      <c r="J1653" s="7">
        <f t="shared" si="7"/>
        <v>23255.232</v>
      </c>
      <c r="K1653" s="7">
        <f t="shared" si="3"/>
        <v>23255.232</v>
      </c>
      <c r="L1653" s="7">
        <f t="shared" si="4"/>
        <v>21466.368</v>
      </c>
      <c r="M1653" s="7">
        <f t="shared" si="5"/>
        <v>20571.936</v>
      </c>
      <c r="N1653" s="7">
        <f t="shared" si="6"/>
        <v>19677.504</v>
      </c>
    </row>
    <row r="1654">
      <c r="A1654" s="5" t="s">
        <v>3262</v>
      </c>
      <c r="B1654" s="6"/>
      <c r="C1654" s="6"/>
      <c r="D1654" s="14">
        <v>767436.0</v>
      </c>
      <c r="E1654" s="6"/>
      <c r="F1654" s="6"/>
      <c r="G1654" s="8">
        <v>19514.88</v>
      </c>
      <c r="H1654" s="5" t="s">
        <v>22</v>
      </c>
      <c r="I1654" s="7">
        <f t="shared" si="1"/>
        <v>29272.32</v>
      </c>
      <c r="J1654" s="7">
        <f t="shared" si="7"/>
        <v>25369.344</v>
      </c>
      <c r="K1654" s="7">
        <f t="shared" si="3"/>
        <v>25369.344</v>
      </c>
      <c r="L1654" s="7">
        <f t="shared" si="4"/>
        <v>23417.856</v>
      </c>
      <c r="M1654" s="7">
        <f t="shared" si="5"/>
        <v>22442.112</v>
      </c>
      <c r="N1654" s="7">
        <f t="shared" si="6"/>
        <v>21466.368</v>
      </c>
    </row>
    <row r="1655">
      <c r="A1655" s="5" t="s">
        <v>3262</v>
      </c>
      <c r="B1655" s="6"/>
      <c r="C1655" s="6"/>
      <c r="D1655" s="14">
        <v>767467.0</v>
      </c>
      <c r="E1655" s="6"/>
      <c r="F1655" s="6"/>
      <c r="G1655" s="8">
        <v>5203.97</v>
      </c>
      <c r="H1655" s="5" t="s">
        <v>22</v>
      </c>
      <c r="I1655" s="7">
        <f t="shared" si="1"/>
        <v>7805.955</v>
      </c>
      <c r="J1655" s="7">
        <f t="shared" si="7"/>
        <v>6765.161</v>
      </c>
      <c r="K1655" s="7">
        <f t="shared" si="3"/>
        <v>6765.161</v>
      </c>
      <c r="L1655" s="7">
        <f t="shared" si="4"/>
        <v>6244.764</v>
      </c>
      <c r="M1655" s="7">
        <f t="shared" si="5"/>
        <v>5984.5655</v>
      </c>
      <c r="N1655" s="7">
        <f t="shared" si="6"/>
        <v>5724.367</v>
      </c>
    </row>
    <row r="1656">
      <c r="A1656" s="5" t="s">
        <v>3262</v>
      </c>
      <c r="B1656" s="6"/>
      <c r="C1656" s="6"/>
      <c r="D1656" s="5" t="s">
        <v>3266</v>
      </c>
      <c r="E1656" s="6"/>
      <c r="F1656" s="6"/>
      <c r="G1656" s="8">
        <v>8781.7</v>
      </c>
      <c r="H1656" s="5" t="s">
        <v>22</v>
      </c>
      <c r="I1656" s="7">
        <f t="shared" si="1"/>
        <v>13172.55</v>
      </c>
      <c r="J1656" s="7">
        <f t="shared" si="7"/>
        <v>11416.21</v>
      </c>
      <c r="K1656" s="7">
        <f t="shared" si="3"/>
        <v>11416.21</v>
      </c>
      <c r="L1656" s="7">
        <f t="shared" si="4"/>
        <v>10538.04</v>
      </c>
      <c r="M1656" s="7">
        <f t="shared" si="5"/>
        <v>10098.955</v>
      </c>
      <c r="N1656" s="7">
        <f t="shared" si="6"/>
        <v>9659.87</v>
      </c>
    </row>
    <row r="1657">
      <c r="A1657" s="5" t="s">
        <v>3262</v>
      </c>
      <c r="B1657" s="6"/>
      <c r="C1657" s="6"/>
      <c r="D1657" s="14">
        <v>767742.0</v>
      </c>
      <c r="E1657" s="6"/>
      <c r="F1657" s="6"/>
      <c r="G1657" s="8">
        <v>26019.84</v>
      </c>
      <c r="H1657" s="5" t="s">
        <v>22</v>
      </c>
      <c r="I1657" s="7">
        <f t="shared" si="1"/>
        <v>39029.76</v>
      </c>
      <c r="J1657" s="7">
        <f t="shared" si="7"/>
        <v>33825.792</v>
      </c>
      <c r="K1657" s="7">
        <f t="shared" si="3"/>
        <v>33825.792</v>
      </c>
      <c r="L1657" s="7">
        <f t="shared" si="4"/>
        <v>31223.808</v>
      </c>
      <c r="M1657" s="7">
        <f t="shared" si="5"/>
        <v>29922.816</v>
      </c>
      <c r="N1657" s="7">
        <f t="shared" si="6"/>
        <v>28621.824</v>
      </c>
    </row>
    <row r="1658">
      <c r="A1658" s="5" t="s">
        <v>3262</v>
      </c>
      <c r="B1658" s="6"/>
      <c r="C1658" s="6"/>
      <c r="D1658" s="14">
        <v>767773.0</v>
      </c>
      <c r="E1658" s="6"/>
      <c r="F1658" s="6"/>
      <c r="G1658" s="8">
        <v>6179.71</v>
      </c>
      <c r="H1658" s="5" t="s">
        <v>22</v>
      </c>
      <c r="I1658" s="7">
        <f t="shared" si="1"/>
        <v>9269.565</v>
      </c>
      <c r="J1658" s="7">
        <f t="shared" si="7"/>
        <v>8033.623</v>
      </c>
      <c r="K1658" s="7">
        <f t="shared" si="3"/>
        <v>8033.623</v>
      </c>
      <c r="L1658" s="7">
        <f t="shared" si="4"/>
        <v>7415.652</v>
      </c>
      <c r="M1658" s="7">
        <f t="shared" si="5"/>
        <v>7106.6665</v>
      </c>
      <c r="N1658" s="7">
        <f t="shared" si="6"/>
        <v>6797.681</v>
      </c>
    </row>
    <row r="1659">
      <c r="A1659" s="5" t="s">
        <v>3262</v>
      </c>
      <c r="B1659" s="6"/>
      <c r="C1659" s="6"/>
      <c r="D1659" s="9">
        <v>768015.0</v>
      </c>
      <c r="E1659" s="6"/>
      <c r="F1659" s="6"/>
      <c r="G1659" s="8">
        <v>26591.24</v>
      </c>
      <c r="H1659" s="5" t="s">
        <v>22</v>
      </c>
      <c r="I1659" s="7">
        <f t="shared" si="1"/>
        <v>39886.86</v>
      </c>
      <c r="J1659" s="7">
        <f t="shared" si="7"/>
        <v>34568.612</v>
      </c>
      <c r="K1659" s="7">
        <f t="shared" si="3"/>
        <v>34568.612</v>
      </c>
      <c r="L1659" s="7">
        <f t="shared" si="4"/>
        <v>31909.488</v>
      </c>
      <c r="M1659" s="7">
        <f t="shared" si="5"/>
        <v>30579.926</v>
      </c>
      <c r="N1659" s="7">
        <f t="shared" si="6"/>
        <v>29250.364</v>
      </c>
    </row>
    <row r="1660">
      <c r="A1660" s="5" t="s">
        <v>3262</v>
      </c>
      <c r="B1660" s="6"/>
      <c r="C1660" s="6"/>
      <c r="D1660" s="14">
        <v>768197.0</v>
      </c>
      <c r="E1660" s="6"/>
      <c r="F1660" s="6"/>
      <c r="G1660" s="8">
        <v>19819.43</v>
      </c>
      <c r="H1660" s="5" t="s">
        <v>22</v>
      </c>
      <c r="I1660" s="7">
        <f t="shared" si="1"/>
        <v>29729.145</v>
      </c>
      <c r="J1660" s="7">
        <f t="shared" si="7"/>
        <v>25765.259</v>
      </c>
      <c r="K1660" s="7">
        <f t="shared" si="3"/>
        <v>25765.259</v>
      </c>
      <c r="L1660" s="7">
        <f t="shared" si="4"/>
        <v>23783.316</v>
      </c>
      <c r="M1660" s="7">
        <f t="shared" si="5"/>
        <v>22792.3445</v>
      </c>
      <c r="N1660" s="7">
        <f t="shared" si="6"/>
        <v>21801.373</v>
      </c>
    </row>
    <row r="1661">
      <c r="A1661" s="5" t="s">
        <v>3262</v>
      </c>
      <c r="B1661" s="6"/>
      <c r="C1661" s="6"/>
      <c r="D1661" s="14">
        <v>768227.0</v>
      </c>
      <c r="E1661" s="6"/>
      <c r="F1661" s="6"/>
      <c r="G1661" s="8">
        <v>22258.79</v>
      </c>
      <c r="H1661" s="5" t="s">
        <v>22</v>
      </c>
      <c r="I1661" s="7">
        <f t="shared" si="1"/>
        <v>33388.185</v>
      </c>
      <c r="J1661" s="7">
        <f t="shared" si="7"/>
        <v>28936.427</v>
      </c>
      <c r="K1661" s="7">
        <f t="shared" si="3"/>
        <v>28936.427</v>
      </c>
      <c r="L1661" s="7">
        <f t="shared" si="4"/>
        <v>26710.548</v>
      </c>
      <c r="M1661" s="7">
        <f t="shared" si="5"/>
        <v>25597.6085</v>
      </c>
      <c r="N1661" s="7">
        <f t="shared" si="6"/>
        <v>24484.669</v>
      </c>
    </row>
    <row r="1662">
      <c r="A1662" s="5" t="s">
        <v>3262</v>
      </c>
      <c r="B1662" s="6"/>
      <c r="C1662" s="6"/>
      <c r="D1662" s="14">
        <v>768258.0</v>
      </c>
      <c r="E1662" s="6"/>
      <c r="F1662" s="6"/>
      <c r="G1662" s="8">
        <v>23885.03</v>
      </c>
      <c r="H1662" s="5" t="s">
        <v>22</v>
      </c>
      <c r="I1662" s="7">
        <f t="shared" si="1"/>
        <v>35827.545</v>
      </c>
      <c r="J1662" s="7">
        <f t="shared" si="7"/>
        <v>31050.539</v>
      </c>
      <c r="K1662" s="7">
        <f t="shared" si="3"/>
        <v>31050.539</v>
      </c>
      <c r="L1662" s="7">
        <f t="shared" si="4"/>
        <v>28662.036</v>
      </c>
      <c r="M1662" s="7">
        <f t="shared" si="5"/>
        <v>27467.7845</v>
      </c>
      <c r="N1662" s="7">
        <f t="shared" si="6"/>
        <v>26273.533</v>
      </c>
    </row>
    <row r="1663">
      <c r="A1663" s="5" t="s">
        <v>3262</v>
      </c>
      <c r="B1663" s="6"/>
      <c r="C1663" s="6"/>
      <c r="D1663" s="5" t="s">
        <v>3267</v>
      </c>
      <c r="E1663" s="6"/>
      <c r="F1663" s="6"/>
      <c r="G1663" s="8">
        <v>3410.0</v>
      </c>
      <c r="H1663" s="5" t="s">
        <v>22</v>
      </c>
      <c r="I1663" s="7">
        <f t="shared" si="1"/>
        <v>5115</v>
      </c>
      <c r="J1663" s="7">
        <f t="shared" si="7"/>
        <v>4433</v>
      </c>
      <c r="K1663" s="7">
        <f t="shared" si="3"/>
        <v>4433</v>
      </c>
      <c r="L1663" s="7">
        <f t="shared" si="4"/>
        <v>4092</v>
      </c>
      <c r="M1663" s="7">
        <f t="shared" si="5"/>
        <v>3921.5</v>
      </c>
      <c r="N1663" s="7">
        <f t="shared" si="6"/>
        <v>3751</v>
      </c>
    </row>
    <row r="1664">
      <c r="A1664" s="5" t="s">
        <v>3262</v>
      </c>
      <c r="B1664" s="6"/>
      <c r="C1664" s="6"/>
      <c r="D1664" s="14">
        <v>768593.0</v>
      </c>
      <c r="E1664" s="6"/>
      <c r="F1664" s="6"/>
      <c r="G1664" s="8">
        <v>20187.92</v>
      </c>
      <c r="H1664" s="5" t="s">
        <v>22</v>
      </c>
      <c r="I1664" s="7">
        <f t="shared" si="1"/>
        <v>30281.88</v>
      </c>
      <c r="J1664" s="7">
        <f t="shared" si="7"/>
        <v>26244.296</v>
      </c>
      <c r="K1664" s="7">
        <f t="shared" si="3"/>
        <v>26244.296</v>
      </c>
      <c r="L1664" s="7">
        <f t="shared" si="4"/>
        <v>24225.504</v>
      </c>
      <c r="M1664" s="7">
        <f t="shared" si="5"/>
        <v>23216.108</v>
      </c>
      <c r="N1664" s="7">
        <f t="shared" si="6"/>
        <v>22206.712</v>
      </c>
    </row>
    <row r="1665">
      <c r="A1665" s="5" t="s">
        <v>3262</v>
      </c>
      <c r="B1665" s="6"/>
      <c r="C1665" s="6"/>
      <c r="D1665" s="14">
        <v>768624.0</v>
      </c>
      <c r="E1665" s="6"/>
      <c r="F1665" s="6"/>
      <c r="G1665" s="8">
        <v>22322.36</v>
      </c>
      <c r="H1665" s="5" t="s">
        <v>22</v>
      </c>
      <c r="I1665" s="7">
        <f t="shared" si="1"/>
        <v>33483.54</v>
      </c>
      <c r="J1665" s="7">
        <f t="shared" si="7"/>
        <v>29019.068</v>
      </c>
      <c r="K1665" s="7">
        <f t="shared" si="3"/>
        <v>29019.068</v>
      </c>
      <c r="L1665" s="7">
        <f t="shared" si="4"/>
        <v>26786.832</v>
      </c>
      <c r="M1665" s="7">
        <f t="shared" si="5"/>
        <v>25670.714</v>
      </c>
      <c r="N1665" s="7">
        <f t="shared" si="6"/>
        <v>24554.596</v>
      </c>
    </row>
    <row r="1666">
      <c r="A1666" s="5" t="s">
        <v>3262</v>
      </c>
      <c r="B1666" s="6"/>
      <c r="C1666" s="6"/>
      <c r="D1666" s="14">
        <v>768654.0</v>
      </c>
      <c r="E1666" s="6"/>
      <c r="F1666" s="6"/>
      <c r="G1666" s="8">
        <v>23745.32</v>
      </c>
      <c r="H1666" s="5" t="s">
        <v>22</v>
      </c>
      <c r="I1666" s="7">
        <f t="shared" si="1"/>
        <v>35617.98</v>
      </c>
      <c r="J1666" s="7">
        <f t="shared" si="7"/>
        <v>30868.916</v>
      </c>
      <c r="K1666" s="7">
        <f t="shared" si="3"/>
        <v>30868.916</v>
      </c>
      <c r="L1666" s="7">
        <f t="shared" si="4"/>
        <v>28494.384</v>
      </c>
      <c r="M1666" s="7">
        <f t="shared" si="5"/>
        <v>27307.118</v>
      </c>
      <c r="N1666" s="7">
        <f t="shared" si="6"/>
        <v>26119.852</v>
      </c>
    </row>
    <row r="1667">
      <c r="A1667" s="5" t="s">
        <v>3262</v>
      </c>
      <c r="B1667" s="6"/>
      <c r="C1667" s="6"/>
      <c r="D1667" s="14">
        <v>768685.0</v>
      </c>
      <c r="E1667" s="6"/>
      <c r="F1667" s="6"/>
      <c r="G1667" s="8">
        <v>29437.16</v>
      </c>
      <c r="H1667" s="5" t="s">
        <v>22</v>
      </c>
      <c r="I1667" s="7">
        <f t="shared" si="1"/>
        <v>44155.74</v>
      </c>
      <c r="J1667" s="7">
        <f t="shared" si="7"/>
        <v>38268.308</v>
      </c>
      <c r="K1667" s="7">
        <f t="shared" si="3"/>
        <v>38268.308</v>
      </c>
      <c r="L1667" s="7">
        <f t="shared" si="4"/>
        <v>35324.592</v>
      </c>
      <c r="M1667" s="7">
        <f t="shared" si="5"/>
        <v>33852.734</v>
      </c>
      <c r="N1667" s="7">
        <f t="shared" si="6"/>
        <v>32380.876</v>
      </c>
    </row>
    <row r="1668">
      <c r="A1668" s="5" t="s">
        <v>3262</v>
      </c>
      <c r="B1668" s="6"/>
      <c r="C1668" s="6"/>
      <c r="D1668" s="14">
        <v>768716.0</v>
      </c>
      <c r="E1668" s="6"/>
      <c r="F1668" s="6"/>
      <c r="G1668" s="8">
        <v>21406.49</v>
      </c>
      <c r="H1668" s="5" t="s">
        <v>22</v>
      </c>
      <c r="I1668" s="7">
        <f t="shared" si="1"/>
        <v>32109.735</v>
      </c>
      <c r="J1668" s="7">
        <f t="shared" si="7"/>
        <v>27828.437</v>
      </c>
      <c r="K1668" s="7">
        <f t="shared" si="3"/>
        <v>27828.437</v>
      </c>
      <c r="L1668" s="7">
        <f t="shared" si="4"/>
        <v>25687.788</v>
      </c>
      <c r="M1668" s="7">
        <f t="shared" si="5"/>
        <v>24617.4635</v>
      </c>
      <c r="N1668" s="7">
        <f t="shared" si="6"/>
        <v>23547.139</v>
      </c>
    </row>
    <row r="1669">
      <c r="A1669" s="5" t="s">
        <v>3262</v>
      </c>
      <c r="B1669" s="6"/>
      <c r="C1669" s="6"/>
      <c r="D1669" s="5" t="s">
        <v>3268</v>
      </c>
      <c r="E1669" s="6"/>
      <c r="F1669" s="6"/>
      <c r="G1669" s="8">
        <v>19662.72</v>
      </c>
      <c r="H1669" s="5" t="s">
        <v>22</v>
      </c>
      <c r="I1669" s="7">
        <f t="shared" si="1"/>
        <v>29494.08</v>
      </c>
      <c r="J1669" s="7">
        <f t="shared" si="7"/>
        <v>25561.536</v>
      </c>
      <c r="K1669" s="7">
        <f t="shared" si="3"/>
        <v>25561.536</v>
      </c>
      <c r="L1669" s="7">
        <f t="shared" si="4"/>
        <v>23595.264</v>
      </c>
      <c r="M1669" s="7">
        <f t="shared" si="5"/>
        <v>22612.128</v>
      </c>
      <c r="N1669" s="7">
        <f t="shared" si="6"/>
        <v>21628.992</v>
      </c>
    </row>
    <row r="1670">
      <c r="A1670" s="5" t="s">
        <v>3262</v>
      </c>
      <c r="B1670" s="6"/>
      <c r="C1670" s="6"/>
      <c r="D1670" s="5" t="s">
        <v>3269</v>
      </c>
      <c r="E1670" s="6"/>
      <c r="F1670" s="6"/>
      <c r="G1670" s="8">
        <v>3272.81</v>
      </c>
      <c r="H1670" s="5" t="s">
        <v>22</v>
      </c>
      <c r="I1670" s="7">
        <f t="shared" si="1"/>
        <v>4909.215</v>
      </c>
      <c r="J1670" s="7">
        <f t="shared" si="7"/>
        <v>4254.653</v>
      </c>
      <c r="K1670" s="7">
        <f t="shared" si="3"/>
        <v>4254.653</v>
      </c>
      <c r="L1670" s="7">
        <f t="shared" si="4"/>
        <v>3927.372</v>
      </c>
      <c r="M1670" s="7">
        <f t="shared" si="5"/>
        <v>3763.7315</v>
      </c>
      <c r="N1670" s="7">
        <f t="shared" si="6"/>
        <v>3600.091</v>
      </c>
    </row>
    <row r="1671">
      <c r="A1671" s="5" t="s">
        <v>3262</v>
      </c>
      <c r="B1671" s="6"/>
      <c r="C1671" s="6"/>
      <c r="D1671" s="5" t="s">
        <v>3270</v>
      </c>
      <c r="E1671" s="6"/>
      <c r="F1671" s="6"/>
      <c r="G1671" s="8">
        <v>3272.81</v>
      </c>
      <c r="H1671" s="5" t="s">
        <v>22</v>
      </c>
      <c r="I1671" s="7">
        <f t="shared" si="1"/>
        <v>4909.215</v>
      </c>
      <c r="J1671" s="7">
        <f t="shared" si="7"/>
        <v>4254.653</v>
      </c>
      <c r="K1671" s="7">
        <f t="shared" si="3"/>
        <v>4254.653</v>
      </c>
      <c r="L1671" s="7">
        <f t="shared" si="4"/>
        <v>3927.372</v>
      </c>
      <c r="M1671" s="7">
        <f t="shared" si="5"/>
        <v>3763.7315</v>
      </c>
      <c r="N1671" s="7">
        <f t="shared" si="6"/>
        <v>3600.091</v>
      </c>
    </row>
    <row r="1672">
      <c r="A1672" s="5" t="s">
        <v>3262</v>
      </c>
      <c r="B1672" s="6"/>
      <c r="C1672" s="6"/>
      <c r="D1672" s="5" t="s">
        <v>3271</v>
      </c>
      <c r="E1672" s="6"/>
      <c r="F1672" s="6"/>
      <c r="G1672" s="8">
        <v>20697.6</v>
      </c>
      <c r="H1672" s="5" t="s">
        <v>22</v>
      </c>
      <c r="I1672" s="7">
        <f t="shared" si="1"/>
        <v>31046.4</v>
      </c>
      <c r="J1672" s="7">
        <f t="shared" si="7"/>
        <v>26906.88</v>
      </c>
      <c r="K1672" s="7">
        <f t="shared" si="3"/>
        <v>26906.88</v>
      </c>
      <c r="L1672" s="7">
        <f t="shared" si="4"/>
        <v>24837.12</v>
      </c>
      <c r="M1672" s="7">
        <f t="shared" si="5"/>
        <v>23802.24</v>
      </c>
      <c r="N1672" s="7">
        <f t="shared" si="6"/>
        <v>22767.36</v>
      </c>
    </row>
    <row r="1673">
      <c r="A1673" s="5" t="s">
        <v>3262</v>
      </c>
      <c r="B1673" s="6"/>
      <c r="C1673" s="6"/>
      <c r="D1673" s="5" t="s">
        <v>3272</v>
      </c>
      <c r="E1673" s="6"/>
      <c r="F1673" s="6"/>
      <c r="G1673" s="5">
        <v>452.76</v>
      </c>
      <c r="H1673" s="5" t="s">
        <v>22</v>
      </c>
      <c r="I1673" s="7">
        <f t="shared" si="1"/>
        <v>679.14</v>
      </c>
      <c r="J1673" s="7">
        <f t="shared" si="7"/>
        <v>588.588</v>
      </c>
      <c r="K1673" s="7">
        <f t="shared" si="3"/>
        <v>588.588</v>
      </c>
      <c r="L1673" s="7">
        <f t="shared" si="4"/>
        <v>543.312</v>
      </c>
      <c r="M1673" s="7">
        <f t="shared" si="5"/>
        <v>520.674</v>
      </c>
      <c r="N1673" s="7">
        <f t="shared" si="6"/>
        <v>498.036</v>
      </c>
    </row>
    <row r="1674">
      <c r="A1674" s="5" t="s">
        <v>3262</v>
      </c>
      <c r="B1674" s="6"/>
      <c r="C1674" s="6"/>
      <c r="D1674" s="5" t="s">
        <v>3273</v>
      </c>
      <c r="E1674" s="6"/>
      <c r="F1674" s="6"/>
      <c r="G1674" s="8">
        <v>1166.83</v>
      </c>
      <c r="H1674" s="5" t="s">
        <v>22</v>
      </c>
      <c r="I1674" s="7">
        <f t="shared" si="1"/>
        <v>1750.245</v>
      </c>
      <c r="J1674" s="7">
        <f t="shared" si="7"/>
        <v>1516.879</v>
      </c>
      <c r="K1674" s="7">
        <f t="shared" si="3"/>
        <v>1516.879</v>
      </c>
      <c r="L1674" s="7">
        <f t="shared" si="4"/>
        <v>1400.196</v>
      </c>
      <c r="M1674" s="7">
        <f t="shared" si="5"/>
        <v>1341.8545</v>
      </c>
      <c r="N1674" s="7">
        <f t="shared" si="6"/>
        <v>1283.513</v>
      </c>
    </row>
    <row r="1675">
      <c r="A1675" s="5" t="s">
        <v>3262</v>
      </c>
      <c r="B1675" s="6"/>
      <c r="C1675" s="6"/>
      <c r="D1675" s="5" t="s">
        <v>3274</v>
      </c>
      <c r="E1675" s="6"/>
      <c r="F1675" s="6"/>
      <c r="G1675" s="8">
        <v>1359.57</v>
      </c>
      <c r="H1675" s="5" t="s">
        <v>22</v>
      </c>
      <c r="I1675" s="7">
        <f t="shared" si="1"/>
        <v>2039.355</v>
      </c>
      <c r="J1675" s="7">
        <f t="shared" si="7"/>
        <v>1767.441</v>
      </c>
      <c r="K1675" s="7">
        <f t="shared" si="3"/>
        <v>1767.441</v>
      </c>
      <c r="L1675" s="7">
        <f t="shared" si="4"/>
        <v>1631.484</v>
      </c>
      <c r="M1675" s="7">
        <f t="shared" si="5"/>
        <v>1563.5055</v>
      </c>
      <c r="N1675" s="7">
        <f t="shared" si="6"/>
        <v>1495.527</v>
      </c>
    </row>
    <row r="1676">
      <c r="A1676" s="5" t="s">
        <v>3262</v>
      </c>
      <c r="B1676" s="6"/>
      <c r="C1676" s="6"/>
      <c r="D1676" s="5" t="s">
        <v>3275</v>
      </c>
      <c r="E1676" s="6"/>
      <c r="F1676" s="6"/>
      <c r="G1676" s="8">
        <v>1192.7</v>
      </c>
      <c r="H1676" s="5" t="s">
        <v>22</v>
      </c>
      <c r="I1676" s="7">
        <f t="shared" si="1"/>
        <v>1789.05</v>
      </c>
      <c r="J1676" s="7">
        <f t="shared" si="7"/>
        <v>1550.51</v>
      </c>
      <c r="K1676" s="7">
        <f t="shared" si="3"/>
        <v>1550.51</v>
      </c>
      <c r="L1676" s="7">
        <f t="shared" si="4"/>
        <v>1431.24</v>
      </c>
      <c r="M1676" s="7">
        <f t="shared" si="5"/>
        <v>1371.605</v>
      </c>
      <c r="N1676" s="7">
        <f t="shared" si="6"/>
        <v>1311.97</v>
      </c>
    </row>
    <row r="1677">
      <c r="A1677" s="5" t="s">
        <v>3262</v>
      </c>
      <c r="B1677" s="6"/>
      <c r="C1677" s="6"/>
      <c r="D1677" s="5" t="s">
        <v>3276</v>
      </c>
      <c r="E1677" s="6"/>
      <c r="F1677" s="6"/>
      <c r="G1677" s="5">
        <v>905.52</v>
      </c>
      <c r="H1677" s="5" t="s">
        <v>22</v>
      </c>
      <c r="I1677" s="7">
        <f t="shared" si="1"/>
        <v>1358.28</v>
      </c>
      <c r="J1677" s="7">
        <f t="shared" si="7"/>
        <v>1177.176</v>
      </c>
      <c r="K1677" s="7">
        <f t="shared" si="3"/>
        <v>1177.176</v>
      </c>
      <c r="L1677" s="7">
        <f t="shared" si="4"/>
        <v>1086.624</v>
      </c>
      <c r="M1677" s="7">
        <f t="shared" si="5"/>
        <v>1041.348</v>
      </c>
      <c r="N1677" s="7">
        <f t="shared" si="6"/>
        <v>996.072</v>
      </c>
    </row>
    <row r="1678">
      <c r="A1678" s="5" t="s">
        <v>3262</v>
      </c>
      <c r="B1678" s="6"/>
      <c r="C1678" s="6"/>
      <c r="D1678" s="5" t="s">
        <v>3277</v>
      </c>
      <c r="E1678" s="6"/>
      <c r="F1678" s="6"/>
      <c r="G1678" s="8">
        <v>1138.37</v>
      </c>
      <c r="H1678" s="5" t="s">
        <v>22</v>
      </c>
      <c r="I1678" s="7">
        <f t="shared" si="1"/>
        <v>1707.555</v>
      </c>
      <c r="J1678" s="7">
        <f t="shared" si="7"/>
        <v>1479.881</v>
      </c>
      <c r="K1678" s="7">
        <f t="shared" si="3"/>
        <v>1479.881</v>
      </c>
      <c r="L1678" s="7">
        <f t="shared" si="4"/>
        <v>1366.044</v>
      </c>
      <c r="M1678" s="7">
        <f t="shared" si="5"/>
        <v>1309.1255</v>
      </c>
      <c r="N1678" s="7">
        <f t="shared" si="6"/>
        <v>1252.207</v>
      </c>
    </row>
    <row r="1679">
      <c r="A1679" s="5" t="s">
        <v>3262</v>
      </c>
      <c r="B1679" s="6"/>
      <c r="C1679" s="6"/>
      <c r="D1679" s="5" t="s">
        <v>3278</v>
      </c>
      <c r="E1679" s="6"/>
      <c r="F1679" s="6"/>
      <c r="G1679" s="8">
        <v>1209.52</v>
      </c>
      <c r="H1679" s="5" t="s">
        <v>22</v>
      </c>
      <c r="I1679" s="7">
        <f t="shared" si="1"/>
        <v>1814.28</v>
      </c>
      <c r="J1679" s="7">
        <f t="shared" si="7"/>
        <v>1572.376</v>
      </c>
      <c r="K1679" s="7">
        <f t="shared" si="3"/>
        <v>1572.376</v>
      </c>
      <c r="L1679" s="7">
        <f t="shared" si="4"/>
        <v>1451.424</v>
      </c>
      <c r="M1679" s="7">
        <f t="shared" si="5"/>
        <v>1390.948</v>
      </c>
      <c r="N1679" s="7">
        <f t="shared" si="6"/>
        <v>1330.472</v>
      </c>
    </row>
    <row r="1680">
      <c r="A1680" s="5" t="s">
        <v>3262</v>
      </c>
      <c r="B1680" s="6"/>
      <c r="C1680" s="6"/>
      <c r="D1680" s="5" t="s">
        <v>3279</v>
      </c>
      <c r="E1680" s="6"/>
      <c r="F1680" s="6"/>
      <c r="G1680" s="8">
        <v>2703.62</v>
      </c>
      <c r="H1680" s="5" t="s">
        <v>22</v>
      </c>
      <c r="I1680" s="7">
        <f t="shared" si="1"/>
        <v>4055.43</v>
      </c>
      <c r="J1680" s="7">
        <f t="shared" si="7"/>
        <v>3514.706</v>
      </c>
      <c r="K1680" s="7">
        <f t="shared" si="3"/>
        <v>3514.706</v>
      </c>
      <c r="L1680" s="7">
        <f t="shared" si="4"/>
        <v>3244.344</v>
      </c>
      <c r="M1680" s="7">
        <f t="shared" si="5"/>
        <v>3109.163</v>
      </c>
      <c r="N1680" s="7">
        <f t="shared" si="6"/>
        <v>2973.982</v>
      </c>
    </row>
    <row r="1681">
      <c r="A1681" s="5" t="s">
        <v>3262</v>
      </c>
      <c r="B1681" s="6"/>
      <c r="C1681" s="6"/>
      <c r="D1681" s="5" t="s">
        <v>3280</v>
      </c>
      <c r="E1681" s="6"/>
      <c r="F1681" s="6"/>
      <c r="G1681" s="5">
        <v>924.92</v>
      </c>
      <c r="H1681" s="5" t="s">
        <v>22</v>
      </c>
      <c r="I1681" s="7">
        <f t="shared" si="1"/>
        <v>1387.38</v>
      </c>
      <c r="J1681" s="7">
        <f t="shared" si="7"/>
        <v>1202.396</v>
      </c>
      <c r="K1681" s="7">
        <f t="shared" si="3"/>
        <v>1202.396</v>
      </c>
      <c r="L1681" s="7">
        <f t="shared" si="4"/>
        <v>1109.904</v>
      </c>
      <c r="M1681" s="7">
        <f t="shared" si="5"/>
        <v>1063.658</v>
      </c>
      <c r="N1681" s="7">
        <f t="shared" si="6"/>
        <v>1017.412</v>
      </c>
    </row>
    <row r="1682">
      <c r="A1682" s="5" t="s">
        <v>3262</v>
      </c>
      <c r="B1682" s="6"/>
      <c r="C1682" s="6"/>
      <c r="D1682" s="5" t="s">
        <v>3281</v>
      </c>
      <c r="E1682" s="6"/>
      <c r="F1682" s="6"/>
      <c r="G1682" s="5">
        <v>142.3</v>
      </c>
      <c r="H1682" s="5" t="s">
        <v>22</v>
      </c>
      <c r="I1682" s="7">
        <f t="shared" si="1"/>
        <v>213.45</v>
      </c>
      <c r="J1682" s="7">
        <f t="shared" si="7"/>
        <v>184.99</v>
      </c>
      <c r="K1682" s="7">
        <f t="shared" si="3"/>
        <v>184.99</v>
      </c>
      <c r="L1682" s="7">
        <f t="shared" si="4"/>
        <v>170.76</v>
      </c>
      <c r="M1682" s="7">
        <f t="shared" si="5"/>
        <v>163.645</v>
      </c>
      <c r="N1682" s="7">
        <f t="shared" si="6"/>
        <v>156.53</v>
      </c>
    </row>
    <row r="1683">
      <c r="A1683" s="5" t="s">
        <v>3262</v>
      </c>
      <c r="B1683" s="6"/>
      <c r="C1683" s="6"/>
      <c r="D1683" s="5" t="s">
        <v>3282</v>
      </c>
      <c r="E1683" s="6"/>
      <c r="F1683" s="6"/>
      <c r="G1683" s="8">
        <v>3984.29</v>
      </c>
      <c r="H1683" s="5" t="s">
        <v>22</v>
      </c>
      <c r="I1683" s="7">
        <f t="shared" si="1"/>
        <v>5976.435</v>
      </c>
      <c r="J1683" s="7">
        <f t="shared" si="7"/>
        <v>5179.577</v>
      </c>
      <c r="K1683" s="7">
        <f t="shared" si="3"/>
        <v>5179.577</v>
      </c>
      <c r="L1683" s="7">
        <f t="shared" si="4"/>
        <v>4781.148</v>
      </c>
      <c r="M1683" s="7">
        <f t="shared" si="5"/>
        <v>4581.9335</v>
      </c>
      <c r="N1683" s="7">
        <f t="shared" si="6"/>
        <v>4382.719</v>
      </c>
    </row>
    <row r="1684">
      <c r="A1684" s="5" t="s">
        <v>3262</v>
      </c>
      <c r="B1684" s="6"/>
      <c r="C1684" s="6"/>
      <c r="D1684" s="5" t="s">
        <v>3283</v>
      </c>
      <c r="E1684" s="6"/>
      <c r="F1684" s="6"/>
      <c r="G1684" s="8">
        <v>1262.55</v>
      </c>
      <c r="H1684" s="5" t="s">
        <v>22</v>
      </c>
      <c r="I1684" s="7">
        <f t="shared" si="1"/>
        <v>1893.825</v>
      </c>
      <c r="J1684" s="7">
        <f t="shared" si="7"/>
        <v>1641.315</v>
      </c>
      <c r="K1684" s="7">
        <f t="shared" si="3"/>
        <v>1641.315</v>
      </c>
      <c r="L1684" s="7">
        <f t="shared" si="4"/>
        <v>1515.06</v>
      </c>
      <c r="M1684" s="7">
        <f t="shared" si="5"/>
        <v>1451.9325</v>
      </c>
      <c r="N1684" s="7">
        <f t="shared" si="6"/>
        <v>1388.805</v>
      </c>
    </row>
    <row r="1685">
      <c r="A1685" s="5" t="s">
        <v>3262</v>
      </c>
      <c r="B1685" s="6"/>
      <c r="C1685" s="6"/>
      <c r="D1685" s="5" t="s">
        <v>3284</v>
      </c>
      <c r="E1685" s="6"/>
      <c r="F1685" s="6"/>
      <c r="G1685" s="5">
        <v>170.76</v>
      </c>
      <c r="H1685" s="5" t="s">
        <v>22</v>
      </c>
      <c r="I1685" s="7">
        <f t="shared" si="1"/>
        <v>256.14</v>
      </c>
      <c r="J1685" s="7">
        <f t="shared" si="7"/>
        <v>221.988</v>
      </c>
      <c r="K1685" s="7">
        <f t="shared" si="3"/>
        <v>221.988</v>
      </c>
      <c r="L1685" s="7">
        <f t="shared" si="4"/>
        <v>204.912</v>
      </c>
      <c r="M1685" s="7">
        <f t="shared" si="5"/>
        <v>196.374</v>
      </c>
      <c r="N1685" s="7">
        <f t="shared" si="6"/>
        <v>187.836</v>
      </c>
    </row>
    <row r="1686">
      <c r="A1686" s="5" t="s">
        <v>3262</v>
      </c>
      <c r="B1686" s="6"/>
      <c r="C1686" s="6"/>
      <c r="D1686" s="5" t="s">
        <v>3285</v>
      </c>
      <c r="E1686" s="6"/>
      <c r="F1686" s="6"/>
      <c r="G1686" s="5">
        <v>192.75</v>
      </c>
      <c r="H1686" s="5" t="s">
        <v>22</v>
      </c>
      <c r="I1686" s="7">
        <f t="shared" si="1"/>
        <v>289.125</v>
      </c>
      <c r="J1686" s="7">
        <f t="shared" si="7"/>
        <v>250.575</v>
      </c>
      <c r="K1686" s="7">
        <f t="shared" si="3"/>
        <v>250.575</v>
      </c>
      <c r="L1686" s="7">
        <f t="shared" si="4"/>
        <v>231.3</v>
      </c>
      <c r="M1686" s="7">
        <f t="shared" si="5"/>
        <v>221.6625</v>
      </c>
      <c r="N1686" s="7">
        <f t="shared" si="6"/>
        <v>212.025</v>
      </c>
    </row>
    <row r="1687">
      <c r="A1687" s="5" t="s">
        <v>3262</v>
      </c>
      <c r="B1687" s="6"/>
      <c r="C1687" s="6"/>
      <c r="D1687" s="5" t="s">
        <v>3286</v>
      </c>
      <c r="E1687" s="6"/>
      <c r="F1687" s="6"/>
      <c r="G1687" s="5">
        <v>192.75</v>
      </c>
      <c r="H1687" s="5" t="s">
        <v>22</v>
      </c>
      <c r="I1687" s="7">
        <f t="shared" si="1"/>
        <v>289.125</v>
      </c>
      <c r="J1687" s="7">
        <f t="shared" si="7"/>
        <v>250.575</v>
      </c>
      <c r="K1687" s="7">
        <f t="shared" si="3"/>
        <v>250.575</v>
      </c>
      <c r="L1687" s="7">
        <f t="shared" si="4"/>
        <v>231.3</v>
      </c>
      <c r="M1687" s="7">
        <f t="shared" si="5"/>
        <v>221.6625</v>
      </c>
      <c r="N1687" s="7">
        <f t="shared" si="6"/>
        <v>212.025</v>
      </c>
    </row>
    <row r="1688">
      <c r="A1688" s="5" t="s">
        <v>3262</v>
      </c>
      <c r="B1688" s="6"/>
      <c r="C1688" s="6"/>
      <c r="D1688" s="14">
        <v>1497921.0</v>
      </c>
      <c r="E1688" s="6"/>
      <c r="F1688" s="6"/>
      <c r="G1688" s="8">
        <v>4268.88</v>
      </c>
      <c r="H1688" s="5" t="s">
        <v>22</v>
      </c>
      <c r="I1688" s="7">
        <f t="shared" si="1"/>
        <v>6403.32</v>
      </c>
      <c r="J1688" s="7">
        <f t="shared" si="7"/>
        <v>5549.544</v>
      </c>
      <c r="K1688" s="7">
        <f t="shared" si="3"/>
        <v>5549.544</v>
      </c>
      <c r="L1688" s="7">
        <f t="shared" si="4"/>
        <v>5122.656</v>
      </c>
      <c r="M1688" s="7">
        <f t="shared" si="5"/>
        <v>4909.212</v>
      </c>
      <c r="N1688" s="7">
        <f t="shared" si="6"/>
        <v>4695.768</v>
      </c>
    </row>
    <row r="1689">
      <c r="A1689" s="5" t="s">
        <v>3262</v>
      </c>
      <c r="B1689" s="6"/>
      <c r="C1689" s="6"/>
      <c r="D1689" s="14">
        <v>1497952.0</v>
      </c>
      <c r="E1689" s="6"/>
      <c r="F1689" s="6"/>
      <c r="G1689" s="8">
        <v>2328.48</v>
      </c>
      <c r="H1689" s="5" t="s">
        <v>22</v>
      </c>
      <c r="I1689" s="7">
        <f t="shared" si="1"/>
        <v>3492.72</v>
      </c>
      <c r="J1689" s="7">
        <f t="shared" si="7"/>
        <v>3027.024</v>
      </c>
      <c r="K1689" s="7">
        <f t="shared" si="3"/>
        <v>3027.024</v>
      </c>
      <c r="L1689" s="7">
        <f t="shared" si="4"/>
        <v>2794.176</v>
      </c>
      <c r="M1689" s="7">
        <f t="shared" si="5"/>
        <v>2677.752</v>
      </c>
      <c r="N1689" s="7">
        <f t="shared" si="6"/>
        <v>2561.328</v>
      </c>
    </row>
    <row r="1690">
      <c r="A1690" s="5" t="s">
        <v>3262</v>
      </c>
      <c r="B1690" s="6"/>
      <c r="C1690" s="6"/>
      <c r="D1690" s="14">
        <v>1498013.0</v>
      </c>
      <c r="E1690" s="6"/>
      <c r="F1690" s="6"/>
      <c r="G1690" s="8">
        <v>7114.8</v>
      </c>
      <c r="H1690" s="5" t="s">
        <v>22</v>
      </c>
      <c r="I1690" s="7">
        <f t="shared" si="1"/>
        <v>10672.2</v>
      </c>
      <c r="J1690" s="7">
        <f t="shared" si="7"/>
        <v>9249.24</v>
      </c>
      <c r="K1690" s="7">
        <f t="shared" si="3"/>
        <v>9249.24</v>
      </c>
      <c r="L1690" s="7">
        <f t="shared" si="4"/>
        <v>8537.76</v>
      </c>
      <c r="M1690" s="7">
        <f t="shared" si="5"/>
        <v>8182.02</v>
      </c>
      <c r="N1690" s="7">
        <f t="shared" si="6"/>
        <v>7826.28</v>
      </c>
    </row>
    <row r="1691">
      <c r="A1691" s="5" t="s">
        <v>3262</v>
      </c>
      <c r="B1691" s="6"/>
      <c r="C1691" s="6"/>
      <c r="D1691" s="14">
        <v>1498043.0</v>
      </c>
      <c r="E1691" s="6"/>
      <c r="F1691" s="6"/>
      <c r="G1691" s="8">
        <v>2910.6</v>
      </c>
      <c r="H1691" s="5" t="s">
        <v>22</v>
      </c>
      <c r="I1691" s="7">
        <f t="shared" si="1"/>
        <v>4365.9</v>
      </c>
      <c r="J1691" s="7">
        <f t="shared" si="7"/>
        <v>3783.78</v>
      </c>
      <c r="K1691" s="7">
        <f t="shared" si="3"/>
        <v>3783.78</v>
      </c>
      <c r="L1691" s="7">
        <f t="shared" si="4"/>
        <v>3492.72</v>
      </c>
      <c r="M1691" s="7">
        <f t="shared" si="5"/>
        <v>3347.19</v>
      </c>
      <c r="N1691" s="7">
        <f t="shared" si="6"/>
        <v>3201.66</v>
      </c>
    </row>
    <row r="1692">
      <c r="A1692" s="5" t="s">
        <v>3262</v>
      </c>
      <c r="B1692" s="6"/>
      <c r="C1692" s="6"/>
      <c r="D1692" s="14">
        <v>1498074.0</v>
      </c>
      <c r="E1692" s="6"/>
      <c r="F1692" s="6"/>
      <c r="G1692" s="8">
        <v>17075.52</v>
      </c>
      <c r="H1692" s="5" t="s">
        <v>22</v>
      </c>
      <c r="I1692" s="7">
        <f t="shared" si="1"/>
        <v>25613.28</v>
      </c>
      <c r="J1692" s="7">
        <f t="shared" si="7"/>
        <v>22198.176</v>
      </c>
      <c r="K1692" s="7">
        <f t="shared" si="3"/>
        <v>22198.176</v>
      </c>
      <c r="L1692" s="7">
        <f t="shared" si="4"/>
        <v>20490.624</v>
      </c>
      <c r="M1692" s="7">
        <f t="shared" si="5"/>
        <v>19636.848</v>
      </c>
      <c r="N1692" s="7">
        <f t="shared" si="6"/>
        <v>18783.072</v>
      </c>
    </row>
    <row r="1693">
      <c r="A1693" s="5" t="s">
        <v>3262</v>
      </c>
      <c r="B1693" s="6"/>
      <c r="C1693" s="6"/>
      <c r="D1693" s="14">
        <v>1498258.0</v>
      </c>
      <c r="E1693" s="6"/>
      <c r="F1693" s="6"/>
      <c r="G1693" s="8">
        <v>25869.41</v>
      </c>
      <c r="H1693" s="5" t="s">
        <v>22</v>
      </c>
      <c r="I1693" s="7">
        <f t="shared" si="1"/>
        <v>38804.115</v>
      </c>
      <c r="J1693" s="7">
        <f t="shared" si="7"/>
        <v>33630.233</v>
      </c>
      <c r="K1693" s="7">
        <f t="shared" si="3"/>
        <v>33630.233</v>
      </c>
      <c r="L1693" s="7">
        <f t="shared" si="4"/>
        <v>31043.292</v>
      </c>
      <c r="M1693" s="7">
        <f t="shared" si="5"/>
        <v>29749.8215</v>
      </c>
      <c r="N1693" s="7">
        <f t="shared" si="6"/>
        <v>28456.351</v>
      </c>
    </row>
    <row r="1694">
      <c r="A1694" s="5" t="s">
        <v>3262</v>
      </c>
      <c r="B1694" s="6"/>
      <c r="C1694" s="6"/>
      <c r="D1694" s="14">
        <v>1498317.0</v>
      </c>
      <c r="E1694" s="6"/>
      <c r="F1694" s="6"/>
      <c r="G1694" s="8">
        <v>6518.45</v>
      </c>
      <c r="H1694" s="5" t="s">
        <v>22</v>
      </c>
      <c r="I1694" s="7">
        <f t="shared" si="1"/>
        <v>9777.675</v>
      </c>
      <c r="J1694" s="7">
        <f t="shared" si="7"/>
        <v>8473.985</v>
      </c>
      <c r="K1694" s="7">
        <f t="shared" si="3"/>
        <v>8473.985</v>
      </c>
      <c r="L1694" s="7">
        <f t="shared" si="4"/>
        <v>7822.14</v>
      </c>
      <c r="M1694" s="7">
        <f t="shared" si="5"/>
        <v>7496.2175</v>
      </c>
      <c r="N1694" s="7">
        <f t="shared" si="6"/>
        <v>7170.295</v>
      </c>
    </row>
    <row r="1695">
      <c r="A1695" s="5" t="s">
        <v>3262</v>
      </c>
      <c r="B1695" s="6"/>
      <c r="C1695" s="6"/>
      <c r="D1695" s="9">
        <v>1498500.0</v>
      </c>
      <c r="E1695" s="6"/>
      <c r="F1695" s="6"/>
      <c r="G1695" s="8">
        <v>8727.92</v>
      </c>
      <c r="H1695" s="5" t="s">
        <v>22</v>
      </c>
      <c r="I1695" s="7">
        <f t="shared" si="1"/>
        <v>13091.88</v>
      </c>
      <c r="J1695" s="7">
        <f t="shared" si="7"/>
        <v>11346.296</v>
      </c>
      <c r="K1695" s="7">
        <f t="shared" si="3"/>
        <v>11346.296</v>
      </c>
      <c r="L1695" s="7">
        <f t="shared" si="4"/>
        <v>10473.504</v>
      </c>
      <c r="M1695" s="7">
        <f t="shared" si="5"/>
        <v>10037.108</v>
      </c>
      <c r="N1695" s="7">
        <f t="shared" si="6"/>
        <v>9600.712</v>
      </c>
    </row>
    <row r="1696">
      <c r="A1696" s="5" t="s">
        <v>3262</v>
      </c>
      <c r="B1696" s="6"/>
      <c r="C1696" s="6"/>
      <c r="D1696" s="14">
        <v>1498957.0</v>
      </c>
      <c r="E1696" s="6"/>
      <c r="F1696" s="6"/>
      <c r="G1696" s="8">
        <v>43666.76</v>
      </c>
      <c r="H1696" s="5" t="s">
        <v>22</v>
      </c>
      <c r="I1696" s="7">
        <f t="shared" si="1"/>
        <v>65500.14</v>
      </c>
      <c r="J1696" s="7">
        <f t="shared" si="7"/>
        <v>56766.788</v>
      </c>
      <c r="K1696" s="7">
        <f t="shared" si="3"/>
        <v>56766.788</v>
      </c>
      <c r="L1696" s="7">
        <f t="shared" si="4"/>
        <v>52400.112</v>
      </c>
      <c r="M1696" s="7">
        <f t="shared" si="5"/>
        <v>50216.774</v>
      </c>
      <c r="N1696" s="7">
        <f t="shared" si="6"/>
        <v>48033.436</v>
      </c>
    </row>
    <row r="1697">
      <c r="A1697" s="5" t="s">
        <v>3262</v>
      </c>
      <c r="B1697" s="6"/>
      <c r="C1697" s="6"/>
      <c r="D1697" s="14">
        <v>1499017.0</v>
      </c>
      <c r="E1697" s="6"/>
      <c r="F1697" s="6"/>
      <c r="G1697" s="8">
        <v>50045.86</v>
      </c>
      <c r="H1697" s="5" t="s">
        <v>22</v>
      </c>
      <c r="I1697" s="7">
        <f t="shared" si="1"/>
        <v>75068.79</v>
      </c>
      <c r="J1697" s="7">
        <f t="shared" si="7"/>
        <v>65059.618</v>
      </c>
      <c r="K1697" s="7">
        <f t="shared" si="3"/>
        <v>65059.618</v>
      </c>
      <c r="L1697" s="7">
        <f t="shared" si="4"/>
        <v>60055.032</v>
      </c>
      <c r="M1697" s="7">
        <f t="shared" si="5"/>
        <v>57552.739</v>
      </c>
      <c r="N1697" s="7">
        <f t="shared" si="6"/>
        <v>55050.446</v>
      </c>
    </row>
    <row r="1698">
      <c r="A1698" s="5" t="s">
        <v>3262</v>
      </c>
      <c r="B1698" s="6"/>
      <c r="C1698" s="6"/>
      <c r="D1698" s="5" t="s">
        <v>3287</v>
      </c>
      <c r="E1698" s="6"/>
      <c r="F1698" s="6"/>
      <c r="G1698" s="5">
        <v>967.61</v>
      </c>
      <c r="H1698" s="5" t="s">
        <v>22</v>
      </c>
      <c r="I1698" s="7">
        <f t="shared" si="1"/>
        <v>1451.415</v>
      </c>
      <c r="J1698" s="7">
        <f t="shared" si="7"/>
        <v>1257.893</v>
      </c>
      <c r="K1698" s="7">
        <f t="shared" si="3"/>
        <v>1257.893</v>
      </c>
      <c r="L1698" s="7">
        <f t="shared" si="4"/>
        <v>1161.132</v>
      </c>
      <c r="M1698" s="7">
        <f t="shared" si="5"/>
        <v>1112.7515</v>
      </c>
      <c r="N1698" s="7">
        <f t="shared" si="6"/>
        <v>1064.371</v>
      </c>
    </row>
    <row r="1699">
      <c r="A1699" s="5" t="s">
        <v>3262</v>
      </c>
      <c r="B1699" s="6"/>
      <c r="C1699" s="6"/>
      <c r="D1699" s="5" t="s">
        <v>3288</v>
      </c>
      <c r="E1699" s="6"/>
      <c r="F1699" s="6"/>
      <c r="G1699" s="8">
        <v>1109.91</v>
      </c>
      <c r="H1699" s="5" t="s">
        <v>22</v>
      </c>
      <c r="I1699" s="7">
        <f t="shared" si="1"/>
        <v>1664.865</v>
      </c>
      <c r="J1699" s="7">
        <f t="shared" si="7"/>
        <v>1442.883</v>
      </c>
      <c r="K1699" s="7">
        <f t="shared" si="3"/>
        <v>1442.883</v>
      </c>
      <c r="L1699" s="7">
        <f t="shared" si="4"/>
        <v>1331.892</v>
      </c>
      <c r="M1699" s="7">
        <f t="shared" si="5"/>
        <v>1276.3965</v>
      </c>
      <c r="N1699" s="7">
        <f t="shared" si="6"/>
        <v>1220.901</v>
      </c>
    </row>
    <row r="1700">
      <c r="A1700" s="5" t="s">
        <v>3262</v>
      </c>
      <c r="B1700" s="6"/>
      <c r="C1700" s="6"/>
      <c r="D1700" s="5" t="s">
        <v>3289</v>
      </c>
      <c r="E1700" s="6"/>
      <c r="F1700" s="6"/>
      <c r="G1700" s="8">
        <v>2632.48</v>
      </c>
      <c r="H1700" s="5" t="s">
        <v>22</v>
      </c>
      <c r="I1700" s="7">
        <f t="shared" si="1"/>
        <v>3948.72</v>
      </c>
      <c r="J1700" s="7">
        <f t="shared" si="7"/>
        <v>3422.224</v>
      </c>
      <c r="K1700" s="7">
        <f t="shared" si="3"/>
        <v>3422.224</v>
      </c>
      <c r="L1700" s="7">
        <f t="shared" si="4"/>
        <v>3158.976</v>
      </c>
      <c r="M1700" s="7">
        <f t="shared" si="5"/>
        <v>3027.352</v>
      </c>
      <c r="N1700" s="7">
        <f t="shared" si="6"/>
        <v>2895.728</v>
      </c>
    </row>
    <row r="1701">
      <c r="A1701" s="5" t="s">
        <v>3262</v>
      </c>
      <c r="B1701" s="6"/>
      <c r="C1701" s="6"/>
      <c r="D1701" s="5" t="s">
        <v>3290</v>
      </c>
      <c r="E1701" s="6"/>
      <c r="F1701" s="6"/>
      <c r="G1701" s="8">
        <v>2774.77</v>
      </c>
      <c r="H1701" s="5" t="s">
        <v>22</v>
      </c>
      <c r="I1701" s="7">
        <f t="shared" si="1"/>
        <v>4162.155</v>
      </c>
      <c r="J1701" s="7">
        <f t="shared" si="7"/>
        <v>3607.201</v>
      </c>
      <c r="K1701" s="7">
        <f t="shared" si="3"/>
        <v>3607.201</v>
      </c>
      <c r="L1701" s="7">
        <f t="shared" si="4"/>
        <v>3329.724</v>
      </c>
      <c r="M1701" s="7">
        <f t="shared" si="5"/>
        <v>3190.9855</v>
      </c>
      <c r="N1701" s="7">
        <f t="shared" si="6"/>
        <v>3052.247</v>
      </c>
    </row>
    <row r="1702">
      <c r="A1702" s="5" t="s">
        <v>3262</v>
      </c>
      <c r="B1702" s="6"/>
      <c r="C1702" s="6"/>
      <c r="D1702" s="5" t="s">
        <v>3291</v>
      </c>
      <c r="E1702" s="6"/>
      <c r="F1702" s="6"/>
      <c r="G1702" s="8">
        <v>2561.33</v>
      </c>
      <c r="H1702" s="5" t="s">
        <v>22</v>
      </c>
      <c r="I1702" s="7">
        <f t="shared" si="1"/>
        <v>3841.995</v>
      </c>
      <c r="J1702" s="7">
        <f t="shared" si="7"/>
        <v>3329.729</v>
      </c>
      <c r="K1702" s="7">
        <f t="shared" si="3"/>
        <v>3329.729</v>
      </c>
      <c r="L1702" s="7">
        <f t="shared" si="4"/>
        <v>3073.596</v>
      </c>
      <c r="M1702" s="7">
        <f t="shared" si="5"/>
        <v>2945.5295</v>
      </c>
      <c r="N1702" s="7">
        <f t="shared" si="6"/>
        <v>2817.463</v>
      </c>
    </row>
    <row r="1703">
      <c r="A1703" s="5" t="s">
        <v>3262</v>
      </c>
      <c r="B1703" s="6"/>
      <c r="C1703" s="6"/>
      <c r="D1703" s="5" t="s">
        <v>3292</v>
      </c>
      <c r="E1703" s="6"/>
      <c r="F1703" s="6"/>
      <c r="G1703" s="8">
        <v>2845.92</v>
      </c>
      <c r="H1703" s="5" t="s">
        <v>22</v>
      </c>
      <c r="I1703" s="7">
        <f t="shared" si="1"/>
        <v>4268.88</v>
      </c>
      <c r="J1703" s="7">
        <f t="shared" si="7"/>
        <v>3699.696</v>
      </c>
      <c r="K1703" s="7">
        <f t="shared" si="3"/>
        <v>3699.696</v>
      </c>
      <c r="L1703" s="7">
        <f t="shared" si="4"/>
        <v>3415.104</v>
      </c>
      <c r="M1703" s="7">
        <f t="shared" si="5"/>
        <v>3272.808</v>
      </c>
      <c r="N1703" s="7">
        <f t="shared" si="6"/>
        <v>3130.512</v>
      </c>
    </row>
    <row r="1704">
      <c r="A1704" s="5" t="s">
        <v>3262</v>
      </c>
      <c r="B1704" s="6"/>
      <c r="C1704" s="6"/>
      <c r="D1704" s="5" t="s">
        <v>3293</v>
      </c>
      <c r="E1704" s="6"/>
      <c r="F1704" s="6"/>
      <c r="G1704" s="8">
        <v>2561.33</v>
      </c>
      <c r="H1704" s="5" t="s">
        <v>22</v>
      </c>
      <c r="I1704" s="7">
        <f t="shared" si="1"/>
        <v>3841.995</v>
      </c>
      <c r="J1704" s="7">
        <f t="shared" si="7"/>
        <v>3329.729</v>
      </c>
      <c r="K1704" s="7">
        <f t="shared" si="3"/>
        <v>3329.729</v>
      </c>
      <c r="L1704" s="7">
        <f t="shared" si="4"/>
        <v>3073.596</v>
      </c>
      <c r="M1704" s="7">
        <f t="shared" si="5"/>
        <v>2945.5295</v>
      </c>
      <c r="N1704" s="7">
        <f t="shared" si="6"/>
        <v>2817.463</v>
      </c>
    </row>
    <row r="1705">
      <c r="A1705" s="5" t="s">
        <v>3262</v>
      </c>
      <c r="B1705" s="6"/>
      <c r="C1705" s="6"/>
      <c r="D1705" s="5" t="s">
        <v>3294</v>
      </c>
      <c r="E1705" s="6"/>
      <c r="F1705" s="6"/>
      <c r="G1705" s="8">
        <v>2988.22</v>
      </c>
      <c r="H1705" s="5" t="s">
        <v>22</v>
      </c>
      <c r="I1705" s="7">
        <f t="shared" si="1"/>
        <v>4482.33</v>
      </c>
      <c r="J1705" s="7">
        <f t="shared" si="7"/>
        <v>3884.686</v>
      </c>
      <c r="K1705" s="7">
        <f t="shared" si="3"/>
        <v>3884.686</v>
      </c>
      <c r="L1705" s="7">
        <f t="shared" si="4"/>
        <v>3585.864</v>
      </c>
      <c r="M1705" s="7">
        <f t="shared" si="5"/>
        <v>3436.453</v>
      </c>
      <c r="N1705" s="7">
        <f t="shared" si="6"/>
        <v>3287.042</v>
      </c>
    </row>
    <row r="1706">
      <c r="A1706" s="5" t="s">
        <v>3262</v>
      </c>
      <c r="B1706" s="6"/>
      <c r="C1706" s="6"/>
      <c r="D1706" s="5" t="s">
        <v>3295</v>
      </c>
      <c r="E1706" s="6"/>
      <c r="F1706" s="6"/>
      <c r="G1706" s="8">
        <v>2774.77</v>
      </c>
      <c r="H1706" s="5" t="s">
        <v>22</v>
      </c>
      <c r="I1706" s="7">
        <f t="shared" si="1"/>
        <v>4162.155</v>
      </c>
      <c r="J1706" s="7">
        <f t="shared" si="7"/>
        <v>3607.201</v>
      </c>
      <c r="K1706" s="7">
        <f t="shared" si="3"/>
        <v>3607.201</v>
      </c>
      <c r="L1706" s="7">
        <f t="shared" si="4"/>
        <v>3329.724</v>
      </c>
      <c r="M1706" s="7">
        <f t="shared" si="5"/>
        <v>3190.9855</v>
      </c>
      <c r="N1706" s="7">
        <f t="shared" si="6"/>
        <v>3052.247</v>
      </c>
    </row>
    <row r="1707">
      <c r="A1707" s="5" t="s">
        <v>3262</v>
      </c>
      <c r="B1707" s="6"/>
      <c r="C1707" s="6"/>
      <c r="D1707" s="5" t="s">
        <v>3296</v>
      </c>
      <c r="E1707" s="6"/>
      <c r="F1707" s="6"/>
      <c r="G1707" s="8">
        <v>4482.32</v>
      </c>
      <c r="H1707" s="5" t="s">
        <v>22</v>
      </c>
      <c r="I1707" s="7">
        <f t="shared" si="1"/>
        <v>6723.48</v>
      </c>
      <c r="J1707" s="7">
        <f t="shared" si="7"/>
        <v>5827.016</v>
      </c>
      <c r="K1707" s="7">
        <f t="shared" si="3"/>
        <v>5827.016</v>
      </c>
      <c r="L1707" s="7">
        <f t="shared" si="4"/>
        <v>5378.784</v>
      </c>
      <c r="M1707" s="7">
        <f t="shared" si="5"/>
        <v>5154.668</v>
      </c>
      <c r="N1707" s="7">
        <f t="shared" si="6"/>
        <v>4930.552</v>
      </c>
    </row>
    <row r="1708">
      <c r="A1708" s="5" t="s">
        <v>3262</v>
      </c>
      <c r="B1708" s="6"/>
      <c r="C1708" s="6"/>
      <c r="D1708" s="5" t="s">
        <v>3297</v>
      </c>
      <c r="E1708" s="6"/>
      <c r="F1708" s="6"/>
      <c r="G1708" s="8">
        <v>2276.74</v>
      </c>
      <c r="H1708" s="5" t="s">
        <v>22</v>
      </c>
      <c r="I1708" s="7">
        <f t="shared" si="1"/>
        <v>3415.11</v>
      </c>
      <c r="J1708" s="7">
        <f t="shared" si="7"/>
        <v>2959.762</v>
      </c>
      <c r="K1708" s="7">
        <f t="shared" si="3"/>
        <v>2959.762</v>
      </c>
      <c r="L1708" s="7">
        <f t="shared" si="4"/>
        <v>2732.088</v>
      </c>
      <c r="M1708" s="7">
        <f t="shared" si="5"/>
        <v>2618.251</v>
      </c>
      <c r="N1708" s="7">
        <f t="shared" si="6"/>
        <v>2504.414</v>
      </c>
    </row>
    <row r="1709">
      <c r="A1709" s="5" t="s">
        <v>3262</v>
      </c>
      <c r="B1709" s="6"/>
      <c r="C1709" s="6"/>
      <c r="D1709" s="5" t="s">
        <v>3298</v>
      </c>
      <c r="E1709" s="6"/>
      <c r="F1709" s="6"/>
      <c r="G1709" s="8">
        <v>1422.96</v>
      </c>
      <c r="H1709" s="5" t="s">
        <v>22</v>
      </c>
      <c r="I1709" s="7">
        <f t="shared" si="1"/>
        <v>2134.44</v>
      </c>
      <c r="J1709" s="7">
        <f t="shared" si="7"/>
        <v>1849.848</v>
      </c>
      <c r="K1709" s="7">
        <f t="shared" si="3"/>
        <v>1849.848</v>
      </c>
      <c r="L1709" s="7">
        <f t="shared" si="4"/>
        <v>1707.552</v>
      </c>
      <c r="M1709" s="7">
        <f t="shared" si="5"/>
        <v>1636.404</v>
      </c>
      <c r="N1709" s="7">
        <f t="shared" si="6"/>
        <v>1565.256</v>
      </c>
    </row>
    <row r="1710">
      <c r="A1710" s="5" t="s">
        <v>3262</v>
      </c>
      <c r="B1710" s="6"/>
      <c r="C1710" s="6"/>
      <c r="D1710" s="5" t="s">
        <v>3299</v>
      </c>
      <c r="E1710" s="6"/>
      <c r="F1710" s="6"/>
      <c r="G1710" s="5">
        <v>156.24</v>
      </c>
      <c r="H1710" s="5" t="s">
        <v>22</v>
      </c>
      <c r="I1710" s="7">
        <f t="shared" si="1"/>
        <v>234.36</v>
      </c>
      <c r="J1710" s="7">
        <f t="shared" si="7"/>
        <v>203.112</v>
      </c>
      <c r="K1710" s="7">
        <f t="shared" si="3"/>
        <v>203.112</v>
      </c>
      <c r="L1710" s="7">
        <f t="shared" si="4"/>
        <v>187.488</v>
      </c>
      <c r="M1710" s="7">
        <f t="shared" si="5"/>
        <v>179.676</v>
      </c>
      <c r="N1710" s="7">
        <f t="shared" si="6"/>
        <v>171.864</v>
      </c>
    </row>
    <row r="1711">
      <c r="A1711" s="5" t="s">
        <v>3262</v>
      </c>
      <c r="B1711" s="6"/>
      <c r="C1711" s="6"/>
      <c r="D1711" s="5" t="s">
        <v>3300</v>
      </c>
      <c r="E1711" s="6"/>
      <c r="F1711" s="6"/>
      <c r="G1711" s="8">
        <v>4268.88</v>
      </c>
      <c r="H1711" s="5" t="s">
        <v>22</v>
      </c>
      <c r="I1711" s="7">
        <f t="shared" si="1"/>
        <v>6403.32</v>
      </c>
      <c r="J1711" s="7">
        <f t="shared" si="7"/>
        <v>5549.544</v>
      </c>
      <c r="K1711" s="7">
        <f t="shared" si="3"/>
        <v>5549.544</v>
      </c>
      <c r="L1711" s="7">
        <f t="shared" si="4"/>
        <v>5122.656</v>
      </c>
      <c r="M1711" s="7">
        <f t="shared" si="5"/>
        <v>4909.212</v>
      </c>
      <c r="N1711" s="7">
        <f t="shared" si="6"/>
        <v>4695.768</v>
      </c>
    </row>
    <row r="1712">
      <c r="A1712" s="5" t="s">
        <v>3262</v>
      </c>
      <c r="B1712" s="6"/>
      <c r="C1712" s="6"/>
      <c r="D1712" s="5" t="s">
        <v>3301</v>
      </c>
      <c r="E1712" s="6"/>
      <c r="F1712" s="6"/>
      <c r="G1712" s="5">
        <v>186.28</v>
      </c>
      <c r="H1712" s="5" t="s">
        <v>22</v>
      </c>
      <c r="I1712" s="7">
        <f t="shared" si="1"/>
        <v>279.42</v>
      </c>
      <c r="J1712" s="7">
        <f t="shared" si="7"/>
        <v>242.164</v>
      </c>
      <c r="K1712" s="7">
        <f t="shared" si="3"/>
        <v>242.164</v>
      </c>
      <c r="L1712" s="7">
        <f t="shared" si="4"/>
        <v>223.536</v>
      </c>
      <c r="M1712" s="7">
        <f t="shared" si="5"/>
        <v>214.222</v>
      </c>
      <c r="N1712" s="7">
        <f t="shared" si="6"/>
        <v>204.908</v>
      </c>
    </row>
    <row r="1713">
      <c r="A1713" s="5" t="s">
        <v>3262</v>
      </c>
      <c r="B1713" s="6"/>
      <c r="C1713" s="6"/>
      <c r="D1713" s="5" t="s">
        <v>3302</v>
      </c>
      <c r="E1713" s="6"/>
      <c r="F1713" s="6"/>
      <c r="G1713" s="5">
        <v>170.76</v>
      </c>
      <c r="H1713" s="5" t="s">
        <v>22</v>
      </c>
      <c r="I1713" s="7">
        <f t="shared" si="1"/>
        <v>256.14</v>
      </c>
      <c r="J1713" s="7">
        <f t="shared" si="7"/>
        <v>221.988</v>
      </c>
      <c r="K1713" s="7">
        <f t="shared" si="3"/>
        <v>221.988</v>
      </c>
      <c r="L1713" s="7">
        <f t="shared" si="4"/>
        <v>204.912</v>
      </c>
      <c r="M1713" s="7">
        <f t="shared" si="5"/>
        <v>196.374</v>
      </c>
      <c r="N1713" s="7">
        <f t="shared" si="6"/>
        <v>187.836</v>
      </c>
    </row>
    <row r="1714">
      <c r="A1714" s="5" t="s">
        <v>3262</v>
      </c>
      <c r="B1714" s="6"/>
      <c r="C1714" s="6"/>
      <c r="D1714" s="5" t="s">
        <v>3303</v>
      </c>
      <c r="E1714" s="6"/>
      <c r="F1714" s="6"/>
      <c r="G1714" s="5">
        <v>170.76</v>
      </c>
      <c r="H1714" s="5" t="s">
        <v>22</v>
      </c>
      <c r="I1714" s="7">
        <f t="shared" si="1"/>
        <v>256.14</v>
      </c>
      <c r="J1714" s="7">
        <f t="shared" si="7"/>
        <v>221.988</v>
      </c>
      <c r="K1714" s="7">
        <f t="shared" si="3"/>
        <v>221.988</v>
      </c>
      <c r="L1714" s="7">
        <f t="shared" si="4"/>
        <v>204.912</v>
      </c>
      <c r="M1714" s="7">
        <f t="shared" si="5"/>
        <v>196.374</v>
      </c>
      <c r="N1714" s="7">
        <f t="shared" si="6"/>
        <v>187.836</v>
      </c>
    </row>
    <row r="1715">
      <c r="A1715" s="5" t="s">
        <v>3262</v>
      </c>
      <c r="B1715" s="6"/>
      <c r="C1715" s="6"/>
      <c r="D1715" s="5" t="s">
        <v>3304</v>
      </c>
      <c r="E1715" s="6"/>
      <c r="F1715" s="6"/>
      <c r="G1715" s="5">
        <v>228.97</v>
      </c>
      <c r="H1715" s="5" t="s">
        <v>22</v>
      </c>
      <c r="I1715" s="7">
        <f t="shared" si="1"/>
        <v>343.455</v>
      </c>
      <c r="J1715" s="7">
        <f t="shared" si="7"/>
        <v>297.661</v>
      </c>
      <c r="K1715" s="7">
        <f t="shared" si="3"/>
        <v>297.661</v>
      </c>
      <c r="L1715" s="7">
        <f t="shared" si="4"/>
        <v>274.764</v>
      </c>
      <c r="M1715" s="7">
        <f t="shared" si="5"/>
        <v>263.3155</v>
      </c>
      <c r="N1715" s="7">
        <f t="shared" si="6"/>
        <v>251.867</v>
      </c>
    </row>
    <row r="1716">
      <c r="A1716" s="5" t="s">
        <v>3262</v>
      </c>
      <c r="B1716" s="6"/>
      <c r="C1716" s="6"/>
      <c r="D1716" s="5" t="s">
        <v>3305</v>
      </c>
      <c r="E1716" s="6"/>
      <c r="F1716" s="6"/>
      <c r="G1716" s="5">
        <v>213.44</v>
      </c>
      <c r="H1716" s="5" t="s">
        <v>22</v>
      </c>
      <c r="I1716" s="7">
        <f t="shared" si="1"/>
        <v>320.16</v>
      </c>
      <c r="J1716" s="7">
        <f t="shared" si="7"/>
        <v>277.472</v>
      </c>
      <c r="K1716" s="7">
        <f t="shared" si="3"/>
        <v>277.472</v>
      </c>
      <c r="L1716" s="7">
        <f t="shared" si="4"/>
        <v>256.128</v>
      </c>
      <c r="M1716" s="7">
        <f t="shared" si="5"/>
        <v>245.456</v>
      </c>
      <c r="N1716" s="7">
        <f t="shared" si="6"/>
        <v>234.784</v>
      </c>
    </row>
    <row r="1717">
      <c r="A1717" s="5" t="s">
        <v>3262</v>
      </c>
      <c r="B1717" s="6"/>
      <c r="C1717" s="6"/>
      <c r="D1717" s="5" t="s">
        <v>3306</v>
      </c>
      <c r="E1717" s="6"/>
      <c r="F1717" s="6"/>
      <c r="G1717" s="5">
        <v>213.44</v>
      </c>
      <c r="H1717" s="5" t="s">
        <v>22</v>
      </c>
      <c r="I1717" s="7">
        <f t="shared" si="1"/>
        <v>320.16</v>
      </c>
      <c r="J1717" s="7">
        <f t="shared" si="7"/>
        <v>277.472</v>
      </c>
      <c r="K1717" s="7">
        <f t="shared" si="3"/>
        <v>277.472</v>
      </c>
      <c r="L1717" s="7">
        <f t="shared" si="4"/>
        <v>256.128</v>
      </c>
      <c r="M1717" s="7">
        <f t="shared" si="5"/>
        <v>245.456</v>
      </c>
      <c r="N1717" s="7">
        <f t="shared" si="6"/>
        <v>234.784</v>
      </c>
    </row>
    <row r="1718">
      <c r="A1718" s="5" t="s">
        <v>3262</v>
      </c>
      <c r="B1718" s="6"/>
      <c r="C1718" s="6"/>
      <c r="D1718" s="5" t="s">
        <v>3307</v>
      </c>
      <c r="E1718" s="6"/>
      <c r="F1718" s="6"/>
      <c r="G1718" s="8">
        <v>1940.4</v>
      </c>
      <c r="H1718" s="5" t="s">
        <v>22</v>
      </c>
      <c r="I1718" s="7">
        <f t="shared" si="1"/>
        <v>2910.6</v>
      </c>
      <c r="J1718" s="7">
        <f t="shared" si="7"/>
        <v>2522.52</v>
      </c>
      <c r="K1718" s="7">
        <f t="shared" si="3"/>
        <v>2522.52</v>
      </c>
      <c r="L1718" s="7">
        <f t="shared" si="4"/>
        <v>2328.48</v>
      </c>
      <c r="M1718" s="7">
        <f t="shared" si="5"/>
        <v>2231.46</v>
      </c>
      <c r="N1718" s="7">
        <f t="shared" si="6"/>
        <v>2134.44</v>
      </c>
    </row>
    <row r="1719">
      <c r="A1719" s="5" t="s">
        <v>3262</v>
      </c>
      <c r="B1719" s="6"/>
      <c r="C1719" s="6"/>
      <c r="D1719" s="5" t="s">
        <v>3308</v>
      </c>
      <c r="E1719" s="6"/>
      <c r="F1719" s="6"/>
      <c r="G1719" s="8">
        <v>1992.14</v>
      </c>
      <c r="H1719" s="5" t="s">
        <v>22</v>
      </c>
      <c r="I1719" s="7">
        <f t="shared" si="1"/>
        <v>2988.21</v>
      </c>
      <c r="J1719" s="7">
        <f t="shared" si="7"/>
        <v>2589.782</v>
      </c>
      <c r="K1719" s="7">
        <f t="shared" si="3"/>
        <v>2589.782</v>
      </c>
      <c r="L1719" s="7">
        <f t="shared" si="4"/>
        <v>2390.568</v>
      </c>
      <c r="M1719" s="7">
        <f t="shared" si="5"/>
        <v>2290.961</v>
      </c>
      <c r="N1719" s="7">
        <f t="shared" si="6"/>
        <v>2191.354</v>
      </c>
    </row>
    <row r="1720">
      <c r="A1720" s="5" t="s">
        <v>3262</v>
      </c>
      <c r="B1720" s="6"/>
      <c r="C1720" s="6"/>
      <c r="D1720" s="5" t="s">
        <v>3309</v>
      </c>
      <c r="E1720" s="6"/>
      <c r="F1720" s="6"/>
      <c r="G1720" s="5">
        <v>768.4</v>
      </c>
      <c r="H1720" s="5" t="s">
        <v>22</v>
      </c>
      <c r="I1720" s="7">
        <f t="shared" si="1"/>
        <v>1152.6</v>
      </c>
      <c r="J1720" s="7">
        <f t="shared" si="7"/>
        <v>998.92</v>
      </c>
      <c r="K1720" s="7">
        <f t="shared" si="3"/>
        <v>998.92</v>
      </c>
      <c r="L1720" s="7">
        <f t="shared" si="4"/>
        <v>922.08</v>
      </c>
      <c r="M1720" s="7">
        <f t="shared" si="5"/>
        <v>883.66</v>
      </c>
      <c r="N1720" s="7">
        <f t="shared" si="6"/>
        <v>845.24</v>
      </c>
    </row>
    <row r="1721">
      <c r="A1721" s="5" t="s">
        <v>3262</v>
      </c>
      <c r="B1721" s="6"/>
      <c r="C1721" s="6"/>
      <c r="D1721" s="5" t="s">
        <v>3310</v>
      </c>
      <c r="E1721" s="6"/>
      <c r="F1721" s="6"/>
      <c r="G1721" s="5">
        <v>782.63</v>
      </c>
      <c r="H1721" s="5" t="s">
        <v>22</v>
      </c>
      <c r="I1721" s="7">
        <f t="shared" si="1"/>
        <v>1173.945</v>
      </c>
      <c r="J1721" s="7">
        <f t="shared" si="7"/>
        <v>1017.419</v>
      </c>
      <c r="K1721" s="7">
        <f t="shared" si="3"/>
        <v>1017.419</v>
      </c>
      <c r="L1721" s="7">
        <f t="shared" si="4"/>
        <v>939.156</v>
      </c>
      <c r="M1721" s="7">
        <f t="shared" si="5"/>
        <v>900.0245</v>
      </c>
      <c r="N1721" s="7">
        <f t="shared" si="6"/>
        <v>860.893</v>
      </c>
    </row>
    <row r="1722">
      <c r="A1722" s="5" t="s">
        <v>3262</v>
      </c>
      <c r="B1722" s="6"/>
      <c r="C1722" s="6"/>
      <c r="D1722" s="5" t="s">
        <v>3311</v>
      </c>
      <c r="E1722" s="6"/>
      <c r="F1722" s="6"/>
      <c r="G1722" s="5">
        <v>825.32</v>
      </c>
      <c r="H1722" s="5" t="s">
        <v>22</v>
      </c>
      <c r="I1722" s="7">
        <f t="shared" si="1"/>
        <v>1237.98</v>
      </c>
      <c r="J1722" s="7">
        <f t="shared" si="7"/>
        <v>1072.916</v>
      </c>
      <c r="K1722" s="7">
        <f t="shared" si="3"/>
        <v>1072.916</v>
      </c>
      <c r="L1722" s="7">
        <f t="shared" si="4"/>
        <v>990.384</v>
      </c>
      <c r="M1722" s="7">
        <f t="shared" si="5"/>
        <v>949.118</v>
      </c>
      <c r="N1722" s="7">
        <f t="shared" si="6"/>
        <v>907.852</v>
      </c>
    </row>
    <row r="1723">
      <c r="A1723" s="5" t="s">
        <v>3262</v>
      </c>
      <c r="B1723" s="6"/>
      <c r="C1723" s="6"/>
      <c r="D1723" s="5" t="s">
        <v>3312</v>
      </c>
      <c r="E1723" s="6"/>
      <c r="F1723" s="6"/>
      <c r="G1723" s="5">
        <v>910.69</v>
      </c>
      <c r="H1723" s="5" t="s">
        <v>22</v>
      </c>
      <c r="I1723" s="7">
        <f t="shared" si="1"/>
        <v>1366.035</v>
      </c>
      <c r="J1723" s="7">
        <f t="shared" si="7"/>
        <v>1183.897</v>
      </c>
      <c r="K1723" s="7">
        <f t="shared" si="3"/>
        <v>1183.897</v>
      </c>
      <c r="L1723" s="7">
        <f t="shared" si="4"/>
        <v>1092.828</v>
      </c>
      <c r="M1723" s="7">
        <f t="shared" si="5"/>
        <v>1047.2935</v>
      </c>
      <c r="N1723" s="7">
        <f t="shared" si="6"/>
        <v>1001.759</v>
      </c>
    </row>
    <row r="1724">
      <c r="A1724" s="5" t="s">
        <v>3262</v>
      </c>
      <c r="B1724" s="6"/>
      <c r="C1724" s="6"/>
      <c r="D1724" s="5" t="s">
        <v>3313</v>
      </c>
      <c r="E1724" s="6"/>
      <c r="F1724" s="6"/>
      <c r="G1724" s="8">
        <v>2237.93</v>
      </c>
      <c r="H1724" s="5" t="s">
        <v>22</v>
      </c>
      <c r="I1724" s="7">
        <f t="shared" si="1"/>
        <v>3356.895</v>
      </c>
      <c r="J1724" s="7">
        <f t="shared" si="7"/>
        <v>2909.309</v>
      </c>
      <c r="K1724" s="7">
        <f t="shared" si="3"/>
        <v>2909.309</v>
      </c>
      <c r="L1724" s="7">
        <f t="shared" si="4"/>
        <v>2685.516</v>
      </c>
      <c r="M1724" s="7">
        <f t="shared" si="5"/>
        <v>2573.6195</v>
      </c>
      <c r="N1724" s="7">
        <f t="shared" si="6"/>
        <v>2461.723</v>
      </c>
    </row>
    <row r="1725">
      <c r="A1725" s="5" t="s">
        <v>3262</v>
      </c>
      <c r="B1725" s="6"/>
      <c r="C1725" s="6"/>
      <c r="D1725" s="5" t="s">
        <v>3314</v>
      </c>
      <c r="E1725" s="6"/>
      <c r="F1725" s="6"/>
      <c r="G1725" s="8">
        <v>2289.67</v>
      </c>
      <c r="H1725" s="5" t="s">
        <v>22</v>
      </c>
      <c r="I1725" s="7">
        <f t="shared" si="1"/>
        <v>3434.505</v>
      </c>
      <c r="J1725" s="7">
        <f t="shared" si="7"/>
        <v>2976.571</v>
      </c>
      <c r="K1725" s="7">
        <f t="shared" si="3"/>
        <v>2976.571</v>
      </c>
      <c r="L1725" s="7">
        <f t="shared" si="4"/>
        <v>2747.604</v>
      </c>
      <c r="M1725" s="7">
        <f t="shared" si="5"/>
        <v>2633.1205</v>
      </c>
      <c r="N1725" s="7">
        <f t="shared" si="6"/>
        <v>2518.637</v>
      </c>
    </row>
    <row r="1726">
      <c r="A1726" s="5" t="s">
        <v>3262</v>
      </c>
      <c r="B1726" s="6"/>
      <c r="C1726" s="6"/>
      <c r="D1726" s="5" t="s">
        <v>3315</v>
      </c>
      <c r="E1726" s="6"/>
      <c r="F1726" s="6"/>
      <c r="G1726" s="8">
        <v>1052.99</v>
      </c>
      <c r="H1726" s="5" t="s">
        <v>22</v>
      </c>
      <c r="I1726" s="7">
        <f t="shared" si="1"/>
        <v>1579.485</v>
      </c>
      <c r="J1726" s="7">
        <f t="shared" si="7"/>
        <v>1368.887</v>
      </c>
      <c r="K1726" s="7">
        <f t="shared" si="3"/>
        <v>1368.887</v>
      </c>
      <c r="L1726" s="7">
        <f t="shared" si="4"/>
        <v>1263.588</v>
      </c>
      <c r="M1726" s="7">
        <f t="shared" si="5"/>
        <v>1210.9385</v>
      </c>
      <c r="N1726" s="7">
        <f t="shared" si="6"/>
        <v>1158.289</v>
      </c>
    </row>
    <row r="1727">
      <c r="A1727" s="5" t="s">
        <v>3262</v>
      </c>
      <c r="B1727" s="6"/>
      <c r="C1727" s="6"/>
      <c r="D1727" s="5" t="s">
        <v>3316</v>
      </c>
      <c r="E1727" s="6"/>
      <c r="F1727" s="6"/>
      <c r="G1727" s="8">
        <v>1109.91</v>
      </c>
      <c r="H1727" s="5" t="s">
        <v>22</v>
      </c>
      <c r="I1727" s="7">
        <f t="shared" si="1"/>
        <v>1664.865</v>
      </c>
      <c r="J1727" s="7">
        <f t="shared" si="7"/>
        <v>1442.883</v>
      </c>
      <c r="K1727" s="7">
        <f t="shared" si="3"/>
        <v>1442.883</v>
      </c>
      <c r="L1727" s="7">
        <f t="shared" si="4"/>
        <v>1331.892</v>
      </c>
      <c r="M1727" s="7">
        <f t="shared" si="5"/>
        <v>1276.3965</v>
      </c>
      <c r="N1727" s="7">
        <f t="shared" si="6"/>
        <v>1220.901</v>
      </c>
    </row>
    <row r="1728">
      <c r="A1728" s="5" t="s">
        <v>3262</v>
      </c>
      <c r="B1728" s="6"/>
      <c r="C1728" s="6"/>
      <c r="D1728" s="5" t="s">
        <v>3317</v>
      </c>
      <c r="E1728" s="6"/>
      <c r="F1728" s="6"/>
      <c r="G1728" s="5">
        <v>868.01</v>
      </c>
      <c r="H1728" s="5" t="s">
        <v>22</v>
      </c>
      <c r="I1728" s="7">
        <f t="shared" si="1"/>
        <v>1302.015</v>
      </c>
      <c r="J1728" s="7">
        <f t="shared" si="7"/>
        <v>1128.413</v>
      </c>
      <c r="K1728" s="7">
        <f t="shared" si="3"/>
        <v>1128.413</v>
      </c>
      <c r="L1728" s="7">
        <f t="shared" si="4"/>
        <v>1041.612</v>
      </c>
      <c r="M1728" s="7">
        <f t="shared" si="5"/>
        <v>998.2115</v>
      </c>
      <c r="N1728" s="7">
        <f t="shared" si="6"/>
        <v>954.811</v>
      </c>
    </row>
    <row r="1729">
      <c r="A1729" s="5" t="s">
        <v>3262</v>
      </c>
      <c r="B1729" s="6"/>
      <c r="C1729" s="6"/>
      <c r="D1729" s="5" t="s">
        <v>3318</v>
      </c>
      <c r="E1729" s="6"/>
      <c r="F1729" s="6"/>
      <c r="G1729" s="5">
        <v>875.77</v>
      </c>
      <c r="H1729" s="5" t="s">
        <v>22</v>
      </c>
      <c r="I1729" s="7">
        <f t="shared" si="1"/>
        <v>1313.655</v>
      </c>
      <c r="J1729" s="7">
        <f t="shared" si="7"/>
        <v>1138.501</v>
      </c>
      <c r="K1729" s="7">
        <f t="shared" si="3"/>
        <v>1138.501</v>
      </c>
      <c r="L1729" s="7">
        <f t="shared" si="4"/>
        <v>1050.924</v>
      </c>
      <c r="M1729" s="7">
        <f t="shared" si="5"/>
        <v>1007.1355</v>
      </c>
      <c r="N1729" s="7">
        <f t="shared" si="6"/>
        <v>963.347</v>
      </c>
    </row>
    <row r="1730">
      <c r="A1730" s="5" t="s">
        <v>3262</v>
      </c>
      <c r="B1730" s="6"/>
      <c r="C1730" s="6"/>
      <c r="D1730" s="5" t="s">
        <v>3319</v>
      </c>
      <c r="E1730" s="6"/>
      <c r="F1730" s="6"/>
      <c r="G1730" s="5">
        <v>480.48</v>
      </c>
      <c r="H1730" s="5" t="s">
        <v>22</v>
      </c>
      <c r="I1730" s="7">
        <f t="shared" si="1"/>
        <v>720.72</v>
      </c>
      <c r="J1730" s="7">
        <f t="shared" si="7"/>
        <v>624.624</v>
      </c>
      <c r="K1730" s="7">
        <f t="shared" si="3"/>
        <v>624.624</v>
      </c>
      <c r="L1730" s="7">
        <f t="shared" si="4"/>
        <v>576.576</v>
      </c>
      <c r="M1730" s="7">
        <f t="shared" si="5"/>
        <v>552.552</v>
      </c>
      <c r="N1730" s="7">
        <f t="shared" si="6"/>
        <v>528.528</v>
      </c>
    </row>
    <row r="1731">
      <c r="A1731" s="5" t="s">
        <v>3320</v>
      </c>
      <c r="B1731" s="5" t="s">
        <v>1455</v>
      </c>
      <c r="C1731" s="5" t="s">
        <v>3321</v>
      </c>
      <c r="D1731" s="5" t="s">
        <v>3322</v>
      </c>
      <c r="E1731" s="5" t="s">
        <v>3323</v>
      </c>
      <c r="F1731" s="6"/>
      <c r="G1731" s="8">
        <v>17095.68</v>
      </c>
      <c r="H1731" s="5" t="s">
        <v>22</v>
      </c>
      <c r="I1731" s="7">
        <f t="shared" si="1"/>
        <v>25643.52</v>
      </c>
      <c r="J1731" s="7">
        <f t="shared" si="7"/>
        <v>22224.384</v>
      </c>
      <c r="K1731" s="7">
        <f t="shared" si="3"/>
        <v>22224.384</v>
      </c>
      <c r="L1731" s="7">
        <f t="shared" si="4"/>
        <v>20514.816</v>
      </c>
      <c r="M1731" s="7">
        <f t="shared" si="5"/>
        <v>19660.032</v>
      </c>
      <c r="N1731" s="7">
        <f t="shared" si="6"/>
        <v>18805.248</v>
      </c>
    </row>
    <row r="1732">
      <c r="A1732" s="5" t="s">
        <v>3320</v>
      </c>
      <c r="B1732" s="5" t="s">
        <v>1455</v>
      </c>
      <c r="C1732" s="5" t="s">
        <v>3321</v>
      </c>
      <c r="D1732" s="5" t="s">
        <v>3322</v>
      </c>
      <c r="E1732" s="5" t="s">
        <v>3324</v>
      </c>
      <c r="F1732" s="6"/>
      <c r="G1732" s="8">
        <v>20052.48</v>
      </c>
      <c r="H1732" s="5" t="s">
        <v>22</v>
      </c>
      <c r="I1732" s="7">
        <f t="shared" si="1"/>
        <v>30078.72</v>
      </c>
      <c r="J1732" s="7">
        <f t="shared" si="7"/>
        <v>26068.224</v>
      </c>
      <c r="K1732" s="7">
        <f t="shared" si="3"/>
        <v>26068.224</v>
      </c>
      <c r="L1732" s="7">
        <f t="shared" si="4"/>
        <v>24062.976</v>
      </c>
      <c r="M1732" s="7">
        <f t="shared" si="5"/>
        <v>23060.352</v>
      </c>
      <c r="N1732" s="7">
        <f t="shared" si="6"/>
        <v>22057.728</v>
      </c>
    </row>
    <row r="1733">
      <c r="A1733" s="5" t="s">
        <v>3320</v>
      </c>
      <c r="B1733" s="5" t="s">
        <v>1455</v>
      </c>
      <c r="C1733" s="5" t="s">
        <v>3321</v>
      </c>
      <c r="D1733" s="5" t="s">
        <v>3325</v>
      </c>
      <c r="E1733" s="5" t="s">
        <v>3326</v>
      </c>
      <c r="F1733" s="6"/>
      <c r="G1733" s="8">
        <v>20256.0</v>
      </c>
      <c r="H1733" s="5" t="s">
        <v>22</v>
      </c>
      <c r="I1733" s="7">
        <f t="shared" si="1"/>
        <v>30384</v>
      </c>
      <c r="J1733" s="7">
        <f t="shared" si="7"/>
        <v>26332.8</v>
      </c>
      <c r="K1733" s="7">
        <f t="shared" si="3"/>
        <v>26332.8</v>
      </c>
      <c r="L1733" s="7">
        <f t="shared" si="4"/>
        <v>24307.2</v>
      </c>
      <c r="M1733" s="7">
        <f t="shared" si="5"/>
        <v>23294.4</v>
      </c>
      <c r="N1733" s="7">
        <f t="shared" si="6"/>
        <v>22281.6</v>
      </c>
    </row>
    <row r="1734">
      <c r="A1734" s="5" t="s">
        <v>3320</v>
      </c>
      <c r="B1734" s="5" t="s">
        <v>1455</v>
      </c>
      <c r="C1734" s="5" t="s">
        <v>3321</v>
      </c>
      <c r="D1734" s="5" t="s">
        <v>3325</v>
      </c>
      <c r="E1734" s="5" t="s">
        <v>3327</v>
      </c>
      <c r="F1734" s="6"/>
      <c r="G1734" s="8">
        <v>20256.0</v>
      </c>
      <c r="H1734" s="5" t="s">
        <v>22</v>
      </c>
      <c r="I1734" s="7">
        <f t="shared" si="1"/>
        <v>30384</v>
      </c>
      <c r="J1734" s="7">
        <f t="shared" si="7"/>
        <v>26332.8</v>
      </c>
      <c r="K1734" s="7">
        <f t="shared" si="3"/>
        <v>26332.8</v>
      </c>
      <c r="L1734" s="7">
        <f t="shared" si="4"/>
        <v>24307.2</v>
      </c>
      <c r="M1734" s="7">
        <f t="shared" si="5"/>
        <v>23294.4</v>
      </c>
      <c r="N1734" s="7">
        <f t="shared" si="6"/>
        <v>22281.6</v>
      </c>
    </row>
    <row r="1735">
      <c r="A1735" s="5" t="s">
        <v>3320</v>
      </c>
      <c r="B1735" s="6"/>
      <c r="C1735" s="6"/>
      <c r="D1735" s="5" t="s">
        <v>3328</v>
      </c>
      <c r="E1735" s="5" t="s">
        <v>3329</v>
      </c>
      <c r="F1735" s="5" t="s">
        <v>3330</v>
      </c>
      <c r="G1735" s="8">
        <v>31730.0</v>
      </c>
      <c r="H1735" s="5" t="s">
        <v>22</v>
      </c>
      <c r="I1735" s="7">
        <f t="shared" si="1"/>
        <v>47595</v>
      </c>
      <c r="J1735" s="7">
        <f t="shared" si="7"/>
        <v>41249</v>
      </c>
      <c r="K1735" s="7">
        <f t="shared" si="3"/>
        <v>41249</v>
      </c>
      <c r="L1735" s="7">
        <f t="shared" si="4"/>
        <v>38076</v>
      </c>
      <c r="M1735" s="7">
        <f t="shared" si="5"/>
        <v>36489.5</v>
      </c>
      <c r="N1735" s="7">
        <f t="shared" si="6"/>
        <v>34903</v>
      </c>
    </row>
    <row r="1736">
      <c r="A1736" s="5" t="s">
        <v>3320</v>
      </c>
      <c r="B1736" s="5" t="s">
        <v>1455</v>
      </c>
      <c r="C1736" s="5" t="s">
        <v>3321</v>
      </c>
      <c r="D1736" s="5" t="s">
        <v>3331</v>
      </c>
      <c r="E1736" s="5" t="s">
        <v>3332</v>
      </c>
      <c r="F1736" s="6"/>
      <c r="G1736" s="8">
        <v>29568.0</v>
      </c>
      <c r="H1736" s="5" t="s">
        <v>22</v>
      </c>
      <c r="I1736" s="7">
        <f t="shared" si="1"/>
        <v>44352</v>
      </c>
      <c r="J1736" s="7">
        <f t="shared" si="7"/>
        <v>38438.4</v>
      </c>
      <c r="K1736" s="7">
        <f t="shared" si="3"/>
        <v>38438.4</v>
      </c>
      <c r="L1736" s="7">
        <f t="shared" si="4"/>
        <v>35481.6</v>
      </c>
      <c r="M1736" s="7">
        <f t="shared" si="5"/>
        <v>34003.2</v>
      </c>
      <c r="N1736" s="7">
        <f t="shared" si="6"/>
        <v>32524.8</v>
      </c>
    </row>
    <row r="1737">
      <c r="A1737" s="5" t="s">
        <v>3320</v>
      </c>
      <c r="B1737" s="5" t="s">
        <v>1455</v>
      </c>
      <c r="C1737" s="5" t="s">
        <v>3321</v>
      </c>
      <c r="D1737" s="5" t="s">
        <v>3331</v>
      </c>
      <c r="E1737" s="5" t="s">
        <v>3333</v>
      </c>
      <c r="F1737" s="6"/>
      <c r="G1737" s="8">
        <v>33739.78</v>
      </c>
      <c r="H1737" s="5" t="s">
        <v>22</v>
      </c>
      <c r="I1737" s="7">
        <f t="shared" si="1"/>
        <v>50609.67</v>
      </c>
      <c r="J1737" s="7">
        <f t="shared" si="7"/>
        <v>43861.714</v>
      </c>
      <c r="K1737" s="7">
        <f t="shared" si="3"/>
        <v>43861.714</v>
      </c>
      <c r="L1737" s="7">
        <f t="shared" si="4"/>
        <v>40487.736</v>
      </c>
      <c r="M1737" s="7">
        <f t="shared" si="5"/>
        <v>38800.747</v>
      </c>
      <c r="N1737" s="7">
        <f t="shared" si="6"/>
        <v>37113.758</v>
      </c>
    </row>
    <row r="1738">
      <c r="A1738" s="5" t="s">
        <v>3320</v>
      </c>
      <c r="B1738" s="5" t="s">
        <v>1455</v>
      </c>
      <c r="C1738" s="5" t="s">
        <v>3321</v>
      </c>
      <c r="D1738" s="5" t="s">
        <v>3334</v>
      </c>
      <c r="E1738" s="5" t="s">
        <v>3335</v>
      </c>
      <c r="F1738" s="6"/>
      <c r="G1738" s="8">
        <v>58598.4</v>
      </c>
      <c r="H1738" s="5" t="s">
        <v>22</v>
      </c>
      <c r="I1738" s="7">
        <f t="shared" si="1"/>
        <v>87897.6</v>
      </c>
      <c r="J1738" s="7">
        <f t="shared" si="7"/>
        <v>76177.92</v>
      </c>
      <c r="K1738" s="7">
        <f t="shared" si="3"/>
        <v>76177.92</v>
      </c>
      <c r="L1738" s="7">
        <f t="shared" si="4"/>
        <v>70318.08</v>
      </c>
      <c r="M1738" s="7">
        <f t="shared" si="5"/>
        <v>67388.16</v>
      </c>
      <c r="N1738" s="7">
        <f t="shared" si="6"/>
        <v>64458.24</v>
      </c>
    </row>
    <row r="1739">
      <c r="A1739" s="5" t="s">
        <v>3320</v>
      </c>
      <c r="B1739" s="5" t="s">
        <v>1455</v>
      </c>
      <c r="C1739" s="5" t="s">
        <v>3321</v>
      </c>
      <c r="D1739" s="5" t="s">
        <v>3334</v>
      </c>
      <c r="E1739" s="5" t="s">
        <v>3336</v>
      </c>
      <c r="F1739" s="6"/>
      <c r="G1739" s="8">
        <v>63006.72</v>
      </c>
      <c r="H1739" s="5" t="s">
        <v>22</v>
      </c>
      <c r="I1739" s="7">
        <f t="shared" si="1"/>
        <v>94510.08</v>
      </c>
      <c r="J1739" s="7">
        <f t="shared" si="7"/>
        <v>81908.736</v>
      </c>
      <c r="K1739" s="7">
        <f t="shared" si="3"/>
        <v>81908.736</v>
      </c>
      <c r="L1739" s="7">
        <f t="shared" si="4"/>
        <v>75608.064</v>
      </c>
      <c r="M1739" s="7">
        <f t="shared" si="5"/>
        <v>72457.728</v>
      </c>
      <c r="N1739" s="7">
        <f t="shared" si="6"/>
        <v>69307.392</v>
      </c>
    </row>
    <row r="1740">
      <c r="A1740" s="5" t="s">
        <v>3320</v>
      </c>
      <c r="B1740" s="5" t="s">
        <v>1455</v>
      </c>
      <c r="C1740" s="5" t="s">
        <v>3321</v>
      </c>
      <c r="D1740" s="5" t="s">
        <v>3337</v>
      </c>
      <c r="E1740" s="5" t="s">
        <v>3338</v>
      </c>
      <c r="F1740" s="5" t="s">
        <v>3339</v>
      </c>
      <c r="G1740" s="8">
        <v>1935.0</v>
      </c>
      <c r="H1740" s="5" t="s">
        <v>22</v>
      </c>
      <c r="I1740" s="7">
        <f t="shared" si="1"/>
        <v>2902.5</v>
      </c>
      <c r="J1740" s="7">
        <f t="shared" si="7"/>
        <v>2515.5</v>
      </c>
      <c r="K1740" s="7">
        <f t="shared" si="3"/>
        <v>2515.5</v>
      </c>
      <c r="L1740" s="7">
        <f t="shared" si="4"/>
        <v>2322</v>
      </c>
      <c r="M1740" s="7">
        <f t="shared" si="5"/>
        <v>2225.25</v>
      </c>
      <c r="N1740" s="7">
        <f t="shared" si="6"/>
        <v>2128.5</v>
      </c>
    </row>
    <row r="1741">
      <c r="A1741" s="5" t="s">
        <v>3320</v>
      </c>
      <c r="B1741" s="5" t="s">
        <v>1455</v>
      </c>
      <c r="C1741" s="5" t="s">
        <v>3321</v>
      </c>
      <c r="D1741" s="5" t="s">
        <v>3340</v>
      </c>
      <c r="E1741" s="5" t="s">
        <v>3341</v>
      </c>
      <c r="F1741" s="6"/>
      <c r="G1741" s="5">
        <v>365.0</v>
      </c>
      <c r="H1741" s="5" t="s">
        <v>22</v>
      </c>
      <c r="I1741" s="7">
        <f t="shared" si="1"/>
        <v>547.5</v>
      </c>
      <c r="J1741" s="7">
        <f t="shared" si="7"/>
        <v>474.5</v>
      </c>
      <c r="K1741" s="7">
        <f t="shared" si="3"/>
        <v>474.5</v>
      </c>
      <c r="L1741" s="7">
        <f t="shared" si="4"/>
        <v>438</v>
      </c>
      <c r="M1741" s="7">
        <f t="shared" si="5"/>
        <v>419.75</v>
      </c>
      <c r="N1741" s="7">
        <f t="shared" si="6"/>
        <v>401.5</v>
      </c>
    </row>
    <row r="1742">
      <c r="A1742" s="5" t="s">
        <v>3320</v>
      </c>
      <c r="B1742" s="5" t="s">
        <v>1455</v>
      </c>
      <c r="C1742" s="5" t="s">
        <v>3321</v>
      </c>
      <c r="D1742" s="5" t="s">
        <v>3342</v>
      </c>
      <c r="E1742" s="5" t="s">
        <v>3343</v>
      </c>
      <c r="F1742" s="6"/>
      <c r="G1742" s="8">
        <v>1800.96</v>
      </c>
      <c r="H1742" s="5" t="s">
        <v>22</v>
      </c>
      <c r="I1742" s="7">
        <f t="shared" si="1"/>
        <v>2701.44</v>
      </c>
      <c r="J1742" s="7">
        <f t="shared" si="7"/>
        <v>2341.248</v>
      </c>
      <c r="K1742" s="7">
        <f t="shared" si="3"/>
        <v>2341.248</v>
      </c>
      <c r="L1742" s="7">
        <f t="shared" si="4"/>
        <v>2161.152</v>
      </c>
      <c r="M1742" s="7">
        <f t="shared" si="5"/>
        <v>2071.104</v>
      </c>
      <c r="N1742" s="7">
        <f t="shared" si="6"/>
        <v>1981.056</v>
      </c>
    </row>
    <row r="1743">
      <c r="A1743" s="5" t="s">
        <v>3320</v>
      </c>
      <c r="B1743" s="5" t="s">
        <v>1455</v>
      </c>
      <c r="C1743" s="5" t="s">
        <v>3321</v>
      </c>
      <c r="D1743" s="5" t="s">
        <v>3344</v>
      </c>
      <c r="E1743" s="5" t="s">
        <v>3345</v>
      </c>
      <c r="F1743" s="6"/>
      <c r="G1743" s="8">
        <v>1843.97</v>
      </c>
      <c r="H1743" s="5" t="s">
        <v>22</v>
      </c>
      <c r="I1743" s="7">
        <f t="shared" si="1"/>
        <v>2765.955</v>
      </c>
      <c r="J1743" s="7">
        <f t="shared" si="7"/>
        <v>2397.161</v>
      </c>
      <c r="K1743" s="7">
        <f t="shared" si="3"/>
        <v>2397.161</v>
      </c>
      <c r="L1743" s="7">
        <f t="shared" si="4"/>
        <v>2212.764</v>
      </c>
      <c r="M1743" s="7">
        <f t="shared" si="5"/>
        <v>2120.5655</v>
      </c>
      <c r="N1743" s="7">
        <f t="shared" si="6"/>
        <v>2028.367</v>
      </c>
    </row>
    <row r="1744">
      <c r="A1744" s="5" t="s">
        <v>3320</v>
      </c>
      <c r="B1744" s="5" t="s">
        <v>1455</v>
      </c>
      <c r="C1744" s="5" t="s">
        <v>3321</v>
      </c>
      <c r="D1744" s="5" t="s">
        <v>3346</v>
      </c>
      <c r="E1744" s="5" t="s">
        <v>3347</v>
      </c>
      <c r="F1744" s="6"/>
      <c r="G1744" s="8">
        <v>1236.48</v>
      </c>
      <c r="H1744" s="5" t="s">
        <v>22</v>
      </c>
      <c r="I1744" s="7">
        <f t="shared" si="1"/>
        <v>1854.72</v>
      </c>
      <c r="J1744" s="7">
        <f t="shared" si="7"/>
        <v>1607.424</v>
      </c>
      <c r="K1744" s="7">
        <f t="shared" si="3"/>
        <v>1607.424</v>
      </c>
      <c r="L1744" s="7">
        <f t="shared" si="4"/>
        <v>1483.776</v>
      </c>
      <c r="M1744" s="7">
        <f t="shared" si="5"/>
        <v>1421.952</v>
      </c>
      <c r="N1744" s="7">
        <f t="shared" si="6"/>
        <v>1360.128</v>
      </c>
    </row>
    <row r="1745">
      <c r="A1745" s="5" t="s">
        <v>3320</v>
      </c>
      <c r="B1745" s="5" t="s">
        <v>1455</v>
      </c>
      <c r="C1745" s="5" t="s">
        <v>3321</v>
      </c>
      <c r="D1745" s="5" t="s">
        <v>3348</v>
      </c>
      <c r="E1745" s="5" t="s">
        <v>3349</v>
      </c>
      <c r="F1745" s="6"/>
      <c r="G1745" s="8">
        <v>1160.0</v>
      </c>
      <c r="H1745" s="5" t="s">
        <v>22</v>
      </c>
      <c r="I1745" s="7">
        <f t="shared" si="1"/>
        <v>1740</v>
      </c>
      <c r="J1745" s="7">
        <f t="shared" si="7"/>
        <v>1508</v>
      </c>
      <c r="K1745" s="7">
        <f t="shared" si="3"/>
        <v>1508</v>
      </c>
      <c r="L1745" s="7">
        <f t="shared" si="4"/>
        <v>1392</v>
      </c>
      <c r="M1745" s="7">
        <f t="shared" si="5"/>
        <v>1334</v>
      </c>
      <c r="N1745" s="7">
        <f t="shared" si="6"/>
        <v>1276</v>
      </c>
    </row>
    <row r="1746">
      <c r="A1746" s="5" t="s">
        <v>3320</v>
      </c>
      <c r="B1746" s="5" t="s">
        <v>1455</v>
      </c>
      <c r="C1746" s="5" t="s">
        <v>3321</v>
      </c>
      <c r="D1746" s="5" t="s">
        <v>3350</v>
      </c>
      <c r="E1746" s="5" t="s">
        <v>3351</v>
      </c>
      <c r="F1746" s="6"/>
      <c r="G1746" s="8">
        <v>1236.48</v>
      </c>
      <c r="H1746" s="5" t="s">
        <v>22</v>
      </c>
      <c r="I1746" s="7">
        <f t="shared" si="1"/>
        <v>1854.72</v>
      </c>
      <c r="J1746" s="7">
        <f t="shared" si="7"/>
        <v>1607.424</v>
      </c>
      <c r="K1746" s="7">
        <f t="shared" si="3"/>
        <v>1607.424</v>
      </c>
      <c r="L1746" s="7">
        <f t="shared" si="4"/>
        <v>1483.776</v>
      </c>
      <c r="M1746" s="7">
        <f t="shared" si="5"/>
        <v>1421.952</v>
      </c>
      <c r="N1746" s="7">
        <f t="shared" si="6"/>
        <v>1360.128</v>
      </c>
    </row>
    <row r="1747">
      <c r="A1747" s="5" t="s">
        <v>3320</v>
      </c>
      <c r="B1747" s="5" t="s">
        <v>1455</v>
      </c>
      <c r="C1747" s="5" t="s">
        <v>3321</v>
      </c>
      <c r="D1747" s="5" t="s">
        <v>3352</v>
      </c>
      <c r="E1747" s="5" t="s">
        <v>3353</v>
      </c>
      <c r="F1747" s="6"/>
      <c r="G1747" s="8">
        <v>1677.31</v>
      </c>
      <c r="H1747" s="5" t="s">
        <v>22</v>
      </c>
      <c r="I1747" s="7">
        <f t="shared" si="1"/>
        <v>2515.965</v>
      </c>
      <c r="J1747" s="7">
        <f t="shared" si="7"/>
        <v>2180.503</v>
      </c>
      <c r="K1747" s="7">
        <f t="shared" si="3"/>
        <v>2180.503</v>
      </c>
      <c r="L1747" s="7">
        <f t="shared" si="4"/>
        <v>2012.772</v>
      </c>
      <c r="M1747" s="7">
        <f t="shared" si="5"/>
        <v>1928.9065</v>
      </c>
      <c r="N1747" s="7">
        <f t="shared" si="6"/>
        <v>1845.041</v>
      </c>
    </row>
    <row r="1748">
      <c r="A1748" s="5" t="s">
        <v>3320</v>
      </c>
      <c r="B1748" s="5" t="s">
        <v>1455</v>
      </c>
      <c r="C1748" s="5" t="s">
        <v>3321</v>
      </c>
      <c r="D1748" s="5" t="s">
        <v>3354</v>
      </c>
      <c r="E1748" s="5" t="s">
        <v>3355</v>
      </c>
      <c r="F1748" s="6"/>
      <c r="G1748" s="8">
        <v>1774.08</v>
      </c>
      <c r="H1748" s="5" t="s">
        <v>22</v>
      </c>
      <c r="I1748" s="7">
        <f t="shared" si="1"/>
        <v>2661.12</v>
      </c>
      <c r="J1748" s="7">
        <f t="shared" si="7"/>
        <v>2306.304</v>
      </c>
      <c r="K1748" s="7">
        <f t="shared" si="3"/>
        <v>2306.304</v>
      </c>
      <c r="L1748" s="7">
        <f t="shared" si="4"/>
        <v>2128.896</v>
      </c>
      <c r="M1748" s="7">
        <f t="shared" si="5"/>
        <v>2040.192</v>
      </c>
      <c r="N1748" s="7">
        <f t="shared" si="6"/>
        <v>1951.488</v>
      </c>
    </row>
    <row r="1749">
      <c r="A1749" s="5" t="s">
        <v>3320</v>
      </c>
      <c r="B1749" s="5" t="s">
        <v>1455</v>
      </c>
      <c r="C1749" s="5" t="s">
        <v>3321</v>
      </c>
      <c r="D1749" s="5" t="s">
        <v>3356</v>
      </c>
      <c r="E1749" s="5" t="s">
        <v>3357</v>
      </c>
      <c r="F1749" s="6"/>
      <c r="G1749" s="8">
        <v>1300.99</v>
      </c>
      <c r="H1749" s="5" t="s">
        <v>22</v>
      </c>
      <c r="I1749" s="7">
        <f t="shared" si="1"/>
        <v>1951.485</v>
      </c>
      <c r="J1749" s="7">
        <f t="shared" si="7"/>
        <v>1691.287</v>
      </c>
      <c r="K1749" s="7">
        <f t="shared" si="3"/>
        <v>1691.287</v>
      </c>
      <c r="L1749" s="7">
        <f t="shared" si="4"/>
        <v>1561.188</v>
      </c>
      <c r="M1749" s="7">
        <f t="shared" si="5"/>
        <v>1496.1385</v>
      </c>
      <c r="N1749" s="7">
        <f t="shared" si="6"/>
        <v>1431.089</v>
      </c>
    </row>
    <row r="1750">
      <c r="A1750" s="5" t="s">
        <v>3320</v>
      </c>
      <c r="B1750" s="5" t="s">
        <v>1455</v>
      </c>
      <c r="C1750" s="5" t="s">
        <v>3321</v>
      </c>
      <c r="D1750" s="5" t="s">
        <v>3358</v>
      </c>
      <c r="E1750" s="5" t="s">
        <v>3359</v>
      </c>
      <c r="F1750" s="6"/>
      <c r="G1750" s="8">
        <v>2000.0</v>
      </c>
      <c r="H1750" s="5" t="s">
        <v>22</v>
      </c>
      <c r="I1750" s="7">
        <f t="shared" si="1"/>
        <v>3000</v>
      </c>
      <c r="J1750" s="7">
        <f t="shared" si="7"/>
        <v>2600</v>
      </c>
      <c r="K1750" s="7">
        <f t="shared" si="3"/>
        <v>2600</v>
      </c>
      <c r="L1750" s="7">
        <f t="shared" si="4"/>
        <v>2400</v>
      </c>
      <c r="M1750" s="7">
        <f t="shared" si="5"/>
        <v>2300</v>
      </c>
      <c r="N1750" s="7">
        <f t="shared" si="6"/>
        <v>2200</v>
      </c>
    </row>
    <row r="1751">
      <c r="A1751" s="5" t="s">
        <v>3320</v>
      </c>
      <c r="B1751" s="5" t="s">
        <v>1455</v>
      </c>
      <c r="C1751" s="5" t="s">
        <v>3321</v>
      </c>
      <c r="D1751" s="5" t="s">
        <v>3360</v>
      </c>
      <c r="E1751" s="5" t="s">
        <v>3361</v>
      </c>
      <c r="F1751" s="6"/>
      <c r="G1751" s="8">
        <v>4104.0</v>
      </c>
      <c r="H1751" s="5" t="s">
        <v>22</v>
      </c>
      <c r="I1751" s="7">
        <f t="shared" si="1"/>
        <v>6156</v>
      </c>
      <c r="J1751" s="7">
        <f t="shared" si="7"/>
        <v>5335.2</v>
      </c>
      <c r="K1751" s="7">
        <f t="shared" si="3"/>
        <v>5335.2</v>
      </c>
      <c r="L1751" s="7">
        <f t="shared" si="4"/>
        <v>4924.8</v>
      </c>
      <c r="M1751" s="7">
        <f t="shared" si="5"/>
        <v>4719.6</v>
      </c>
      <c r="N1751" s="7">
        <f t="shared" si="6"/>
        <v>4514.4</v>
      </c>
    </row>
    <row r="1752">
      <c r="A1752" s="5" t="s">
        <v>3320</v>
      </c>
      <c r="B1752" s="5" t="s">
        <v>1455</v>
      </c>
      <c r="C1752" s="5" t="s">
        <v>3321</v>
      </c>
      <c r="D1752" s="5" t="s">
        <v>3362</v>
      </c>
      <c r="E1752" s="5" t="s">
        <v>3363</v>
      </c>
      <c r="F1752" s="6"/>
      <c r="G1752" s="8">
        <v>3333.12</v>
      </c>
      <c r="H1752" s="5" t="s">
        <v>22</v>
      </c>
      <c r="I1752" s="7">
        <f t="shared" si="1"/>
        <v>4999.68</v>
      </c>
      <c r="J1752" s="7">
        <f t="shared" si="7"/>
        <v>4333.056</v>
      </c>
      <c r="K1752" s="7">
        <f t="shared" si="3"/>
        <v>4333.056</v>
      </c>
      <c r="L1752" s="7">
        <f t="shared" si="4"/>
        <v>3999.744</v>
      </c>
      <c r="M1752" s="7">
        <f t="shared" si="5"/>
        <v>3833.088</v>
      </c>
      <c r="N1752" s="7">
        <f t="shared" si="6"/>
        <v>3666.432</v>
      </c>
    </row>
    <row r="1753">
      <c r="A1753" s="5" t="s">
        <v>3320</v>
      </c>
      <c r="B1753" s="5" t="s">
        <v>1455</v>
      </c>
      <c r="C1753" s="5" t="s">
        <v>3321</v>
      </c>
      <c r="D1753" s="5" t="s">
        <v>3364</v>
      </c>
      <c r="E1753" s="5" t="s">
        <v>3365</v>
      </c>
      <c r="F1753" s="6"/>
      <c r="G1753" s="8">
        <v>4085.76</v>
      </c>
      <c r="H1753" s="5" t="s">
        <v>22</v>
      </c>
      <c r="I1753" s="7">
        <f t="shared" si="1"/>
        <v>6128.64</v>
      </c>
      <c r="J1753" s="7">
        <f t="shared" si="7"/>
        <v>5311.488</v>
      </c>
      <c r="K1753" s="7">
        <f t="shared" si="3"/>
        <v>5311.488</v>
      </c>
      <c r="L1753" s="7">
        <f t="shared" si="4"/>
        <v>4902.912</v>
      </c>
      <c r="M1753" s="7">
        <f t="shared" si="5"/>
        <v>4698.624</v>
      </c>
      <c r="N1753" s="7">
        <f t="shared" si="6"/>
        <v>4494.336</v>
      </c>
    </row>
    <row r="1754">
      <c r="A1754" s="5" t="s">
        <v>3320</v>
      </c>
      <c r="B1754" s="5" t="s">
        <v>1455</v>
      </c>
      <c r="C1754" s="5" t="s">
        <v>3321</v>
      </c>
      <c r="D1754" s="5" t="s">
        <v>3366</v>
      </c>
      <c r="E1754" s="5" t="s">
        <v>3367</v>
      </c>
      <c r="F1754" s="6"/>
      <c r="G1754" s="8">
        <v>1042.94</v>
      </c>
      <c r="H1754" s="5" t="s">
        <v>22</v>
      </c>
      <c r="I1754" s="7">
        <f t="shared" si="1"/>
        <v>1564.41</v>
      </c>
      <c r="J1754" s="7">
        <f t="shared" si="7"/>
        <v>1355.822</v>
      </c>
      <c r="K1754" s="7">
        <f t="shared" si="3"/>
        <v>1355.822</v>
      </c>
      <c r="L1754" s="7">
        <f t="shared" si="4"/>
        <v>1251.528</v>
      </c>
      <c r="M1754" s="7">
        <f t="shared" si="5"/>
        <v>1199.381</v>
      </c>
      <c r="N1754" s="7">
        <f t="shared" si="6"/>
        <v>1147.234</v>
      </c>
    </row>
    <row r="1755">
      <c r="A1755" s="5" t="s">
        <v>3320</v>
      </c>
      <c r="B1755" s="5" t="s">
        <v>1455</v>
      </c>
      <c r="C1755" s="5" t="s">
        <v>3321</v>
      </c>
      <c r="D1755" s="5" t="s">
        <v>3368</v>
      </c>
      <c r="E1755" s="5" t="s">
        <v>3369</v>
      </c>
      <c r="F1755" s="6"/>
      <c r="G1755" s="8">
        <v>3010.56</v>
      </c>
      <c r="H1755" s="5" t="s">
        <v>22</v>
      </c>
      <c r="I1755" s="7">
        <f t="shared" si="1"/>
        <v>4515.84</v>
      </c>
      <c r="J1755" s="7">
        <f t="shared" si="7"/>
        <v>3913.728</v>
      </c>
      <c r="K1755" s="7">
        <f t="shared" si="3"/>
        <v>3913.728</v>
      </c>
      <c r="L1755" s="7">
        <f t="shared" si="4"/>
        <v>3612.672</v>
      </c>
      <c r="M1755" s="7">
        <f t="shared" si="5"/>
        <v>3462.144</v>
      </c>
      <c r="N1755" s="7">
        <f t="shared" si="6"/>
        <v>3311.616</v>
      </c>
    </row>
    <row r="1756">
      <c r="A1756" s="5" t="s">
        <v>3320</v>
      </c>
      <c r="B1756" s="5" t="s">
        <v>1455</v>
      </c>
      <c r="C1756" s="5" t="s">
        <v>3321</v>
      </c>
      <c r="D1756" s="5" t="s">
        <v>3370</v>
      </c>
      <c r="E1756" s="5" t="s">
        <v>3371</v>
      </c>
      <c r="F1756" s="6"/>
      <c r="G1756" s="8">
        <v>5268.48</v>
      </c>
      <c r="H1756" s="5" t="s">
        <v>22</v>
      </c>
      <c r="I1756" s="7">
        <f t="shared" si="1"/>
        <v>7902.72</v>
      </c>
      <c r="J1756" s="7">
        <f t="shared" si="7"/>
        <v>6849.024</v>
      </c>
      <c r="K1756" s="7">
        <f t="shared" si="3"/>
        <v>6849.024</v>
      </c>
      <c r="L1756" s="7">
        <f t="shared" si="4"/>
        <v>6322.176</v>
      </c>
      <c r="M1756" s="7">
        <f t="shared" si="5"/>
        <v>6058.752</v>
      </c>
      <c r="N1756" s="7">
        <f t="shared" si="6"/>
        <v>5795.328</v>
      </c>
    </row>
    <row r="1757">
      <c r="A1757" s="5" t="s">
        <v>3320</v>
      </c>
      <c r="B1757" s="5" t="s">
        <v>1455</v>
      </c>
      <c r="C1757" s="5" t="s">
        <v>3321</v>
      </c>
      <c r="D1757" s="5" t="s">
        <v>3372</v>
      </c>
      <c r="E1757" s="5" t="s">
        <v>3373</v>
      </c>
      <c r="F1757" s="6"/>
      <c r="G1757" s="8">
        <v>3763.2</v>
      </c>
      <c r="H1757" s="5" t="s">
        <v>22</v>
      </c>
      <c r="I1757" s="7">
        <f t="shared" si="1"/>
        <v>5644.8</v>
      </c>
      <c r="J1757" s="7">
        <f t="shared" si="7"/>
        <v>4892.16</v>
      </c>
      <c r="K1757" s="7">
        <f t="shared" si="3"/>
        <v>4892.16</v>
      </c>
      <c r="L1757" s="7">
        <f t="shared" si="4"/>
        <v>4515.84</v>
      </c>
      <c r="M1757" s="7">
        <f t="shared" si="5"/>
        <v>4327.68</v>
      </c>
      <c r="N1757" s="7">
        <f t="shared" si="6"/>
        <v>4139.52</v>
      </c>
    </row>
    <row r="1758">
      <c r="A1758" s="5" t="s">
        <v>3320</v>
      </c>
      <c r="B1758" s="5" t="s">
        <v>1455</v>
      </c>
      <c r="C1758" s="5" t="s">
        <v>3321</v>
      </c>
      <c r="D1758" s="5" t="s">
        <v>3374</v>
      </c>
      <c r="E1758" s="5" t="s">
        <v>3375</v>
      </c>
      <c r="F1758" s="6"/>
      <c r="G1758" s="8">
        <v>63275.52</v>
      </c>
      <c r="H1758" s="5" t="s">
        <v>22</v>
      </c>
      <c r="I1758" s="7">
        <f t="shared" si="1"/>
        <v>94913.28</v>
      </c>
      <c r="J1758" s="7">
        <f t="shared" si="7"/>
        <v>82258.176</v>
      </c>
      <c r="K1758" s="7">
        <f t="shared" si="3"/>
        <v>82258.176</v>
      </c>
      <c r="L1758" s="7">
        <f t="shared" si="4"/>
        <v>75930.624</v>
      </c>
      <c r="M1758" s="7">
        <f t="shared" si="5"/>
        <v>72766.848</v>
      </c>
      <c r="N1758" s="7">
        <f t="shared" si="6"/>
        <v>69603.072</v>
      </c>
    </row>
    <row r="1759">
      <c r="A1759" s="5" t="s">
        <v>3320</v>
      </c>
      <c r="B1759" s="5" t="s">
        <v>1455</v>
      </c>
      <c r="C1759" s="5" t="s">
        <v>3321</v>
      </c>
      <c r="D1759" s="5" t="s">
        <v>3376</v>
      </c>
      <c r="E1759" s="5" t="s">
        <v>3377</v>
      </c>
      <c r="F1759" s="6"/>
      <c r="G1759" s="8">
        <v>65963.52</v>
      </c>
      <c r="H1759" s="5" t="s">
        <v>22</v>
      </c>
      <c r="I1759" s="7">
        <f t="shared" si="1"/>
        <v>98945.28</v>
      </c>
      <c r="J1759" s="7">
        <f t="shared" si="7"/>
        <v>85752.576</v>
      </c>
      <c r="K1759" s="7">
        <f t="shared" si="3"/>
        <v>85752.576</v>
      </c>
      <c r="L1759" s="7">
        <f t="shared" si="4"/>
        <v>79156.224</v>
      </c>
      <c r="M1759" s="7">
        <f t="shared" si="5"/>
        <v>75858.048</v>
      </c>
      <c r="N1759" s="7">
        <f t="shared" si="6"/>
        <v>72559.872</v>
      </c>
    </row>
    <row r="1760">
      <c r="A1760" s="5" t="s">
        <v>3320</v>
      </c>
      <c r="B1760" s="5" t="s">
        <v>1455</v>
      </c>
      <c r="C1760" s="5" t="s">
        <v>3321</v>
      </c>
      <c r="D1760" s="5" t="s">
        <v>3378</v>
      </c>
      <c r="E1760" s="5" t="s">
        <v>3379</v>
      </c>
      <c r="F1760" s="6"/>
      <c r="G1760" s="5">
        <v>967.68</v>
      </c>
      <c r="H1760" s="5" t="s">
        <v>22</v>
      </c>
      <c r="I1760" s="7">
        <f t="shared" si="1"/>
        <v>1451.52</v>
      </c>
      <c r="J1760" s="7">
        <f t="shared" si="7"/>
        <v>1257.984</v>
      </c>
      <c r="K1760" s="7">
        <f t="shared" si="3"/>
        <v>1257.984</v>
      </c>
      <c r="L1760" s="7">
        <f t="shared" si="4"/>
        <v>1161.216</v>
      </c>
      <c r="M1760" s="7">
        <f t="shared" si="5"/>
        <v>1112.832</v>
      </c>
      <c r="N1760" s="7">
        <f t="shared" si="6"/>
        <v>1064.448</v>
      </c>
    </row>
    <row r="1761">
      <c r="A1761" s="5" t="s">
        <v>3320</v>
      </c>
      <c r="B1761" s="5" t="s">
        <v>1455</v>
      </c>
      <c r="C1761" s="5" t="s">
        <v>3321</v>
      </c>
      <c r="D1761" s="5" t="s">
        <v>3380</v>
      </c>
      <c r="E1761" s="5" t="s">
        <v>3381</v>
      </c>
      <c r="F1761" s="6"/>
      <c r="G1761" s="5">
        <v>779.52</v>
      </c>
      <c r="H1761" s="5" t="s">
        <v>22</v>
      </c>
      <c r="I1761" s="7">
        <f t="shared" si="1"/>
        <v>1169.28</v>
      </c>
      <c r="J1761" s="7">
        <f t="shared" si="7"/>
        <v>1013.376</v>
      </c>
      <c r="K1761" s="7">
        <f t="shared" si="3"/>
        <v>1013.376</v>
      </c>
      <c r="L1761" s="7">
        <f t="shared" si="4"/>
        <v>935.424</v>
      </c>
      <c r="M1761" s="7">
        <f t="shared" si="5"/>
        <v>896.448</v>
      </c>
      <c r="N1761" s="7">
        <f t="shared" si="6"/>
        <v>857.472</v>
      </c>
    </row>
    <row r="1762">
      <c r="A1762" s="5" t="s">
        <v>3320</v>
      </c>
      <c r="B1762" s="5" t="s">
        <v>1455</v>
      </c>
      <c r="C1762" s="5" t="s">
        <v>3321</v>
      </c>
      <c r="D1762" s="5" t="s">
        <v>3382</v>
      </c>
      <c r="E1762" s="5" t="s">
        <v>3383</v>
      </c>
      <c r="F1762" s="6"/>
      <c r="G1762" s="5">
        <v>700.0</v>
      </c>
      <c r="H1762" s="5" t="s">
        <v>22</v>
      </c>
      <c r="I1762" s="7">
        <f t="shared" si="1"/>
        <v>1050</v>
      </c>
      <c r="J1762" s="7">
        <f t="shared" si="7"/>
        <v>910</v>
      </c>
      <c r="K1762" s="7">
        <f t="shared" si="3"/>
        <v>910</v>
      </c>
      <c r="L1762" s="7">
        <f t="shared" si="4"/>
        <v>840</v>
      </c>
      <c r="M1762" s="7">
        <f t="shared" si="5"/>
        <v>805</v>
      </c>
      <c r="N1762" s="7">
        <f t="shared" si="6"/>
        <v>770</v>
      </c>
    </row>
    <row r="1763">
      <c r="A1763" s="5" t="s">
        <v>3320</v>
      </c>
      <c r="B1763" s="5" t="s">
        <v>1455</v>
      </c>
      <c r="C1763" s="5" t="s">
        <v>3321</v>
      </c>
      <c r="D1763" s="5" t="s">
        <v>3384</v>
      </c>
      <c r="E1763" s="5" t="s">
        <v>3385</v>
      </c>
      <c r="F1763" s="6"/>
      <c r="G1763" s="8">
        <v>15052.8</v>
      </c>
      <c r="H1763" s="5" t="s">
        <v>22</v>
      </c>
      <c r="I1763" s="7">
        <f t="shared" si="1"/>
        <v>22579.2</v>
      </c>
      <c r="J1763" s="7">
        <f t="shared" si="7"/>
        <v>19568.64</v>
      </c>
      <c r="K1763" s="7">
        <f t="shared" si="3"/>
        <v>19568.64</v>
      </c>
      <c r="L1763" s="7">
        <f t="shared" si="4"/>
        <v>18063.36</v>
      </c>
      <c r="M1763" s="7">
        <f t="shared" si="5"/>
        <v>17310.72</v>
      </c>
      <c r="N1763" s="7">
        <f t="shared" si="6"/>
        <v>16558.08</v>
      </c>
    </row>
    <row r="1764">
      <c r="A1764" s="5" t="s">
        <v>3320</v>
      </c>
      <c r="B1764" s="5" t="s">
        <v>1455</v>
      </c>
      <c r="C1764" s="5" t="s">
        <v>3321</v>
      </c>
      <c r="D1764" s="5" t="s">
        <v>3386</v>
      </c>
      <c r="E1764" s="5" t="s">
        <v>3387</v>
      </c>
      <c r="F1764" s="6"/>
      <c r="G1764" s="5">
        <v>736.51</v>
      </c>
      <c r="H1764" s="5" t="s">
        <v>22</v>
      </c>
      <c r="I1764" s="7">
        <f t="shared" si="1"/>
        <v>1104.765</v>
      </c>
      <c r="J1764" s="7">
        <f t="shared" si="7"/>
        <v>957.463</v>
      </c>
      <c r="K1764" s="7">
        <f t="shared" si="3"/>
        <v>957.463</v>
      </c>
      <c r="L1764" s="7">
        <f t="shared" si="4"/>
        <v>883.812</v>
      </c>
      <c r="M1764" s="7">
        <f t="shared" si="5"/>
        <v>846.9865</v>
      </c>
      <c r="N1764" s="7">
        <f t="shared" si="6"/>
        <v>810.161</v>
      </c>
    </row>
    <row r="1765">
      <c r="A1765" s="5" t="s">
        <v>3320</v>
      </c>
      <c r="B1765" s="5" t="s">
        <v>1455</v>
      </c>
      <c r="C1765" s="5" t="s">
        <v>3321</v>
      </c>
      <c r="D1765" s="5" t="s">
        <v>3388</v>
      </c>
      <c r="E1765" s="5" t="s">
        <v>3387</v>
      </c>
      <c r="F1765" s="6"/>
      <c r="G1765" s="5">
        <v>736.51</v>
      </c>
      <c r="H1765" s="5" t="s">
        <v>22</v>
      </c>
      <c r="I1765" s="7">
        <f t="shared" si="1"/>
        <v>1104.765</v>
      </c>
      <c r="J1765" s="7">
        <f t="shared" si="7"/>
        <v>957.463</v>
      </c>
      <c r="K1765" s="7">
        <f t="shared" si="3"/>
        <v>957.463</v>
      </c>
      <c r="L1765" s="7">
        <f t="shared" si="4"/>
        <v>883.812</v>
      </c>
      <c r="M1765" s="7">
        <f t="shared" si="5"/>
        <v>846.9865</v>
      </c>
      <c r="N1765" s="7">
        <f t="shared" si="6"/>
        <v>810.161</v>
      </c>
    </row>
    <row r="1766">
      <c r="A1766" s="5" t="s">
        <v>3320</v>
      </c>
      <c r="B1766" s="5" t="s">
        <v>1455</v>
      </c>
      <c r="C1766" s="5" t="s">
        <v>3321</v>
      </c>
      <c r="D1766" s="5" t="s">
        <v>3389</v>
      </c>
      <c r="E1766" s="5" t="s">
        <v>3390</v>
      </c>
      <c r="F1766" s="6"/>
      <c r="G1766" s="8">
        <v>4924.42</v>
      </c>
      <c r="H1766" s="5" t="s">
        <v>22</v>
      </c>
      <c r="I1766" s="7">
        <f t="shared" si="1"/>
        <v>7386.63</v>
      </c>
      <c r="J1766" s="7">
        <f t="shared" si="7"/>
        <v>6401.746</v>
      </c>
      <c r="K1766" s="7">
        <f t="shared" si="3"/>
        <v>6401.746</v>
      </c>
      <c r="L1766" s="7">
        <f t="shared" si="4"/>
        <v>5909.304</v>
      </c>
      <c r="M1766" s="7">
        <f t="shared" si="5"/>
        <v>5663.083</v>
      </c>
      <c r="N1766" s="7">
        <f t="shared" si="6"/>
        <v>5416.862</v>
      </c>
    </row>
    <row r="1767">
      <c r="A1767" s="5" t="s">
        <v>3320</v>
      </c>
      <c r="B1767" s="5" t="s">
        <v>1455</v>
      </c>
      <c r="C1767" s="5" t="s">
        <v>3321</v>
      </c>
      <c r="D1767" s="5" t="s">
        <v>3391</v>
      </c>
      <c r="E1767" s="5" t="s">
        <v>3392</v>
      </c>
      <c r="F1767" s="6"/>
      <c r="G1767" s="5">
        <v>365.57</v>
      </c>
      <c r="H1767" s="5" t="s">
        <v>22</v>
      </c>
      <c r="I1767" s="7">
        <f t="shared" si="1"/>
        <v>548.355</v>
      </c>
      <c r="J1767" s="7">
        <f t="shared" si="7"/>
        <v>475.241</v>
      </c>
      <c r="K1767" s="7">
        <f t="shared" si="3"/>
        <v>475.241</v>
      </c>
      <c r="L1767" s="7">
        <f t="shared" si="4"/>
        <v>438.684</v>
      </c>
      <c r="M1767" s="7">
        <f t="shared" si="5"/>
        <v>420.4055</v>
      </c>
      <c r="N1767" s="7">
        <f t="shared" si="6"/>
        <v>402.127</v>
      </c>
    </row>
    <row r="1768">
      <c r="A1768" s="5" t="s">
        <v>3320</v>
      </c>
      <c r="B1768" s="5" t="s">
        <v>1455</v>
      </c>
      <c r="C1768" s="5" t="s">
        <v>3321</v>
      </c>
      <c r="D1768" s="5" t="s">
        <v>3393</v>
      </c>
      <c r="E1768" s="5" t="s">
        <v>3394</v>
      </c>
      <c r="F1768" s="6"/>
      <c r="G1768" s="5">
        <v>451.58</v>
      </c>
      <c r="H1768" s="5" t="s">
        <v>22</v>
      </c>
      <c r="I1768" s="7">
        <f t="shared" si="1"/>
        <v>677.37</v>
      </c>
      <c r="J1768" s="7">
        <f t="shared" si="7"/>
        <v>587.054</v>
      </c>
      <c r="K1768" s="7">
        <f t="shared" si="3"/>
        <v>587.054</v>
      </c>
      <c r="L1768" s="7">
        <f t="shared" si="4"/>
        <v>541.896</v>
      </c>
      <c r="M1768" s="7">
        <f t="shared" si="5"/>
        <v>519.317</v>
      </c>
      <c r="N1768" s="7">
        <f t="shared" si="6"/>
        <v>496.738</v>
      </c>
    </row>
    <row r="1769">
      <c r="A1769" s="5" t="s">
        <v>3320</v>
      </c>
      <c r="B1769" s="5" t="s">
        <v>1455</v>
      </c>
      <c r="C1769" s="5" t="s">
        <v>3321</v>
      </c>
      <c r="D1769" s="5" t="s">
        <v>3395</v>
      </c>
      <c r="E1769" s="5" t="s">
        <v>3396</v>
      </c>
      <c r="F1769" s="6"/>
      <c r="G1769" s="5">
        <v>128.0</v>
      </c>
      <c r="H1769" s="5" t="s">
        <v>22</v>
      </c>
      <c r="I1769" s="7">
        <f t="shared" si="1"/>
        <v>192</v>
      </c>
      <c r="J1769" s="7">
        <f t="shared" si="7"/>
        <v>166.4</v>
      </c>
      <c r="K1769" s="7">
        <f t="shared" si="3"/>
        <v>166.4</v>
      </c>
      <c r="L1769" s="7">
        <f t="shared" si="4"/>
        <v>153.6</v>
      </c>
      <c r="M1769" s="7">
        <f t="shared" si="5"/>
        <v>147.2</v>
      </c>
      <c r="N1769" s="7">
        <f t="shared" si="6"/>
        <v>140.8</v>
      </c>
    </row>
    <row r="1770">
      <c r="A1770" s="5" t="s">
        <v>3320</v>
      </c>
      <c r="B1770" s="5" t="s">
        <v>1455</v>
      </c>
      <c r="C1770" s="5" t="s">
        <v>3321</v>
      </c>
      <c r="D1770" s="5" t="s">
        <v>3397</v>
      </c>
      <c r="E1770" s="5" t="s">
        <v>3398</v>
      </c>
      <c r="F1770" s="6"/>
      <c r="G1770" s="8">
        <v>1182.72</v>
      </c>
      <c r="H1770" s="5" t="s">
        <v>22</v>
      </c>
      <c r="I1770" s="7">
        <f t="shared" si="1"/>
        <v>1774.08</v>
      </c>
      <c r="J1770" s="7">
        <f t="shared" si="7"/>
        <v>1537.536</v>
      </c>
      <c r="K1770" s="7">
        <f t="shared" si="3"/>
        <v>1537.536</v>
      </c>
      <c r="L1770" s="7">
        <f t="shared" si="4"/>
        <v>1419.264</v>
      </c>
      <c r="M1770" s="7">
        <f t="shared" si="5"/>
        <v>1360.128</v>
      </c>
      <c r="N1770" s="7">
        <f t="shared" si="6"/>
        <v>1300.992</v>
      </c>
    </row>
    <row r="1771">
      <c r="A1771" s="5" t="s">
        <v>3320</v>
      </c>
      <c r="B1771" s="5" t="s">
        <v>1455</v>
      </c>
      <c r="C1771" s="5" t="s">
        <v>3321</v>
      </c>
      <c r="D1771" s="5" t="s">
        <v>3399</v>
      </c>
      <c r="E1771" s="5" t="s">
        <v>3400</v>
      </c>
      <c r="F1771" s="6"/>
      <c r="G1771" s="8">
        <v>1344.0</v>
      </c>
      <c r="H1771" s="5" t="s">
        <v>22</v>
      </c>
      <c r="I1771" s="7">
        <f t="shared" si="1"/>
        <v>2016</v>
      </c>
      <c r="J1771" s="7">
        <f t="shared" si="7"/>
        <v>1747.2</v>
      </c>
      <c r="K1771" s="7">
        <f t="shared" si="3"/>
        <v>1747.2</v>
      </c>
      <c r="L1771" s="7">
        <f t="shared" si="4"/>
        <v>1612.8</v>
      </c>
      <c r="M1771" s="7">
        <f t="shared" si="5"/>
        <v>1545.6</v>
      </c>
      <c r="N1771" s="7">
        <f t="shared" si="6"/>
        <v>1478.4</v>
      </c>
    </row>
    <row r="1772">
      <c r="A1772" s="5" t="s">
        <v>3320</v>
      </c>
      <c r="B1772" s="5" t="s">
        <v>1524</v>
      </c>
      <c r="C1772" s="5" t="s">
        <v>3321</v>
      </c>
      <c r="D1772" s="5" t="s">
        <v>3401</v>
      </c>
      <c r="E1772" s="5" t="s">
        <v>3402</v>
      </c>
      <c r="F1772" s="6"/>
      <c r="G1772" s="8">
        <v>77145.6</v>
      </c>
      <c r="H1772" s="5" t="s">
        <v>22</v>
      </c>
      <c r="I1772" s="7">
        <f t="shared" si="1"/>
        <v>115718.4</v>
      </c>
      <c r="J1772" s="7">
        <f t="shared" si="7"/>
        <v>100289.28</v>
      </c>
      <c r="K1772" s="7">
        <f t="shared" si="3"/>
        <v>100289.28</v>
      </c>
      <c r="L1772" s="7">
        <f t="shared" si="4"/>
        <v>92574.72</v>
      </c>
      <c r="M1772" s="7">
        <f t="shared" si="5"/>
        <v>88717.44</v>
      </c>
      <c r="N1772" s="7">
        <f t="shared" si="6"/>
        <v>84860.16</v>
      </c>
    </row>
    <row r="1773">
      <c r="A1773" s="5" t="s">
        <v>3320</v>
      </c>
      <c r="B1773" s="5" t="s">
        <v>1524</v>
      </c>
      <c r="C1773" s="5" t="s">
        <v>3321</v>
      </c>
      <c r="D1773" s="5" t="s">
        <v>3403</v>
      </c>
      <c r="E1773" s="5" t="s">
        <v>3404</v>
      </c>
      <c r="F1773" s="6"/>
      <c r="G1773" s="8">
        <v>88381.44</v>
      </c>
      <c r="H1773" s="5" t="s">
        <v>22</v>
      </c>
      <c r="I1773" s="7">
        <f t="shared" si="1"/>
        <v>132572.16</v>
      </c>
      <c r="J1773" s="7">
        <f t="shared" si="7"/>
        <v>114895.872</v>
      </c>
      <c r="K1773" s="7">
        <f t="shared" si="3"/>
        <v>114895.872</v>
      </c>
      <c r="L1773" s="7">
        <f t="shared" si="4"/>
        <v>106057.728</v>
      </c>
      <c r="M1773" s="7">
        <f t="shared" si="5"/>
        <v>101638.656</v>
      </c>
      <c r="N1773" s="7">
        <f t="shared" si="6"/>
        <v>97219.584</v>
      </c>
    </row>
    <row r="1774">
      <c r="A1774" s="5" t="s">
        <v>3320</v>
      </c>
      <c r="B1774" s="5" t="s">
        <v>1524</v>
      </c>
      <c r="C1774" s="5" t="s">
        <v>3321</v>
      </c>
      <c r="D1774" s="5" t="s">
        <v>3403</v>
      </c>
      <c r="E1774" s="5" t="s">
        <v>3405</v>
      </c>
      <c r="F1774" s="6"/>
      <c r="G1774" s="8">
        <v>78256.0</v>
      </c>
      <c r="H1774" s="5" t="s">
        <v>22</v>
      </c>
      <c r="I1774" s="7">
        <f t="shared" si="1"/>
        <v>117384</v>
      </c>
      <c r="J1774" s="7">
        <f t="shared" si="7"/>
        <v>101732.8</v>
      </c>
      <c r="K1774" s="7">
        <f t="shared" si="3"/>
        <v>101732.8</v>
      </c>
      <c r="L1774" s="7">
        <f t="shared" si="4"/>
        <v>93907.2</v>
      </c>
      <c r="M1774" s="7">
        <f t="shared" si="5"/>
        <v>89994.4</v>
      </c>
      <c r="N1774" s="7">
        <f t="shared" si="6"/>
        <v>86081.6</v>
      </c>
    </row>
    <row r="1775">
      <c r="A1775" s="5" t="s">
        <v>3320</v>
      </c>
      <c r="B1775" s="5" t="s">
        <v>1524</v>
      </c>
      <c r="C1775" s="5" t="s">
        <v>3321</v>
      </c>
      <c r="D1775" s="5" t="s">
        <v>3406</v>
      </c>
      <c r="E1775" s="5" t="s">
        <v>3407</v>
      </c>
      <c r="F1775" s="6"/>
      <c r="G1775" s="8">
        <v>111056.0</v>
      </c>
      <c r="H1775" s="5" t="s">
        <v>22</v>
      </c>
      <c r="I1775" s="7">
        <f t="shared" si="1"/>
        <v>166584</v>
      </c>
      <c r="J1775" s="7">
        <f t="shared" si="7"/>
        <v>144372.8</v>
      </c>
      <c r="K1775" s="7">
        <f t="shared" si="3"/>
        <v>144372.8</v>
      </c>
      <c r="L1775" s="7">
        <f t="shared" si="4"/>
        <v>133267.2</v>
      </c>
      <c r="M1775" s="7">
        <f t="shared" si="5"/>
        <v>127714.4</v>
      </c>
      <c r="N1775" s="7">
        <f t="shared" si="6"/>
        <v>122161.6</v>
      </c>
    </row>
    <row r="1776">
      <c r="A1776" s="5" t="s">
        <v>3320</v>
      </c>
      <c r="B1776" s="5" t="s">
        <v>1524</v>
      </c>
      <c r="C1776" s="5" t="s">
        <v>3321</v>
      </c>
      <c r="D1776" s="5" t="s">
        <v>3408</v>
      </c>
      <c r="E1776" s="5" t="s">
        <v>3409</v>
      </c>
      <c r="F1776" s="6"/>
      <c r="G1776" s="8">
        <v>172978.18</v>
      </c>
      <c r="H1776" s="5" t="s">
        <v>22</v>
      </c>
      <c r="I1776" s="7">
        <f t="shared" si="1"/>
        <v>259467.27</v>
      </c>
      <c r="J1776" s="7">
        <f t="shared" si="7"/>
        <v>224871.634</v>
      </c>
      <c r="K1776" s="7">
        <f t="shared" si="3"/>
        <v>224871.634</v>
      </c>
      <c r="L1776" s="7">
        <f t="shared" si="4"/>
        <v>207573.816</v>
      </c>
      <c r="M1776" s="7">
        <f t="shared" si="5"/>
        <v>198924.907</v>
      </c>
      <c r="N1776" s="7">
        <f t="shared" si="6"/>
        <v>190275.998</v>
      </c>
    </row>
    <row r="1777">
      <c r="A1777" s="5" t="s">
        <v>3320</v>
      </c>
      <c r="B1777" s="5" t="s">
        <v>1524</v>
      </c>
      <c r="C1777" s="5" t="s">
        <v>3321</v>
      </c>
      <c r="D1777" s="5" t="s">
        <v>3410</v>
      </c>
      <c r="E1777" s="5" t="s">
        <v>3411</v>
      </c>
      <c r="F1777" s="6"/>
      <c r="G1777" s="8">
        <v>191256.58</v>
      </c>
      <c r="H1777" s="5" t="s">
        <v>22</v>
      </c>
      <c r="I1777" s="7">
        <f t="shared" si="1"/>
        <v>286884.87</v>
      </c>
      <c r="J1777" s="7">
        <f t="shared" si="7"/>
        <v>248633.554</v>
      </c>
      <c r="K1777" s="7">
        <f t="shared" si="3"/>
        <v>248633.554</v>
      </c>
      <c r="L1777" s="7">
        <f t="shared" si="4"/>
        <v>229507.896</v>
      </c>
      <c r="M1777" s="7">
        <f t="shared" si="5"/>
        <v>219945.067</v>
      </c>
      <c r="N1777" s="7">
        <f t="shared" si="6"/>
        <v>210382.238</v>
      </c>
    </row>
    <row r="1778">
      <c r="A1778" s="5" t="s">
        <v>3320</v>
      </c>
      <c r="B1778" s="5" t="s">
        <v>1524</v>
      </c>
      <c r="C1778" s="5" t="s">
        <v>3321</v>
      </c>
      <c r="D1778" s="5" t="s">
        <v>3412</v>
      </c>
      <c r="E1778" s="5" t="s">
        <v>3413</v>
      </c>
      <c r="F1778" s="6"/>
      <c r="G1778" s="8">
        <v>188783.62</v>
      </c>
      <c r="H1778" s="5" t="s">
        <v>22</v>
      </c>
      <c r="I1778" s="7">
        <f t="shared" si="1"/>
        <v>283175.43</v>
      </c>
      <c r="J1778" s="7">
        <f t="shared" si="7"/>
        <v>245418.706</v>
      </c>
      <c r="K1778" s="7">
        <f t="shared" si="3"/>
        <v>245418.706</v>
      </c>
      <c r="L1778" s="7">
        <f t="shared" si="4"/>
        <v>226540.344</v>
      </c>
      <c r="M1778" s="7">
        <f t="shared" si="5"/>
        <v>217101.163</v>
      </c>
      <c r="N1778" s="7">
        <f t="shared" si="6"/>
        <v>207661.982</v>
      </c>
    </row>
    <row r="1779">
      <c r="A1779" s="5" t="s">
        <v>3320</v>
      </c>
      <c r="B1779" s="5" t="s">
        <v>1524</v>
      </c>
      <c r="C1779" s="5" t="s">
        <v>3321</v>
      </c>
      <c r="D1779" s="5" t="s">
        <v>3414</v>
      </c>
      <c r="E1779" s="5" t="s">
        <v>3415</v>
      </c>
      <c r="F1779" s="6"/>
      <c r="G1779" s="8">
        <v>207062.02</v>
      </c>
      <c r="H1779" s="5" t="s">
        <v>22</v>
      </c>
      <c r="I1779" s="7">
        <f t="shared" si="1"/>
        <v>310593.03</v>
      </c>
      <c r="J1779" s="7">
        <f t="shared" si="7"/>
        <v>269180.626</v>
      </c>
      <c r="K1779" s="7">
        <f t="shared" si="3"/>
        <v>269180.626</v>
      </c>
      <c r="L1779" s="7">
        <f t="shared" si="4"/>
        <v>248474.424</v>
      </c>
      <c r="M1779" s="7">
        <f t="shared" si="5"/>
        <v>238121.323</v>
      </c>
      <c r="N1779" s="7">
        <f t="shared" si="6"/>
        <v>227768.222</v>
      </c>
    </row>
    <row r="1780">
      <c r="A1780" s="5" t="s">
        <v>3320</v>
      </c>
      <c r="B1780" s="5" t="s">
        <v>1524</v>
      </c>
      <c r="C1780" s="5" t="s">
        <v>3321</v>
      </c>
      <c r="D1780" s="5" t="s">
        <v>3416</v>
      </c>
      <c r="E1780" s="5" t="s">
        <v>3417</v>
      </c>
      <c r="F1780" s="6"/>
      <c r="G1780" s="8">
        <v>214910.98</v>
      </c>
      <c r="H1780" s="5" t="s">
        <v>22</v>
      </c>
      <c r="I1780" s="7">
        <f t="shared" si="1"/>
        <v>322366.47</v>
      </c>
      <c r="J1780" s="7">
        <f t="shared" si="7"/>
        <v>279384.274</v>
      </c>
      <c r="K1780" s="7">
        <f t="shared" si="3"/>
        <v>279384.274</v>
      </c>
      <c r="L1780" s="7">
        <f t="shared" si="4"/>
        <v>257893.176</v>
      </c>
      <c r="M1780" s="7">
        <f t="shared" si="5"/>
        <v>247147.627</v>
      </c>
      <c r="N1780" s="7">
        <f t="shared" si="6"/>
        <v>236402.078</v>
      </c>
    </row>
    <row r="1781">
      <c r="A1781" s="5" t="s">
        <v>3320</v>
      </c>
      <c r="B1781" s="5" t="s">
        <v>1524</v>
      </c>
      <c r="C1781" s="5" t="s">
        <v>3321</v>
      </c>
      <c r="D1781" s="5" t="s">
        <v>3418</v>
      </c>
      <c r="E1781" s="5" t="s">
        <v>3419</v>
      </c>
      <c r="F1781" s="6"/>
      <c r="G1781" s="8">
        <v>233189.38</v>
      </c>
      <c r="H1781" s="5" t="s">
        <v>22</v>
      </c>
      <c r="I1781" s="7">
        <f t="shared" si="1"/>
        <v>349784.07</v>
      </c>
      <c r="J1781" s="7">
        <f t="shared" si="7"/>
        <v>303146.194</v>
      </c>
      <c r="K1781" s="7">
        <f t="shared" si="3"/>
        <v>303146.194</v>
      </c>
      <c r="L1781" s="7">
        <f t="shared" si="4"/>
        <v>279827.256</v>
      </c>
      <c r="M1781" s="7">
        <f t="shared" si="5"/>
        <v>268167.787</v>
      </c>
      <c r="N1781" s="7">
        <f t="shared" si="6"/>
        <v>256508.318</v>
      </c>
    </row>
    <row r="1782">
      <c r="A1782" s="5" t="s">
        <v>3320</v>
      </c>
      <c r="B1782" s="5" t="s">
        <v>1524</v>
      </c>
      <c r="C1782" s="5" t="s">
        <v>3321</v>
      </c>
      <c r="D1782" s="5" t="s">
        <v>3420</v>
      </c>
      <c r="E1782" s="5" t="s">
        <v>3421</v>
      </c>
      <c r="F1782" s="6"/>
      <c r="G1782" s="8">
        <v>3515.0</v>
      </c>
      <c r="H1782" s="5" t="s">
        <v>22</v>
      </c>
      <c r="I1782" s="7">
        <f t="shared" si="1"/>
        <v>5272.5</v>
      </c>
      <c r="J1782" s="7">
        <f t="shared" si="7"/>
        <v>4569.5</v>
      </c>
      <c r="K1782" s="7">
        <f t="shared" si="3"/>
        <v>4569.5</v>
      </c>
      <c r="L1782" s="7">
        <f t="shared" si="4"/>
        <v>4218</v>
      </c>
      <c r="M1782" s="7">
        <f t="shared" si="5"/>
        <v>4042.25</v>
      </c>
      <c r="N1782" s="7">
        <f t="shared" si="6"/>
        <v>3866.5</v>
      </c>
    </row>
    <row r="1783">
      <c r="A1783" s="5" t="s">
        <v>3320</v>
      </c>
      <c r="B1783" s="5" t="s">
        <v>1524</v>
      </c>
      <c r="C1783" s="5" t="s">
        <v>3321</v>
      </c>
      <c r="D1783" s="5" t="s">
        <v>3422</v>
      </c>
      <c r="E1783" s="5" t="s">
        <v>3423</v>
      </c>
      <c r="F1783" s="6"/>
      <c r="G1783" s="8">
        <v>4115.0</v>
      </c>
      <c r="H1783" s="5" t="s">
        <v>22</v>
      </c>
      <c r="I1783" s="7">
        <f t="shared" si="1"/>
        <v>6172.5</v>
      </c>
      <c r="J1783" s="7">
        <f t="shared" si="7"/>
        <v>5349.5</v>
      </c>
      <c r="K1783" s="7">
        <f t="shared" si="3"/>
        <v>5349.5</v>
      </c>
      <c r="L1783" s="7">
        <f t="shared" si="4"/>
        <v>4938</v>
      </c>
      <c r="M1783" s="7">
        <f t="shared" si="5"/>
        <v>4732.25</v>
      </c>
      <c r="N1783" s="7">
        <f t="shared" si="6"/>
        <v>4526.5</v>
      </c>
    </row>
    <row r="1784">
      <c r="A1784" s="5" t="s">
        <v>3320</v>
      </c>
      <c r="B1784" s="5" t="s">
        <v>1524</v>
      </c>
      <c r="C1784" s="5" t="s">
        <v>3321</v>
      </c>
      <c r="D1784" s="5" t="s">
        <v>3424</v>
      </c>
      <c r="E1784" s="5" t="s">
        <v>3425</v>
      </c>
      <c r="F1784" s="6"/>
      <c r="G1784" s="8">
        <v>3053.57</v>
      </c>
      <c r="H1784" s="5" t="s">
        <v>22</v>
      </c>
      <c r="I1784" s="7">
        <f t="shared" si="1"/>
        <v>4580.355</v>
      </c>
      <c r="J1784" s="7">
        <f t="shared" si="7"/>
        <v>3969.641</v>
      </c>
      <c r="K1784" s="7">
        <f t="shared" si="3"/>
        <v>3969.641</v>
      </c>
      <c r="L1784" s="7">
        <f t="shared" si="4"/>
        <v>3664.284</v>
      </c>
      <c r="M1784" s="7">
        <f t="shared" si="5"/>
        <v>3511.6055</v>
      </c>
      <c r="N1784" s="7">
        <f t="shared" si="6"/>
        <v>3358.927</v>
      </c>
    </row>
    <row r="1785">
      <c r="A1785" s="5" t="s">
        <v>3320</v>
      </c>
      <c r="B1785" s="5" t="s">
        <v>1524</v>
      </c>
      <c r="C1785" s="5" t="s">
        <v>3321</v>
      </c>
      <c r="D1785" s="5" t="s">
        <v>3426</v>
      </c>
      <c r="E1785" s="5" t="s">
        <v>3427</v>
      </c>
      <c r="F1785" s="6"/>
      <c r="G1785" s="8">
        <v>4687.87</v>
      </c>
      <c r="H1785" s="5" t="s">
        <v>22</v>
      </c>
      <c r="I1785" s="7">
        <f t="shared" si="1"/>
        <v>7031.805</v>
      </c>
      <c r="J1785" s="7">
        <f t="shared" si="7"/>
        <v>6094.231</v>
      </c>
      <c r="K1785" s="7">
        <f t="shared" si="3"/>
        <v>6094.231</v>
      </c>
      <c r="L1785" s="7">
        <f t="shared" si="4"/>
        <v>5625.444</v>
      </c>
      <c r="M1785" s="7">
        <f t="shared" si="5"/>
        <v>5391.0505</v>
      </c>
      <c r="N1785" s="7">
        <f t="shared" si="6"/>
        <v>5156.657</v>
      </c>
    </row>
    <row r="1786">
      <c r="A1786" s="5" t="s">
        <v>3320</v>
      </c>
      <c r="B1786" s="5" t="s">
        <v>1524</v>
      </c>
      <c r="C1786" s="5" t="s">
        <v>3321</v>
      </c>
      <c r="D1786" s="5" t="s">
        <v>3428</v>
      </c>
      <c r="E1786" s="5" t="s">
        <v>3429</v>
      </c>
      <c r="F1786" s="6"/>
      <c r="G1786" s="8">
        <v>4096.51</v>
      </c>
      <c r="H1786" s="5" t="s">
        <v>22</v>
      </c>
      <c r="I1786" s="7">
        <f t="shared" si="1"/>
        <v>6144.765</v>
      </c>
      <c r="J1786" s="7">
        <f t="shared" si="7"/>
        <v>5325.463</v>
      </c>
      <c r="K1786" s="7">
        <f t="shared" si="3"/>
        <v>5325.463</v>
      </c>
      <c r="L1786" s="7">
        <f t="shared" si="4"/>
        <v>4915.812</v>
      </c>
      <c r="M1786" s="7">
        <f t="shared" si="5"/>
        <v>4710.9865</v>
      </c>
      <c r="N1786" s="7">
        <f t="shared" si="6"/>
        <v>4506.161</v>
      </c>
    </row>
    <row r="1787">
      <c r="A1787" s="5" t="s">
        <v>3320</v>
      </c>
      <c r="B1787" s="5" t="s">
        <v>1524</v>
      </c>
      <c r="C1787" s="5" t="s">
        <v>3321</v>
      </c>
      <c r="D1787" s="5" t="s">
        <v>3430</v>
      </c>
      <c r="E1787" s="5" t="s">
        <v>3431</v>
      </c>
      <c r="F1787" s="6"/>
      <c r="G1787" s="8">
        <v>4515.84</v>
      </c>
      <c r="H1787" s="5" t="s">
        <v>22</v>
      </c>
      <c r="I1787" s="7">
        <f t="shared" si="1"/>
        <v>6773.76</v>
      </c>
      <c r="J1787" s="7">
        <f t="shared" si="7"/>
        <v>5870.592</v>
      </c>
      <c r="K1787" s="7">
        <f t="shared" si="3"/>
        <v>5870.592</v>
      </c>
      <c r="L1787" s="7">
        <f t="shared" si="4"/>
        <v>5419.008</v>
      </c>
      <c r="M1787" s="7">
        <f t="shared" si="5"/>
        <v>5193.216</v>
      </c>
      <c r="N1787" s="7">
        <f t="shared" si="6"/>
        <v>4967.424</v>
      </c>
    </row>
    <row r="1788">
      <c r="A1788" s="5" t="s">
        <v>3320</v>
      </c>
      <c r="B1788" s="5" t="s">
        <v>1524</v>
      </c>
      <c r="C1788" s="5" t="s">
        <v>3321</v>
      </c>
      <c r="D1788" s="5" t="s">
        <v>3432</v>
      </c>
      <c r="E1788" s="5" t="s">
        <v>3433</v>
      </c>
      <c r="F1788" s="6"/>
      <c r="G1788" s="8">
        <v>7900.0</v>
      </c>
      <c r="H1788" s="5" t="s">
        <v>22</v>
      </c>
      <c r="I1788" s="7">
        <f t="shared" si="1"/>
        <v>11850</v>
      </c>
      <c r="J1788" s="7">
        <f t="shared" si="7"/>
        <v>10270</v>
      </c>
      <c r="K1788" s="7">
        <f t="shared" si="3"/>
        <v>10270</v>
      </c>
      <c r="L1788" s="7">
        <f t="shared" si="4"/>
        <v>9480</v>
      </c>
      <c r="M1788" s="7">
        <f t="shared" si="5"/>
        <v>9085</v>
      </c>
      <c r="N1788" s="7">
        <f t="shared" si="6"/>
        <v>8690</v>
      </c>
    </row>
    <row r="1789">
      <c r="A1789" s="5" t="s">
        <v>3320</v>
      </c>
      <c r="B1789" s="5" t="s">
        <v>1524</v>
      </c>
      <c r="C1789" s="5" t="s">
        <v>3321</v>
      </c>
      <c r="D1789" s="5" t="s">
        <v>3434</v>
      </c>
      <c r="E1789" s="5" t="s">
        <v>3435</v>
      </c>
      <c r="F1789" s="6"/>
      <c r="G1789" s="8">
        <v>3171.84</v>
      </c>
      <c r="H1789" s="5" t="s">
        <v>22</v>
      </c>
      <c r="I1789" s="7">
        <f t="shared" si="1"/>
        <v>4757.76</v>
      </c>
      <c r="J1789" s="7">
        <f t="shared" si="7"/>
        <v>4123.392</v>
      </c>
      <c r="K1789" s="7">
        <f t="shared" si="3"/>
        <v>4123.392</v>
      </c>
      <c r="L1789" s="7">
        <f t="shared" si="4"/>
        <v>3806.208</v>
      </c>
      <c r="M1789" s="7">
        <f t="shared" si="5"/>
        <v>3647.616</v>
      </c>
      <c r="N1789" s="7">
        <f t="shared" si="6"/>
        <v>3489.024</v>
      </c>
    </row>
    <row r="1790">
      <c r="A1790" s="5" t="s">
        <v>3320</v>
      </c>
      <c r="B1790" s="5" t="s">
        <v>1524</v>
      </c>
      <c r="C1790" s="5" t="s">
        <v>3321</v>
      </c>
      <c r="D1790" s="5" t="s">
        <v>3436</v>
      </c>
      <c r="E1790" s="5" t="s">
        <v>3437</v>
      </c>
      <c r="F1790" s="6"/>
      <c r="G1790" s="8">
        <v>2849.28</v>
      </c>
      <c r="H1790" s="5" t="s">
        <v>22</v>
      </c>
      <c r="I1790" s="7">
        <f t="shared" si="1"/>
        <v>4273.92</v>
      </c>
      <c r="J1790" s="7">
        <f t="shared" si="7"/>
        <v>3704.064</v>
      </c>
      <c r="K1790" s="7">
        <f t="shared" si="3"/>
        <v>3704.064</v>
      </c>
      <c r="L1790" s="7">
        <f t="shared" si="4"/>
        <v>3419.136</v>
      </c>
      <c r="M1790" s="7">
        <f t="shared" si="5"/>
        <v>3276.672</v>
      </c>
      <c r="N1790" s="7">
        <f t="shared" si="6"/>
        <v>3134.208</v>
      </c>
    </row>
    <row r="1791">
      <c r="A1791" s="5" t="s">
        <v>3320</v>
      </c>
      <c r="B1791" s="5" t="s">
        <v>1524</v>
      </c>
      <c r="C1791" s="5" t="s">
        <v>3321</v>
      </c>
      <c r="D1791" s="5" t="s">
        <v>3438</v>
      </c>
      <c r="E1791" s="5" t="s">
        <v>3439</v>
      </c>
      <c r="F1791" s="6"/>
      <c r="G1791" s="8">
        <v>2526.72</v>
      </c>
      <c r="H1791" s="5" t="s">
        <v>22</v>
      </c>
      <c r="I1791" s="7">
        <f t="shared" si="1"/>
        <v>3790.08</v>
      </c>
      <c r="J1791" s="7">
        <f t="shared" si="7"/>
        <v>3284.736</v>
      </c>
      <c r="K1791" s="7">
        <f t="shared" si="3"/>
        <v>3284.736</v>
      </c>
      <c r="L1791" s="7">
        <f t="shared" si="4"/>
        <v>3032.064</v>
      </c>
      <c r="M1791" s="7">
        <f t="shared" si="5"/>
        <v>2905.728</v>
      </c>
      <c r="N1791" s="7">
        <f t="shared" si="6"/>
        <v>2779.392</v>
      </c>
    </row>
    <row r="1792">
      <c r="A1792" s="5" t="s">
        <v>3320</v>
      </c>
      <c r="B1792" s="5" t="s">
        <v>1524</v>
      </c>
      <c r="C1792" s="5" t="s">
        <v>3321</v>
      </c>
      <c r="D1792" s="5" t="s">
        <v>3440</v>
      </c>
      <c r="E1792" s="5" t="s">
        <v>3441</v>
      </c>
      <c r="F1792" s="6"/>
      <c r="G1792" s="8">
        <v>2526.72</v>
      </c>
      <c r="H1792" s="5" t="s">
        <v>22</v>
      </c>
      <c r="I1792" s="7">
        <f t="shared" si="1"/>
        <v>3790.08</v>
      </c>
      <c r="J1792" s="7">
        <f t="shared" si="7"/>
        <v>3284.736</v>
      </c>
      <c r="K1792" s="7">
        <f t="shared" si="3"/>
        <v>3284.736</v>
      </c>
      <c r="L1792" s="7">
        <f t="shared" si="4"/>
        <v>3032.064</v>
      </c>
      <c r="M1792" s="7">
        <f t="shared" si="5"/>
        <v>2905.728</v>
      </c>
      <c r="N1792" s="7">
        <f t="shared" si="6"/>
        <v>2779.392</v>
      </c>
    </row>
    <row r="1793">
      <c r="A1793" s="5" t="s">
        <v>3320</v>
      </c>
      <c r="B1793" s="5" t="s">
        <v>1524</v>
      </c>
      <c r="C1793" s="5" t="s">
        <v>3321</v>
      </c>
      <c r="D1793" s="5" t="s">
        <v>3442</v>
      </c>
      <c r="E1793" s="5" t="s">
        <v>3443</v>
      </c>
      <c r="F1793" s="6"/>
      <c r="G1793" s="8">
        <v>2526.72</v>
      </c>
      <c r="H1793" s="5" t="s">
        <v>22</v>
      </c>
      <c r="I1793" s="7">
        <f t="shared" si="1"/>
        <v>3790.08</v>
      </c>
      <c r="J1793" s="7">
        <f t="shared" si="7"/>
        <v>3284.736</v>
      </c>
      <c r="K1793" s="7">
        <f t="shared" si="3"/>
        <v>3284.736</v>
      </c>
      <c r="L1793" s="7">
        <f t="shared" si="4"/>
        <v>3032.064</v>
      </c>
      <c r="M1793" s="7">
        <f t="shared" si="5"/>
        <v>2905.728</v>
      </c>
      <c r="N1793" s="7">
        <f t="shared" si="6"/>
        <v>2779.392</v>
      </c>
    </row>
    <row r="1794">
      <c r="A1794" s="5" t="s">
        <v>3320</v>
      </c>
      <c r="B1794" s="5" t="s">
        <v>1524</v>
      </c>
      <c r="C1794" s="5" t="s">
        <v>3321</v>
      </c>
      <c r="D1794" s="5" t="s">
        <v>3444</v>
      </c>
      <c r="E1794" s="5" t="s">
        <v>3445</v>
      </c>
      <c r="F1794" s="6"/>
      <c r="G1794" s="8">
        <v>2526.72</v>
      </c>
      <c r="H1794" s="5" t="s">
        <v>22</v>
      </c>
      <c r="I1794" s="7">
        <f t="shared" si="1"/>
        <v>3790.08</v>
      </c>
      <c r="J1794" s="7">
        <f t="shared" si="7"/>
        <v>3284.736</v>
      </c>
      <c r="K1794" s="7">
        <f t="shared" si="3"/>
        <v>3284.736</v>
      </c>
      <c r="L1794" s="7">
        <f t="shared" si="4"/>
        <v>3032.064</v>
      </c>
      <c r="M1794" s="7">
        <f t="shared" si="5"/>
        <v>2905.728</v>
      </c>
      <c r="N1794" s="7">
        <f t="shared" si="6"/>
        <v>2779.392</v>
      </c>
    </row>
    <row r="1795">
      <c r="A1795" s="5" t="s">
        <v>3320</v>
      </c>
      <c r="B1795" s="5" t="s">
        <v>1524</v>
      </c>
      <c r="C1795" s="5" t="s">
        <v>3321</v>
      </c>
      <c r="D1795" s="5" t="s">
        <v>3446</v>
      </c>
      <c r="E1795" s="5" t="s">
        <v>3447</v>
      </c>
      <c r="F1795" s="6"/>
      <c r="G1795" s="8">
        <v>5806.08</v>
      </c>
      <c r="H1795" s="5" t="s">
        <v>22</v>
      </c>
      <c r="I1795" s="7">
        <f t="shared" si="1"/>
        <v>8709.12</v>
      </c>
      <c r="J1795" s="7">
        <f t="shared" si="7"/>
        <v>7547.904</v>
      </c>
      <c r="K1795" s="7">
        <f t="shared" si="3"/>
        <v>7547.904</v>
      </c>
      <c r="L1795" s="7">
        <f t="shared" si="4"/>
        <v>6967.296</v>
      </c>
      <c r="M1795" s="7">
        <f t="shared" si="5"/>
        <v>6676.992</v>
      </c>
      <c r="N1795" s="7">
        <f t="shared" si="6"/>
        <v>6386.688</v>
      </c>
    </row>
    <row r="1796">
      <c r="A1796" s="5" t="s">
        <v>3320</v>
      </c>
      <c r="B1796" s="5" t="s">
        <v>1524</v>
      </c>
      <c r="C1796" s="5" t="s">
        <v>3321</v>
      </c>
      <c r="D1796" s="5" t="s">
        <v>3448</v>
      </c>
      <c r="E1796" s="5" t="s">
        <v>3449</v>
      </c>
      <c r="F1796" s="6"/>
      <c r="G1796" s="8">
        <v>9031.68</v>
      </c>
      <c r="H1796" s="5" t="s">
        <v>22</v>
      </c>
      <c r="I1796" s="7">
        <f t="shared" si="1"/>
        <v>13547.52</v>
      </c>
      <c r="J1796" s="7">
        <f t="shared" si="7"/>
        <v>11741.184</v>
      </c>
      <c r="K1796" s="7">
        <f t="shared" si="3"/>
        <v>11741.184</v>
      </c>
      <c r="L1796" s="7">
        <f t="shared" si="4"/>
        <v>10838.016</v>
      </c>
      <c r="M1796" s="7">
        <f t="shared" si="5"/>
        <v>10386.432</v>
      </c>
      <c r="N1796" s="7">
        <f t="shared" si="6"/>
        <v>9934.848</v>
      </c>
    </row>
    <row r="1797">
      <c r="A1797" s="5" t="s">
        <v>3320</v>
      </c>
      <c r="B1797" s="5" t="s">
        <v>1524</v>
      </c>
      <c r="C1797" s="5" t="s">
        <v>3321</v>
      </c>
      <c r="D1797" s="5" t="s">
        <v>3450</v>
      </c>
      <c r="E1797" s="5" t="s">
        <v>3451</v>
      </c>
      <c r="F1797" s="6"/>
      <c r="G1797" s="8">
        <v>10321.92</v>
      </c>
      <c r="H1797" s="5" t="s">
        <v>22</v>
      </c>
      <c r="I1797" s="7">
        <f t="shared" si="1"/>
        <v>15482.88</v>
      </c>
      <c r="J1797" s="7">
        <f t="shared" si="7"/>
        <v>13418.496</v>
      </c>
      <c r="K1797" s="7">
        <f t="shared" si="3"/>
        <v>13418.496</v>
      </c>
      <c r="L1797" s="7">
        <f t="shared" si="4"/>
        <v>12386.304</v>
      </c>
      <c r="M1797" s="7">
        <f t="shared" si="5"/>
        <v>11870.208</v>
      </c>
      <c r="N1797" s="7">
        <f t="shared" si="6"/>
        <v>11354.112</v>
      </c>
    </row>
    <row r="1798">
      <c r="A1798" s="5" t="s">
        <v>3320</v>
      </c>
      <c r="B1798" s="5" t="s">
        <v>1524</v>
      </c>
      <c r="C1798" s="5" t="s">
        <v>3321</v>
      </c>
      <c r="D1798" s="5" t="s">
        <v>3452</v>
      </c>
      <c r="E1798" s="5" t="s">
        <v>3453</v>
      </c>
      <c r="F1798" s="6"/>
      <c r="G1798" s="8">
        <v>11827.2</v>
      </c>
      <c r="H1798" s="5" t="s">
        <v>22</v>
      </c>
      <c r="I1798" s="7">
        <f t="shared" si="1"/>
        <v>17740.8</v>
      </c>
      <c r="J1798" s="7">
        <f t="shared" si="7"/>
        <v>15375.36</v>
      </c>
      <c r="K1798" s="7">
        <f t="shared" si="3"/>
        <v>15375.36</v>
      </c>
      <c r="L1798" s="7">
        <f t="shared" si="4"/>
        <v>14192.64</v>
      </c>
      <c r="M1798" s="7">
        <f t="shared" si="5"/>
        <v>13601.28</v>
      </c>
      <c r="N1798" s="7">
        <f t="shared" si="6"/>
        <v>13009.92</v>
      </c>
    </row>
    <row r="1799">
      <c r="A1799" s="5" t="s">
        <v>3320</v>
      </c>
      <c r="B1799" s="5" t="s">
        <v>1524</v>
      </c>
      <c r="C1799" s="5" t="s">
        <v>3321</v>
      </c>
      <c r="D1799" s="5" t="s">
        <v>3454</v>
      </c>
      <c r="E1799" s="5" t="s">
        <v>3455</v>
      </c>
      <c r="F1799" s="6"/>
      <c r="G1799" s="8">
        <v>13224.96</v>
      </c>
      <c r="H1799" s="5" t="s">
        <v>22</v>
      </c>
      <c r="I1799" s="7">
        <f t="shared" si="1"/>
        <v>19837.44</v>
      </c>
      <c r="J1799" s="7">
        <f t="shared" si="7"/>
        <v>17192.448</v>
      </c>
      <c r="K1799" s="7">
        <f t="shared" si="3"/>
        <v>17192.448</v>
      </c>
      <c r="L1799" s="7">
        <f t="shared" si="4"/>
        <v>15869.952</v>
      </c>
      <c r="M1799" s="7">
        <f t="shared" si="5"/>
        <v>15208.704</v>
      </c>
      <c r="N1799" s="7">
        <f t="shared" si="6"/>
        <v>14547.456</v>
      </c>
    </row>
    <row r="1800">
      <c r="A1800" s="5" t="s">
        <v>3320</v>
      </c>
      <c r="B1800" s="5" t="s">
        <v>1524</v>
      </c>
      <c r="C1800" s="5" t="s">
        <v>3321</v>
      </c>
      <c r="D1800" s="5" t="s">
        <v>3456</v>
      </c>
      <c r="E1800" s="5" t="s">
        <v>3457</v>
      </c>
      <c r="F1800" s="6"/>
      <c r="G1800" s="8">
        <v>53760.0</v>
      </c>
      <c r="H1800" s="5" t="s">
        <v>22</v>
      </c>
      <c r="I1800" s="7">
        <f t="shared" si="1"/>
        <v>80640</v>
      </c>
      <c r="J1800" s="7">
        <f t="shared" si="7"/>
        <v>69888</v>
      </c>
      <c r="K1800" s="7">
        <f t="shared" si="3"/>
        <v>69888</v>
      </c>
      <c r="L1800" s="7">
        <f t="shared" si="4"/>
        <v>64512</v>
      </c>
      <c r="M1800" s="7">
        <f t="shared" si="5"/>
        <v>61824</v>
      </c>
      <c r="N1800" s="7">
        <f t="shared" si="6"/>
        <v>59136</v>
      </c>
    </row>
    <row r="1801">
      <c r="A1801" s="5" t="s">
        <v>3320</v>
      </c>
      <c r="B1801" s="5" t="s">
        <v>1524</v>
      </c>
      <c r="C1801" s="5" t="s">
        <v>3321</v>
      </c>
      <c r="D1801" s="5" t="s">
        <v>3458</v>
      </c>
      <c r="E1801" s="5" t="s">
        <v>3459</v>
      </c>
      <c r="F1801" s="6"/>
      <c r="G1801" s="8">
        <v>61160.0</v>
      </c>
      <c r="H1801" s="5" t="s">
        <v>22</v>
      </c>
      <c r="I1801" s="7">
        <f t="shared" si="1"/>
        <v>91740</v>
      </c>
      <c r="J1801" s="7">
        <f t="shared" si="7"/>
        <v>79508</v>
      </c>
      <c r="K1801" s="7">
        <f t="shared" si="3"/>
        <v>79508</v>
      </c>
      <c r="L1801" s="7">
        <f t="shared" si="4"/>
        <v>73392</v>
      </c>
      <c r="M1801" s="7">
        <f t="shared" si="5"/>
        <v>70334</v>
      </c>
      <c r="N1801" s="7">
        <f t="shared" si="6"/>
        <v>67276</v>
      </c>
    </row>
    <row r="1802">
      <c r="A1802" s="5" t="s">
        <v>3320</v>
      </c>
      <c r="B1802" s="5" t="s">
        <v>1524</v>
      </c>
      <c r="C1802" s="5" t="s">
        <v>3321</v>
      </c>
      <c r="D1802" s="5" t="s">
        <v>3460</v>
      </c>
      <c r="E1802" s="5" t="s">
        <v>3461</v>
      </c>
      <c r="F1802" s="6"/>
      <c r="G1802" s="8">
        <v>63275.52</v>
      </c>
      <c r="H1802" s="5" t="s">
        <v>22</v>
      </c>
      <c r="I1802" s="7">
        <f t="shared" si="1"/>
        <v>94913.28</v>
      </c>
      <c r="J1802" s="7">
        <f t="shared" si="7"/>
        <v>82258.176</v>
      </c>
      <c r="K1802" s="7">
        <f t="shared" si="3"/>
        <v>82258.176</v>
      </c>
      <c r="L1802" s="7">
        <f t="shared" si="4"/>
        <v>75930.624</v>
      </c>
      <c r="M1802" s="7">
        <f t="shared" si="5"/>
        <v>72766.848</v>
      </c>
      <c r="N1802" s="7">
        <f t="shared" si="6"/>
        <v>69603.072</v>
      </c>
    </row>
    <row r="1803">
      <c r="A1803" s="5" t="s">
        <v>3320</v>
      </c>
      <c r="B1803" s="5" t="s">
        <v>1524</v>
      </c>
      <c r="C1803" s="5" t="s">
        <v>3321</v>
      </c>
      <c r="D1803" s="5" t="s">
        <v>3462</v>
      </c>
      <c r="E1803" s="5" t="s">
        <v>3463</v>
      </c>
      <c r="F1803" s="6"/>
      <c r="G1803" s="8">
        <v>77253.12</v>
      </c>
      <c r="H1803" s="5" t="s">
        <v>22</v>
      </c>
      <c r="I1803" s="7">
        <f t="shared" si="1"/>
        <v>115879.68</v>
      </c>
      <c r="J1803" s="7">
        <f t="shared" si="7"/>
        <v>100429.056</v>
      </c>
      <c r="K1803" s="7">
        <f t="shared" si="3"/>
        <v>100429.056</v>
      </c>
      <c r="L1803" s="7">
        <f t="shared" si="4"/>
        <v>92703.744</v>
      </c>
      <c r="M1803" s="7">
        <f t="shared" si="5"/>
        <v>88841.088</v>
      </c>
      <c r="N1803" s="7">
        <f t="shared" si="6"/>
        <v>84978.432</v>
      </c>
    </row>
    <row r="1804">
      <c r="A1804" s="5" t="s">
        <v>3320</v>
      </c>
      <c r="B1804" s="5" t="s">
        <v>1524</v>
      </c>
      <c r="C1804" s="5" t="s">
        <v>3321</v>
      </c>
      <c r="D1804" s="5" t="s">
        <v>3464</v>
      </c>
      <c r="E1804" s="5" t="s">
        <v>3465</v>
      </c>
      <c r="F1804" s="6"/>
      <c r="G1804" s="8">
        <v>39244.8</v>
      </c>
      <c r="H1804" s="5" t="s">
        <v>22</v>
      </c>
      <c r="I1804" s="7">
        <f t="shared" si="1"/>
        <v>58867.2</v>
      </c>
      <c r="J1804" s="7">
        <f t="shared" si="7"/>
        <v>51018.24</v>
      </c>
      <c r="K1804" s="7">
        <f t="shared" si="3"/>
        <v>51018.24</v>
      </c>
      <c r="L1804" s="7">
        <f t="shared" si="4"/>
        <v>47093.76</v>
      </c>
      <c r="M1804" s="7">
        <f t="shared" si="5"/>
        <v>45131.52</v>
      </c>
      <c r="N1804" s="7">
        <f t="shared" si="6"/>
        <v>43169.28</v>
      </c>
    </row>
    <row r="1805">
      <c r="A1805" s="5" t="s">
        <v>3320</v>
      </c>
      <c r="B1805" s="5" t="s">
        <v>1524</v>
      </c>
      <c r="C1805" s="5" t="s">
        <v>3321</v>
      </c>
      <c r="D1805" s="5" t="s">
        <v>3466</v>
      </c>
      <c r="E1805" s="5" t="s">
        <v>3467</v>
      </c>
      <c r="F1805" s="6"/>
      <c r="G1805" s="8">
        <v>29568.0</v>
      </c>
      <c r="H1805" s="5" t="s">
        <v>22</v>
      </c>
      <c r="I1805" s="7">
        <f t="shared" si="1"/>
        <v>44352</v>
      </c>
      <c r="J1805" s="7">
        <f t="shared" si="7"/>
        <v>38438.4</v>
      </c>
      <c r="K1805" s="7">
        <f t="shared" si="3"/>
        <v>38438.4</v>
      </c>
      <c r="L1805" s="7">
        <f t="shared" si="4"/>
        <v>35481.6</v>
      </c>
      <c r="M1805" s="7">
        <f t="shared" si="5"/>
        <v>34003.2</v>
      </c>
      <c r="N1805" s="7">
        <f t="shared" si="6"/>
        <v>32524.8</v>
      </c>
    </row>
    <row r="1806">
      <c r="A1806" s="5" t="s">
        <v>3320</v>
      </c>
      <c r="B1806" s="5" t="s">
        <v>1524</v>
      </c>
      <c r="C1806" s="5" t="s">
        <v>3321</v>
      </c>
      <c r="D1806" s="5" t="s">
        <v>3468</v>
      </c>
      <c r="E1806" s="5" t="s">
        <v>3469</v>
      </c>
      <c r="F1806" s="6"/>
      <c r="G1806" s="8">
        <v>59673.6</v>
      </c>
      <c r="H1806" s="5" t="s">
        <v>22</v>
      </c>
      <c r="I1806" s="7">
        <f t="shared" si="1"/>
        <v>89510.4</v>
      </c>
      <c r="J1806" s="7">
        <f t="shared" si="7"/>
        <v>77575.68</v>
      </c>
      <c r="K1806" s="7">
        <f t="shared" si="3"/>
        <v>77575.68</v>
      </c>
      <c r="L1806" s="7">
        <f t="shared" si="4"/>
        <v>71608.32</v>
      </c>
      <c r="M1806" s="7">
        <f t="shared" si="5"/>
        <v>68624.64</v>
      </c>
      <c r="N1806" s="7">
        <f t="shared" si="6"/>
        <v>65640.96</v>
      </c>
    </row>
    <row r="1807">
      <c r="A1807" s="5" t="s">
        <v>3320</v>
      </c>
      <c r="B1807" s="5" t="s">
        <v>1524</v>
      </c>
      <c r="C1807" s="5" t="s">
        <v>3321</v>
      </c>
      <c r="D1807" s="5" t="s">
        <v>3470</v>
      </c>
      <c r="E1807" s="5" t="s">
        <v>3471</v>
      </c>
      <c r="F1807" s="6"/>
      <c r="G1807" s="8">
        <v>18816.0</v>
      </c>
      <c r="H1807" s="5" t="s">
        <v>22</v>
      </c>
      <c r="I1807" s="7">
        <f t="shared" si="1"/>
        <v>28224</v>
      </c>
      <c r="J1807" s="7">
        <f t="shared" si="7"/>
        <v>24460.8</v>
      </c>
      <c r="K1807" s="7">
        <f t="shared" si="3"/>
        <v>24460.8</v>
      </c>
      <c r="L1807" s="7">
        <f t="shared" si="4"/>
        <v>22579.2</v>
      </c>
      <c r="M1807" s="7">
        <f t="shared" si="5"/>
        <v>21638.4</v>
      </c>
      <c r="N1807" s="7">
        <f t="shared" si="6"/>
        <v>20697.6</v>
      </c>
    </row>
    <row r="1808">
      <c r="A1808" s="5" t="s">
        <v>3320</v>
      </c>
      <c r="B1808" s="5" t="s">
        <v>1455</v>
      </c>
      <c r="C1808" s="5" t="s">
        <v>2007</v>
      </c>
      <c r="D1808" s="5" t="s">
        <v>3472</v>
      </c>
      <c r="E1808" s="5" t="s">
        <v>3343</v>
      </c>
      <c r="F1808" s="6"/>
      <c r="G1808" s="8">
        <v>1600.0</v>
      </c>
      <c r="H1808" s="5" t="s">
        <v>22</v>
      </c>
      <c r="I1808" s="7">
        <f t="shared" si="1"/>
        <v>2400</v>
      </c>
      <c r="J1808" s="7">
        <f t="shared" si="7"/>
        <v>2080</v>
      </c>
      <c r="K1808" s="7">
        <f t="shared" si="3"/>
        <v>2080</v>
      </c>
      <c r="L1808" s="7">
        <f t="shared" si="4"/>
        <v>1920</v>
      </c>
      <c r="M1808" s="7">
        <f t="shared" si="5"/>
        <v>1840</v>
      </c>
      <c r="N1808" s="7">
        <f t="shared" si="6"/>
        <v>1760</v>
      </c>
    </row>
    <row r="1809">
      <c r="A1809" s="5" t="s">
        <v>3320</v>
      </c>
      <c r="B1809" s="5" t="s">
        <v>1455</v>
      </c>
      <c r="C1809" s="5" t="s">
        <v>2007</v>
      </c>
      <c r="D1809" s="5" t="s">
        <v>3473</v>
      </c>
      <c r="E1809" s="5" t="s">
        <v>3474</v>
      </c>
      <c r="F1809" s="6"/>
      <c r="G1809" s="8">
        <v>1280.0</v>
      </c>
      <c r="H1809" s="5" t="s">
        <v>22</v>
      </c>
      <c r="I1809" s="7">
        <f t="shared" si="1"/>
        <v>1920</v>
      </c>
      <c r="J1809" s="7">
        <f t="shared" si="7"/>
        <v>1664</v>
      </c>
      <c r="K1809" s="7">
        <f t="shared" si="3"/>
        <v>1664</v>
      </c>
      <c r="L1809" s="7">
        <f t="shared" si="4"/>
        <v>1536</v>
      </c>
      <c r="M1809" s="7">
        <f t="shared" si="5"/>
        <v>1472</v>
      </c>
      <c r="N1809" s="7">
        <f t="shared" si="6"/>
        <v>1408</v>
      </c>
    </row>
    <row r="1810">
      <c r="A1810" s="5" t="s">
        <v>3320</v>
      </c>
      <c r="B1810" s="5" t="s">
        <v>1455</v>
      </c>
      <c r="C1810" s="5" t="s">
        <v>2007</v>
      </c>
      <c r="D1810" s="5" t="s">
        <v>3475</v>
      </c>
      <c r="E1810" s="5" t="s">
        <v>3476</v>
      </c>
      <c r="F1810" s="6"/>
      <c r="G1810" s="8">
        <v>1913.86</v>
      </c>
      <c r="H1810" s="5" t="s">
        <v>22</v>
      </c>
      <c r="I1810" s="7">
        <f t="shared" si="1"/>
        <v>2870.79</v>
      </c>
      <c r="J1810" s="7">
        <f t="shared" si="7"/>
        <v>2488.018</v>
      </c>
      <c r="K1810" s="7">
        <f t="shared" si="3"/>
        <v>2488.018</v>
      </c>
      <c r="L1810" s="7">
        <f t="shared" si="4"/>
        <v>2296.632</v>
      </c>
      <c r="M1810" s="7">
        <f t="shared" si="5"/>
        <v>2200.939</v>
      </c>
      <c r="N1810" s="7">
        <f t="shared" si="6"/>
        <v>2105.246</v>
      </c>
    </row>
    <row r="1811">
      <c r="A1811" s="5" t="s">
        <v>3320</v>
      </c>
      <c r="B1811" s="5" t="s">
        <v>1455</v>
      </c>
      <c r="C1811" s="5" t="s">
        <v>2007</v>
      </c>
      <c r="D1811" s="5" t="s">
        <v>3477</v>
      </c>
      <c r="E1811" s="5" t="s">
        <v>3478</v>
      </c>
      <c r="F1811" s="6"/>
      <c r="G1811" s="5">
        <v>308.0</v>
      </c>
      <c r="H1811" s="5" t="s">
        <v>22</v>
      </c>
      <c r="I1811" s="7">
        <f t="shared" si="1"/>
        <v>462</v>
      </c>
      <c r="J1811" s="7">
        <f t="shared" si="7"/>
        <v>400.4</v>
      </c>
      <c r="K1811" s="7">
        <f t="shared" si="3"/>
        <v>400.4</v>
      </c>
      <c r="L1811" s="7">
        <f t="shared" si="4"/>
        <v>369.6</v>
      </c>
      <c r="M1811" s="7">
        <f t="shared" si="5"/>
        <v>354.2</v>
      </c>
      <c r="N1811" s="7">
        <f t="shared" si="6"/>
        <v>338.8</v>
      </c>
    </row>
    <row r="1812">
      <c r="A1812" s="5" t="s">
        <v>3320</v>
      </c>
      <c r="B1812" s="5" t="s">
        <v>1455</v>
      </c>
      <c r="C1812" s="5" t="s">
        <v>2007</v>
      </c>
      <c r="D1812" s="5" t="s">
        <v>3479</v>
      </c>
      <c r="E1812" s="5" t="s">
        <v>3480</v>
      </c>
      <c r="F1812" s="6"/>
      <c r="G1812" s="8">
        <v>2888.0</v>
      </c>
      <c r="H1812" s="5" t="s">
        <v>22</v>
      </c>
      <c r="I1812" s="7">
        <f t="shared" si="1"/>
        <v>4332</v>
      </c>
      <c r="J1812" s="7">
        <f t="shared" si="7"/>
        <v>3754.4</v>
      </c>
      <c r="K1812" s="7">
        <f t="shared" si="3"/>
        <v>3754.4</v>
      </c>
      <c r="L1812" s="7">
        <f t="shared" si="4"/>
        <v>3465.6</v>
      </c>
      <c r="M1812" s="7">
        <f t="shared" si="5"/>
        <v>3321.2</v>
      </c>
      <c r="N1812" s="7">
        <f t="shared" si="6"/>
        <v>3176.8</v>
      </c>
    </row>
    <row r="1813">
      <c r="A1813" s="5" t="s">
        <v>3320</v>
      </c>
      <c r="B1813" s="5" t="s">
        <v>1455</v>
      </c>
      <c r="C1813" s="5" t="s">
        <v>2007</v>
      </c>
      <c r="D1813" s="5" t="s">
        <v>3481</v>
      </c>
      <c r="E1813" s="5" t="s">
        <v>3482</v>
      </c>
      <c r="F1813" s="6"/>
      <c r="G1813" s="8">
        <v>1913.86</v>
      </c>
      <c r="H1813" s="5" t="s">
        <v>22</v>
      </c>
      <c r="I1813" s="7">
        <f t="shared" si="1"/>
        <v>2870.79</v>
      </c>
      <c r="J1813" s="7">
        <f t="shared" si="7"/>
        <v>2488.018</v>
      </c>
      <c r="K1813" s="7">
        <f t="shared" si="3"/>
        <v>2488.018</v>
      </c>
      <c r="L1813" s="7">
        <f t="shared" si="4"/>
        <v>2296.632</v>
      </c>
      <c r="M1813" s="7">
        <f t="shared" si="5"/>
        <v>2200.939</v>
      </c>
      <c r="N1813" s="7">
        <f t="shared" si="6"/>
        <v>2105.246</v>
      </c>
    </row>
    <row r="1814">
      <c r="A1814" s="5" t="s">
        <v>3320</v>
      </c>
      <c r="B1814" s="5" t="s">
        <v>1455</v>
      </c>
      <c r="C1814" s="5" t="s">
        <v>2007</v>
      </c>
      <c r="D1814" s="5" t="s">
        <v>3483</v>
      </c>
      <c r="E1814" s="5" t="s">
        <v>3484</v>
      </c>
      <c r="F1814" s="6"/>
      <c r="G1814" s="8">
        <v>4166.4</v>
      </c>
      <c r="H1814" s="5" t="s">
        <v>22</v>
      </c>
      <c r="I1814" s="7">
        <f t="shared" si="1"/>
        <v>6249.6</v>
      </c>
      <c r="J1814" s="7">
        <f t="shared" si="7"/>
        <v>5416.32</v>
      </c>
      <c r="K1814" s="7">
        <f t="shared" si="3"/>
        <v>5416.32</v>
      </c>
      <c r="L1814" s="7">
        <f t="shared" si="4"/>
        <v>4999.68</v>
      </c>
      <c r="M1814" s="7">
        <f t="shared" si="5"/>
        <v>4791.36</v>
      </c>
      <c r="N1814" s="7">
        <f t="shared" si="6"/>
        <v>4583.04</v>
      </c>
    </row>
    <row r="1815">
      <c r="A1815" s="5" t="s">
        <v>3320</v>
      </c>
      <c r="B1815" s="5" t="s">
        <v>1455</v>
      </c>
      <c r="C1815" s="5" t="s">
        <v>2007</v>
      </c>
      <c r="D1815" s="5" t="s">
        <v>3485</v>
      </c>
      <c r="E1815" s="5" t="s">
        <v>3486</v>
      </c>
      <c r="F1815" s="6"/>
      <c r="G1815" s="8">
        <v>6048.0</v>
      </c>
      <c r="H1815" s="5" t="s">
        <v>22</v>
      </c>
      <c r="I1815" s="7">
        <f t="shared" si="1"/>
        <v>9072</v>
      </c>
      <c r="J1815" s="7">
        <f t="shared" si="7"/>
        <v>7862.4</v>
      </c>
      <c r="K1815" s="7">
        <f t="shared" si="3"/>
        <v>7862.4</v>
      </c>
      <c r="L1815" s="7">
        <f t="shared" si="4"/>
        <v>7257.6</v>
      </c>
      <c r="M1815" s="7">
        <f t="shared" si="5"/>
        <v>6955.2</v>
      </c>
      <c r="N1815" s="7">
        <f t="shared" si="6"/>
        <v>6652.8</v>
      </c>
    </row>
    <row r="1816">
      <c r="A1816" s="5" t="s">
        <v>3320</v>
      </c>
      <c r="B1816" s="5" t="s">
        <v>1455</v>
      </c>
      <c r="C1816" s="5" t="s">
        <v>2007</v>
      </c>
      <c r="D1816" s="5" t="s">
        <v>3358</v>
      </c>
      <c r="E1816" s="5" t="s">
        <v>3487</v>
      </c>
      <c r="F1816" s="6"/>
      <c r="G1816" s="8">
        <v>2000.0</v>
      </c>
      <c r="H1816" s="5" t="s">
        <v>22</v>
      </c>
      <c r="I1816" s="7">
        <f t="shared" si="1"/>
        <v>3000</v>
      </c>
      <c r="J1816" s="7">
        <f t="shared" si="7"/>
        <v>2600</v>
      </c>
      <c r="K1816" s="7">
        <f t="shared" si="3"/>
        <v>2600</v>
      </c>
      <c r="L1816" s="7">
        <f t="shared" si="4"/>
        <v>2400</v>
      </c>
      <c r="M1816" s="7">
        <f t="shared" si="5"/>
        <v>2300</v>
      </c>
      <c r="N1816" s="7">
        <f t="shared" si="6"/>
        <v>2200</v>
      </c>
    </row>
    <row r="1817">
      <c r="A1817" s="5" t="s">
        <v>3320</v>
      </c>
      <c r="B1817" s="5" t="s">
        <v>1455</v>
      </c>
      <c r="C1817" s="5" t="s">
        <v>2007</v>
      </c>
      <c r="D1817" s="5" t="s">
        <v>3488</v>
      </c>
      <c r="E1817" s="5" t="s">
        <v>3489</v>
      </c>
      <c r="F1817" s="6"/>
      <c r="G1817" s="8">
        <v>5160.96</v>
      </c>
      <c r="H1817" s="5" t="s">
        <v>22</v>
      </c>
      <c r="I1817" s="7">
        <f t="shared" si="1"/>
        <v>7741.44</v>
      </c>
      <c r="J1817" s="7">
        <f t="shared" si="7"/>
        <v>6709.248</v>
      </c>
      <c r="K1817" s="7">
        <f t="shared" si="3"/>
        <v>6709.248</v>
      </c>
      <c r="L1817" s="7">
        <f t="shared" si="4"/>
        <v>6193.152</v>
      </c>
      <c r="M1817" s="7">
        <f t="shared" si="5"/>
        <v>5935.104</v>
      </c>
      <c r="N1817" s="7">
        <f t="shared" si="6"/>
        <v>5677.056</v>
      </c>
    </row>
    <row r="1818">
      <c r="A1818" s="5" t="s">
        <v>3320</v>
      </c>
      <c r="B1818" s="5" t="s">
        <v>1455</v>
      </c>
      <c r="C1818" s="5" t="s">
        <v>2007</v>
      </c>
      <c r="D1818" s="5" t="s">
        <v>3488</v>
      </c>
      <c r="E1818" s="5" t="s">
        <v>3490</v>
      </c>
      <c r="F1818" s="6"/>
      <c r="G1818" s="8">
        <v>5967.36</v>
      </c>
      <c r="H1818" s="5" t="s">
        <v>22</v>
      </c>
      <c r="I1818" s="7">
        <f t="shared" si="1"/>
        <v>8951.04</v>
      </c>
      <c r="J1818" s="7">
        <f t="shared" si="7"/>
        <v>7757.568</v>
      </c>
      <c r="K1818" s="7">
        <f t="shared" si="3"/>
        <v>7757.568</v>
      </c>
      <c r="L1818" s="7">
        <f t="shared" si="4"/>
        <v>7160.832</v>
      </c>
      <c r="M1818" s="7">
        <f t="shared" si="5"/>
        <v>6862.464</v>
      </c>
      <c r="N1818" s="7">
        <f t="shared" si="6"/>
        <v>6564.096</v>
      </c>
    </row>
    <row r="1819">
      <c r="A1819" s="5" t="s">
        <v>3320</v>
      </c>
      <c r="B1819" s="5" t="s">
        <v>1455</v>
      </c>
      <c r="C1819" s="5" t="s">
        <v>2007</v>
      </c>
      <c r="D1819" s="5" t="s">
        <v>3354</v>
      </c>
      <c r="E1819" s="5" t="s">
        <v>3355</v>
      </c>
      <c r="F1819" s="6"/>
      <c r="G1819" s="8">
        <v>1075.2</v>
      </c>
      <c r="H1819" s="5" t="s">
        <v>22</v>
      </c>
      <c r="I1819" s="7">
        <f t="shared" si="1"/>
        <v>1612.8</v>
      </c>
      <c r="J1819" s="7">
        <f t="shared" si="7"/>
        <v>1397.76</v>
      </c>
      <c r="K1819" s="7">
        <f t="shared" si="3"/>
        <v>1397.76</v>
      </c>
      <c r="L1819" s="7">
        <f t="shared" si="4"/>
        <v>1290.24</v>
      </c>
      <c r="M1819" s="7">
        <f t="shared" si="5"/>
        <v>1236.48</v>
      </c>
      <c r="N1819" s="7">
        <f t="shared" si="6"/>
        <v>1182.72</v>
      </c>
    </row>
    <row r="1820">
      <c r="A1820" s="5" t="s">
        <v>3320</v>
      </c>
      <c r="B1820" s="6"/>
      <c r="C1820" s="6"/>
      <c r="D1820" s="5" t="s">
        <v>3491</v>
      </c>
      <c r="E1820" s="5" t="s">
        <v>3492</v>
      </c>
      <c r="F1820" s="6"/>
      <c r="G1820" s="8">
        <v>2166.0</v>
      </c>
      <c r="H1820" s="5" t="s">
        <v>22</v>
      </c>
      <c r="I1820" s="7">
        <f t="shared" si="1"/>
        <v>3249</v>
      </c>
      <c r="J1820" s="7">
        <f t="shared" si="7"/>
        <v>2815.8</v>
      </c>
      <c r="K1820" s="7">
        <f t="shared" si="3"/>
        <v>2815.8</v>
      </c>
      <c r="L1820" s="7">
        <f t="shared" si="4"/>
        <v>2599.2</v>
      </c>
      <c r="M1820" s="7">
        <f t="shared" si="5"/>
        <v>2490.9</v>
      </c>
      <c r="N1820" s="7">
        <f t="shared" si="6"/>
        <v>2382.6</v>
      </c>
    </row>
    <row r="1821">
      <c r="A1821" s="5" t="s">
        <v>3320</v>
      </c>
      <c r="B1821" s="5" t="s">
        <v>1455</v>
      </c>
      <c r="C1821" s="5" t="s">
        <v>2007</v>
      </c>
      <c r="D1821" s="5" t="s">
        <v>3356</v>
      </c>
      <c r="E1821" s="5" t="s">
        <v>3357</v>
      </c>
      <c r="F1821" s="6"/>
      <c r="G1821" s="5">
        <v>929.28</v>
      </c>
      <c r="H1821" s="5" t="s">
        <v>22</v>
      </c>
      <c r="I1821" s="7">
        <f t="shared" si="1"/>
        <v>1393.92</v>
      </c>
      <c r="J1821" s="7">
        <f t="shared" si="7"/>
        <v>1208.064</v>
      </c>
      <c r="K1821" s="7">
        <f t="shared" si="3"/>
        <v>1208.064</v>
      </c>
      <c r="L1821" s="7">
        <f t="shared" si="4"/>
        <v>1115.136</v>
      </c>
      <c r="M1821" s="7">
        <f t="shared" si="5"/>
        <v>1068.672</v>
      </c>
      <c r="N1821" s="7">
        <f t="shared" si="6"/>
        <v>1022.208</v>
      </c>
    </row>
    <row r="1822">
      <c r="A1822" s="5" t="s">
        <v>3320</v>
      </c>
      <c r="B1822" s="5" t="s">
        <v>1524</v>
      </c>
      <c r="C1822" s="5" t="s">
        <v>2007</v>
      </c>
      <c r="D1822" s="5" t="s">
        <v>3493</v>
      </c>
      <c r="E1822" s="5" t="s">
        <v>3494</v>
      </c>
      <c r="F1822" s="6"/>
      <c r="G1822" s="8">
        <v>183859.2</v>
      </c>
      <c r="H1822" s="5" t="s">
        <v>22</v>
      </c>
      <c r="I1822" s="7">
        <f t="shared" si="1"/>
        <v>275788.8</v>
      </c>
      <c r="J1822" s="7">
        <f t="shared" si="7"/>
        <v>239016.96</v>
      </c>
      <c r="K1822" s="7">
        <f t="shared" si="3"/>
        <v>239016.96</v>
      </c>
      <c r="L1822" s="7">
        <f t="shared" si="4"/>
        <v>220631.04</v>
      </c>
      <c r="M1822" s="7">
        <f t="shared" si="5"/>
        <v>211438.08</v>
      </c>
      <c r="N1822" s="7">
        <f t="shared" si="6"/>
        <v>202245.12</v>
      </c>
    </row>
    <row r="1823">
      <c r="A1823" s="5" t="s">
        <v>3320</v>
      </c>
      <c r="B1823" s="5" t="s">
        <v>1524</v>
      </c>
      <c r="C1823" s="5" t="s">
        <v>2007</v>
      </c>
      <c r="D1823" s="5" t="s">
        <v>3493</v>
      </c>
      <c r="E1823" s="5" t="s">
        <v>3409</v>
      </c>
      <c r="F1823" s="6"/>
      <c r="G1823" s="8">
        <v>188030.98</v>
      </c>
      <c r="H1823" s="5" t="s">
        <v>22</v>
      </c>
      <c r="I1823" s="7">
        <f t="shared" si="1"/>
        <v>282046.47</v>
      </c>
      <c r="J1823" s="7">
        <f t="shared" si="7"/>
        <v>244440.274</v>
      </c>
      <c r="K1823" s="7">
        <f t="shared" si="3"/>
        <v>244440.274</v>
      </c>
      <c r="L1823" s="7">
        <f t="shared" si="4"/>
        <v>225637.176</v>
      </c>
      <c r="M1823" s="7">
        <f t="shared" si="5"/>
        <v>216235.627</v>
      </c>
      <c r="N1823" s="7">
        <f t="shared" si="6"/>
        <v>206834.078</v>
      </c>
    </row>
    <row r="1824">
      <c r="A1824" s="5" t="s">
        <v>3320</v>
      </c>
      <c r="B1824" s="5" t="s">
        <v>1524</v>
      </c>
      <c r="C1824" s="5" t="s">
        <v>2007</v>
      </c>
      <c r="D1824" s="5" t="s">
        <v>3495</v>
      </c>
      <c r="E1824" s="5" t="s">
        <v>3496</v>
      </c>
      <c r="F1824" s="6"/>
      <c r="G1824" s="8">
        <v>215147.52</v>
      </c>
      <c r="H1824" s="5" t="s">
        <v>22</v>
      </c>
      <c r="I1824" s="7">
        <f t="shared" si="1"/>
        <v>322721.28</v>
      </c>
      <c r="J1824" s="7">
        <f t="shared" si="7"/>
        <v>279691.776</v>
      </c>
      <c r="K1824" s="7">
        <f t="shared" si="3"/>
        <v>279691.776</v>
      </c>
      <c r="L1824" s="7">
        <f t="shared" si="4"/>
        <v>258177.024</v>
      </c>
      <c r="M1824" s="7">
        <f t="shared" si="5"/>
        <v>247419.648</v>
      </c>
      <c r="N1824" s="7">
        <f t="shared" si="6"/>
        <v>236662.272</v>
      </c>
    </row>
    <row r="1825">
      <c r="A1825" s="5" t="s">
        <v>3320</v>
      </c>
      <c r="B1825" s="5" t="s">
        <v>1524</v>
      </c>
      <c r="C1825" s="5" t="s">
        <v>2007</v>
      </c>
      <c r="D1825" s="5" t="s">
        <v>3495</v>
      </c>
      <c r="E1825" s="5" t="s">
        <v>3497</v>
      </c>
      <c r="F1825" s="6"/>
      <c r="G1825" s="8">
        <v>219319.3</v>
      </c>
      <c r="H1825" s="5" t="s">
        <v>22</v>
      </c>
      <c r="I1825" s="7">
        <f t="shared" si="1"/>
        <v>328978.95</v>
      </c>
      <c r="J1825" s="7">
        <f t="shared" si="7"/>
        <v>285115.09</v>
      </c>
      <c r="K1825" s="7">
        <f t="shared" si="3"/>
        <v>285115.09</v>
      </c>
      <c r="L1825" s="7">
        <f t="shared" si="4"/>
        <v>263183.16</v>
      </c>
      <c r="M1825" s="7">
        <f t="shared" si="5"/>
        <v>252217.195</v>
      </c>
      <c r="N1825" s="7">
        <f t="shared" si="6"/>
        <v>241251.23</v>
      </c>
    </row>
    <row r="1826">
      <c r="A1826" s="5" t="s">
        <v>3320</v>
      </c>
      <c r="B1826" s="5" t="s">
        <v>1524</v>
      </c>
      <c r="C1826" s="5" t="s">
        <v>2007</v>
      </c>
      <c r="D1826" s="5" t="s">
        <v>3498</v>
      </c>
      <c r="E1826" s="5" t="s">
        <v>3499</v>
      </c>
      <c r="F1826" s="6"/>
      <c r="G1826" s="8">
        <v>209986.56</v>
      </c>
      <c r="H1826" s="5" t="s">
        <v>22</v>
      </c>
      <c r="I1826" s="7">
        <f t="shared" si="1"/>
        <v>314979.84</v>
      </c>
      <c r="J1826" s="7">
        <f t="shared" si="7"/>
        <v>272982.528</v>
      </c>
      <c r="K1826" s="7">
        <f t="shared" si="3"/>
        <v>272982.528</v>
      </c>
      <c r="L1826" s="7">
        <f t="shared" si="4"/>
        <v>251983.872</v>
      </c>
      <c r="M1826" s="7">
        <f t="shared" si="5"/>
        <v>241484.544</v>
      </c>
      <c r="N1826" s="7">
        <f t="shared" si="6"/>
        <v>230985.216</v>
      </c>
    </row>
    <row r="1827">
      <c r="A1827" s="5" t="s">
        <v>3320</v>
      </c>
      <c r="B1827" s="5" t="s">
        <v>1524</v>
      </c>
      <c r="C1827" s="5" t="s">
        <v>2007</v>
      </c>
      <c r="D1827" s="5" t="s">
        <v>3498</v>
      </c>
      <c r="E1827" s="5" t="s">
        <v>3500</v>
      </c>
      <c r="F1827" s="6"/>
      <c r="G1827" s="8">
        <v>214158.34</v>
      </c>
      <c r="H1827" s="5" t="s">
        <v>22</v>
      </c>
      <c r="I1827" s="7">
        <f t="shared" si="1"/>
        <v>321237.51</v>
      </c>
      <c r="J1827" s="7">
        <f t="shared" si="7"/>
        <v>278405.842</v>
      </c>
      <c r="K1827" s="7">
        <f t="shared" si="3"/>
        <v>278405.842</v>
      </c>
      <c r="L1827" s="7">
        <f t="shared" si="4"/>
        <v>256990.008</v>
      </c>
      <c r="M1827" s="7">
        <f t="shared" si="5"/>
        <v>246282.091</v>
      </c>
      <c r="N1827" s="7">
        <f t="shared" si="6"/>
        <v>235574.174</v>
      </c>
    </row>
    <row r="1828">
      <c r="A1828" s="5" t="s">
        <v>3320</v>
      </c>
      <c r="B1828" s="5" t="s">
        <v>1524</v>
      </c>
      <c r="C1828" s="5" t="s">
        <v>2007</v>
      </c>
      <c r="D1828" s="5" t="s">
        <v>3501</v>
      </c>
      <c r="E1828" s="5" t="s">
        <v>3502</v>
      </c>
      <c r="F1828" s="6"/>
      <c r="G1828" s="8">
        <v>241274.88</v>
      </c>
      <c r="H1828" s="5" t="s">
        <v>22</v>
      </c>
      <c r="I1828" s="7">
        <f t="shared" si="1"/>
        <v>361912.32</v>
      </c>
      <c r="J1828" s="7">
        <f t="shared" si="7"/>
        <v>313657.344</v>
      </c>
      <c r="K1828" s="7">
        <f t="shared" si="3"/>
        <v>313657.344</v>
      </c>
      <c r="L1828" s="7">
        <f t="shared" si="4"/>
        <v>289529.856</v>
      </c>
      <c r="M1828" s="7">
        <f t="shared" si="5"/>
        <v>277466.112</v>
      </c>
      <c r="N1828" s="7">
        <f t="shared" si="6"/>
        <v>265402.368</v>
      </c>
    </row>
    <row r="1829">
      <c r="A1829" s="5" t="s">
        <v>3320</v>
      </c>
      <c r="B1829" s="5" t="s">
        <v>1524</v>
      </c>
      <c r="C1829" s="5" t="s">
        <v>2007</v>
      </c>
      <c r="D1829" s="5" t="s">
        <v>3501</v>
      </c>
      <c r="E1829" s="5" t="s">
        <v>3503</v>
      </c>
      <c r="F1829" s="6"/>
      <c r="G1829" s="8">
        <v>245446.66</v>
      </c>
      <c r="H1829" s="5" t="s">
        <v>22</v>
      </c>
      <c r="I1829" s="7">
        <f t="shared" si="1"/>
        <v>368169.99</v>
      </c>
      <c r="J1829" s="7">
        <f t="shared" si="7"/>
        <v>319080.658</v>
      </c>
      <c r="K1829" s="7">
        <f t="shared" si="3"/>
        <v>319080.658</v>
      </c>
      <c r="L1829" s="7">
        <f t="shared" si="4"/>
        <v>294535.992</v>
      </c>
      <c r="M1829" s="7">
        <f t="shared" si="5"/>
        <v>282263.659</v>
      </c>
      <c r="N1829" s="7">
        <f t="shared" si="6"/>
        <v>269991.326</v>
      </c>
    </row>
    <row r="1830">
      <c r="A1830" s="5" t="s">
        <v>3320</v>
      </c>
      <c r="B1830" s="5" t="s">
        <v>1524</v>
      </c>
      <c r="C1830" s="5" t="s">
        <v>2007</v>
      </c>
      <c r="D1830" s="5" t="s">
        <v>3504</v>
      </c>
      <c r="E1830" s="5" t="s">
        <v>3505</v>
      </c>
      <c r="F1830" s="6"/>
      <c r="G1830" s="8">
        <v>203212.8</v>
      </c>
      <c r="H1830" s="5" t="s">
        <v>22</v>
      </c>
      <c r="I1830" s="7">
        <f t="shared" si="1"/>
        <v>304819.2</v>
      </c>
      <c r="J1830" s="7">
        <f t="shared" si="7"/>
        <v>264176.64</v>
      </c>
      <c r="K1830" s="7">
        <f t="shared" si="3"/>
        <v>264176.64</v>
      </c>
      <c r="L1830" s="7">
        <f t="shared" si="4"/>
        <v>243855.36</v>
      </c>
      <c r="M1830" s="7">
        <f t="shared" si="5"/>
        <v>233694.72</v>
      </c>
      <c r="N1830" s="7">
        <f t="shared" si="6"/>
        <v>223534.08</v>
      </c>
    </row>
    <row r="1831">
      <c r="A1831" s="5" t="s">
        <v>3320</v>
      </c>
      <c r="B1831" s="5" t="s">
        <v>1524</v>
      </c>
      <c r="C1831" s="5" t="s">
        <v>2007</v>
      </c>
      <c r="D1831" s="5" t="s">
        <v>3504</v>
      </c>
      <c r="E1831" s="5" t="s">
        <v>3413</v>
      </c>
      <c r="F1831" s="6"/>
      <c r="G1831" s="8">
        <v>207384.58</v>
      </c>
      <c r="H1831" s="5" t="s">
        <v>22</v>
      </c>
      <c r="I1831" s="7">
        <f t="shared" si="1"/>
        <v>311076.87</v>
      </c>
      <c r="J1831" s="7">
        <f t="shared" si="7"/>
        <v>269599.954</v>
      </c>
      <c r="K1831" s="7">
        <f t="shared" si="3"/>
        <v>269599.954</v>
      </c>
      <c r="L1831" s="7">
        <f t="shared" si="4"/>
        <v>248861.496</v>
      </c>
      <c r="M1831" s="7">
        <f t="shared" si="5"/>
        <v>238492.267</v>
      </c>
      <c r="N1831" s="7">
        <f t="shared" si="6"/>
        <v>228123.038</v>
      </c>
    </row>
    <row r="1832">
      <c r="A1832" s="5" t="s">
        <v>3320</v>
      </c>
      <c r="B1832" s="5" t="s">
        <v>1524</v>
      </c>
      <c r="C1832" s="5" t="s">
        <v>2007</v>
      </c>
      <c r="D1832" s="5" t="s">
        <v>3506</v>
      </c>
      <c r="E1832" s="5" t="s">
        <v>3507</v>
      </c>
      <c r="F1832" s="6"/>
      <c r="G1832" s="8">
        <v>234501.12</v>
      </c>
      <c r="H1832" s="5" t="s">
        <v>22</v>
      </c>
      <c r="I1832" s="7">
        <f t="shared" si="1"/>
        <v>351751.68</v>
      </c>
      <c r="J1832" s="7">
        <f t="shared" si="7"/>
        <v>304851.456</v>
      </c>
      <c r="K1832" s="7">
        <f t="shared" si="3"/>
        <v>304851.456</v>
      </c>
      <c r="L1832" s="7">
        <f t="shared" si="4"/>
        <v>281401.344</v>
      </c>
      <c r="M1832" s="7">
        <f t="shared" si="5"/>
        <v>269676.288</v>
      </c>
      <c r="N1832" s="7">
        <f t="shared" si="6"/>
        <v>257951.232</v>
      </c>
    </row>
    <row r="1833">
      <c r="A1833" s="5" t="s">
        <v>3320</v>
      </c>
      <c r="B1833" s="5" t="s">
        <v>1524</v>
      </c>
      <c r="C1833" s="5" t="s">
        <v>2007</v>
      </c>
      <c r="D1833" s="5" t="s">
        <v>3506</v>
      </c>
      <c r="E1833" s="5" t="s">
        <v>3415</v>
      </c>
      <c r="F1833" s="6"/>
      <c r="G1833" s="8">
        <v>238672.9</v>
      </c>
      <c r="H1833" s="5" t="s">
        <v>22</v>
      </c>
      <c r="I1833" s="7">
        <f t="shared" si="1"/>
        <v>358009.35</v>
      </c>
      <c r="J1833" s="7">
        <f t="shared" si="7"/>
        <v>310274.77</v>
      </c>
      <c r="K1833" s="7">
        <f t="shared" si="3"/>
        <v>310274.77</v>
      </c>
      <c r="L1833" s="7">
        <f t="shared" si="4"/>
        <v>286407.48</v>
      </c>
      <c r="M1833" s="7">
        <f t="shared" si="5"/>
        <v>274473.835</v>
      </c>
      <c r="N1833" s="7">
        <f t="shared" si="6"/>
        <v>262540.19</v>
      </c>
    </row>
    <row r="1834">
      <c r="A1834" s="5" t="s">
        <v>3320</v>
      </c>
      <c r="B1834" s="5" t="s">
        <v>1524</v>
      </c>
      <c r="C1834" s="5" t="s">
        <v>2007</v>
      </c>
      <c r="D1834" s="5" t="s">
        <v>3508</v>
      </c>
      <c r="E1834" s="5" t="s">
        <v>3509</v>
      </c>
      <c r="F1834" s="6"/>
      <c r="G1834" s="8">
        <v>229340.16</v>
      </c>
      <c r="H1834" s="5" t="s">
        <v>22</v>
      </c>
      <c r="I1834" s="7">
        <f t="shared" si="1"/>
        <v>344010.24</v>
      </c>
      <c r="J1834" s="7">
        <f t="shared" si="7"/>
        <v>298142.208</v>
      </c>
      <c r="K1834" s="7">
        <f t="shared" si="3"/>
        <v>298142.208</v>
      </c>
      <c r="L1834" s="7">
        <f t="shared" si="4"/>
        <v>275208.192</v>
      </c>
      <c r="M1834" s="7">
        <f t="shared" si="5"/>
        <v>263741.184</v>
      </c>
      <c r="N1834" s="7">
        <f t="shared" si="6"/>
        <v>252274.176</v>
      </c>
    </row>
    <row r="1835">
      <c r="A1835" s="5" t="s">
        <v>3320</v>
      </c>
      <c r="B1835" s="5" t="s">
        <v>1524</v>
      </c>
      <c r="C1835" s="5" t="s">
        <v>2007</v>
      </c>
      <c r="D1835" s="5" t="s">
        <v>3508</v>
      </c>
      <c r="E1835" s="5" t="s">
        <v>3417</v>
      </c>
      <c r="F1835" s="6"/>
      <c r="G1835" s="8">
        <v>233511.94</v>
      </c>
      <c r="H1835" s="5" t="s">
        <v>22</v>
      </c>
      <c r="I1835" s="7">
        <f t="shared" si="1"/>
        <v>350267.91</v>
      </c>
      <c r="J1835" s="7">
        <f t="shared" si="7"/>
        <v>303565.522</v>
      </c>
      <c r="K1835" s="7">
        <f t="shared" si="3"/>
        <v>303565.522</v>
      </c>
      <c r="L1835" s="7">
        <f t="shared" si="4"/>
        <v>280214.328</v>
      </c>
      <c r="M1835" s="7">
        <f t="shared" si="5"/>
        <v>268538.731</v>
      </c>
      <c r="N1835" s="7">
        <f t="shared" si="6"/>
        <v>256863.134</v>
      </c>
    </row>
    <row r="1836">
      <c r="A1836" s="5" t="s">
        <v>3320</v>
      </c>
      <c r="B1836" s="5" t="s">
        <v>1524</v>
      </c>
      <c r="C1836" s="5" t="s">
        <v>2007</v>
      </c>
      <c r="D1836" s="5" t="s">
        <v>3510</v>
      </c>
      <c r="E1836" s="5" t="s">
        <v>3511</v>
      </c>
      <c r="F1836" s="6"/>
      <c r="G1836" s="8">
        <v>260628.48</v>
      </c>
      <c r="H1836" s="5" t="s">
        <v>22</v>
      </c>
      <c r="I1836" s="7">
        <f t="shared" si="1"/>
        <v>390942.72</v>
      </c>
      <c r="J1836" s="7">
        <f t="shared" si="7"/>
        <v>338817.024</v>
      </c>
      <c r="K1836" s="7">
        <f t="shared" si="3"/>
        <v>338817.024</v>
      </c>
      <c r="L1836" s="7">
        <f t="shared" si="4"/>
        <v>312754.176</v>
      </c>
      <c r="M1836" s="7">
        <f t="shared" si="5"/>
        <v>299722.752</v>
      </c>
      <c r="N1836" s="7">
        <f t="shared" si="6"/>
        <v>286691.328</v>
      </c>
    </row>
    <row r="1837">
      <c r="A1837" s="5" t="s">
        <v>3320</v>
      </c>
      <c r="B1837" s="5" t="s">
        <v>1524</v>
      </c>
      <c r="C1837" s="5" t="s">
        <v>2007</v>
      </c>
      <c r="D1837" s="5" t="s">
        <v>3510</v>
      </c>
      <c r="E1837" s="5" t="s">
        <v>3512</v>
      </c>
      <c r="F1837" s="6"/>
      <c r="G1837" s="8">
        <v>264800.26</v>
      </c>
      <c r="H1837" s="5" t="s">
        <v>22</v>
      </c>
      <c r="I1837" s="7">
        <f t="shared" si="1"/>
        <v>397200.39</v>
      </c>
      <c r="J1837" s="7">
        <f t="shared" si="7"/>
        <v>344240.338</v>
      </c>
      <c r="K1837" s="7">
        <f t="shared" si="3"/>
        <v>344240.338</v>
      </c>
      <c r="L1837" s="7">
        <f t="shared" si="4"/>
        <v>317760.312</v>
      </c>
      <c r="M1837" s="7">
        <f t="shared" si="5"/>
        <v>304520.299</v>
      </c>
      <c r="N1837" s="7">
        <f t="shared" si="6"/>
        <v>291280.286</v>
      </c>
    </row>
    <row r="1838">
      <c r="A1838" s="5" t="s">
        <v>3320</v>
      </c>
      <c r="B1838" s="5" t="s">
        <v>1524</v>
      </c>
      <c r="C1838" s="5" t="s">
        <v>2007</v>
      </c>
      <c r="D1838" s="5" t="s">
        <v>3513</v>
      </c>
      <c r="E1838" s="5" t="s">
        <v>3514</v>
      </c>
      <c r="F1838" s="6"/>
      <c r="G1838" s="8">
        <v>15640.0</v>
      </c>
      <c r="H1838" s="5" t="s">
        <v>22</v>
      </c>
      <c r="I1838" s="7">
        <f t="shared" si="1"/>
        <v>23460</v>
      </c>
      <c r="J1838" s="7">
        <f t="shared" si="7"/>
        <v>20332</v>
      </c>
      <c r="K1838" s="7">
        <f t="shared" si="3"/>
        <v>20332</v>
      </c>
      <c r="L1838" s="7">
        <f t="shared" si="4"/>
        <v>18768</v>
      </c>
      <c r="M1838" s="7">
        <f t="shared" si="5"/>
        <v>17986</v>
      </c>
      <c r="N1838" s="7">
        <f t="shared" si="6"/>
        <v>17204</v>
      </c>
    </row>
    <row r="1839">
      <c r="A1839" s="5" t="s">
        <v>3320</v>
      </c>
      <c r="B1839" s="5" t="s">
        <v>1524</v>
      </c>
      <c r="C1839" s="5" t="s">
        <v>2007</v>
      </c>
      <c r="D1839" s="5" t="s">
        <v>3515</v>
      </c>
      <c r="E1839" s="5" t="s">
        <v>3516</v>
      </c>
      <c r="F1839" s="6"/>
      <c r="G1839" s="8">
        <v>31288.32</v>
      </c>
      <c r="H1839" s="5" t="s">
        <v>22</v>
      </c>
      <c r="I1839" s="7">
        <f t="shared" si="1"/>
        <v>46932.48</v>
      </c>
      <c r="J1839" s="7">
        <f t="shared" si="7"/>
        <v>40674.816</v>
      </c>
      <c r="K1839" s="7">
        <f t="shared" si="3"/>
        <v>40674.816</v>
      </c>
      <c r="L1839" s="7">
        <f t="shared" si="4"/>
        <v>37545.984</v>
      </c>
      <c r="M1839" s="7">
        <f t="shared" si="5"/>
        <v>35981.568</v>
      </c>
      <c r="N1839" s="7">
        <f t="shared" si="6"/>
        <v>34417.152</v>
      </c>
    </row>
    <row r="1840">
      <c r="A1840" s="5" t="s">
        <v>3320</v>
      </c>
      <c r="B1840" s="5" t="s">
        <v>1524</v>
      </c>
      <c r="C1840" s="5" t="s">
        <v>2007</v>
      </c>
      <c r="D1840" s="5" t="s">
        <v>3517</v>
      </c>
      <c r="E1840" s="5" t="s">
        <v>3518</v>
      </c>
      <c r="F1840" s="6"/>
      <c r="G1840" s="8">
        <v>52147.2</v>
      </c>
      <c r="H1840" s="5" t="s">
        <v>22</v>
      </c>
      <c r="I1840" s="7">
        <f t="shared" si="1"/>
        <v>78220.8</v>
      </c>
      <c r="J1840" s="7">
        <f t="shared" si="7"/>
        <v>67791.36</v>
      </c>
      <c r="K1840" s="7">
        <f t="shared" si="3"/>
        <v>67791.36</v>
      </c>
      <c r="L1840" s="7">
        <f t="shared" si="4"/>
        <v>62576.64</v>
      </c>
      <c r="M1840" s="7">
        <f t="shared" si="5"/>
        <v>59969.28</v>
      </c>
      <c r="N1840" s="7">
        <f t="shared" si="6"/>
        <v>57361.92</v>
      </c>
    </row>
    <row r="1841">
      <c r="A1841" s="5" t="s">
        <v>3320</v>
      </c>
      <c r="B1841" s="5" t="s">
        <v>1524</v>
      </c>
      <c r="C1841" s="5" t="s">
        <v>2007</v>
      </c>
      <c r="D1841" s="5" t="s">
        <v>3519</v>
      </c>
      <c r="E1841" s="5" t="s">
        <v>3520</v>
      </c>
      <c r="F1841" s="6"/>
      <c r="G1841" s="8">
        <v>69242.88</v>
      </c>
      <c r="H1841" s="5" t="s">
        <v>22</v>
      </c>
      <c r="I1841" s="7">
        <f t="shared" si="1"/>
        <v>103864.32</v>
      </c>
      <c r="J1841" s="7">
        <f t="shared" si="7"/>
        <v>90015.744</v>
      </c>
      <c r="K1841" s="7">
        <f t="shared" si="3"/>
        <v>90015.744</v>
      </c>
      <c r="L1841" s="7">
        <f t="shared" si="4"/>
        <v>83091.456</v>
      </c>
      <c r="M1841" s="7">
        <f t="shared" si="5"/>
        <v>79629.312</v>
      </c>
      <c r="N1841" s="7">
        <f t="shared" si="6"/>
        <v>76167.168</v>
      </c>
    </row>
    <row r="1842">
      <c r="A1842" s="5" t="s">
        <v>3320</v>
      </c>
      <c r="B1842" s="5" t="s">
        <v>1524</v>
      </c>
      <c r="C1842" s="5" t="s">
        <v>2007</v>
      </c>
      <c r="D1842" s="5" t="s">
        <v>3521</v>
      </c>
      <c r="E1842" s="5" t="s">
        <v>3522</v>
      </c>
      <c r="F1842" s="6"/>
      <c r="G1842" s="8">
        <v>2400.0</v>
      </c>
      <c r="H1842" s="5" t="s">
        <v>22</v>
      </c>
      <c r="I1842" s="7">
        <f t="shared" si="1"/>
        <v>3600</v>
      </c>
      <c r="J1842" s="7">
        <f t="shared" si="7"/>
        <v>3120</v>
      </c>
      <c r="K1842" s="7">
        <f t="shared" si="3"/>
        <v>3120</v>
      </c>
      <c r="L1842" s="7">
        <f t="shared" si="4"/>
        <v>2880</v>
      </c>
      <c r="M1842" s="7">
        <f t="shared" si="5"/>
        <v>2760</v>
      </c>
      <c r="N1842" s="7">
        <f t="shared" si="6"/>
        <v>2640</v>
      </c>
    </row>
    <row r="1843">
      <c r="A1843" s="5" t="s">
        <v>3320</v>
      </c>
      <c r="B1843" s="5" t="s">
        <v>1524</v>
      </c>
      <c r="C1843" s="5" t="s">
        <v>2007</v>
      </c>
      <c r="D1843" s="5" t="s">
        <v>3523</v>
      </c>
      <c r="E1843" s="5" t="s">
        <v>3524</v>
      </c>
      <c r="F1843" s="6"/>
      <c r="G1843" s="8">
        <v>3215.0</v>
      </c>
      <c r="H1843" s="5" t="s">
        <v>22</v>
      </c>
      <c r="I1843" s="7">
        <f t="shared" si="1"/>
        <v>4822.5</v>
      </c>
      <c r="J1843" s="7">
        <f t="shared" si="7"/>
        <v>4179.5</v>
      </c>
      <c r="K1843" s="7">
        <f t="shared" si="3"/>
        <v>4179.5</v>
      </c>
      <c r="L1843" s="7">
        <f t="shared" si="4"/>
        <v>3858</v>
      </c>
      <c r="M1843" s="7">
        <f t="shared" si="5"/>
        <v>3697.25</v>
      </c>
      <c r="N1843" s="7">
        <f t="shared" si="6"/>
        <v>3536.5</v>
      </c>
    </row>
    <row r="1844">
      <c r="A1844" s="5" t="s">
        <v>3320</v>
      </c>
      <c r="B1844" s="5" t="s">
        <v>1524</v>
      </c>
      <c r="C1844" s="5" t="s">
        <v>2007</v>
      </c>
      <c r="D1844" s="5" t="s">
        <v>3525</v>
      </c>
      <c r="E1844" s="5" t="s">
        <v>3526</v>
      </c>
      <c r="F1844" s="6"/>
      <c r="G1844" s="5">
        <v>412.0</v>
      </c>
      <c r="H1844" s="5" t="s">
        <v>22</v>
      </c>
      <c r="I1844" s="7">
        <f t="shared" si="1"/>
        <v>618</v>
      </c>
      <c r="J1844" s="7">
        <f t="shared" si="7"/>
        <v>535.6</v>
      </c>
      <c r="K1844" s="7">
        <f t="shared" si="3"/>
        <v>535.6</v>
      </c>
      <c r="L1844" s="7">
        <f t="shared" si="4"/>
        <v>494.4</v>
      </c>
      <c r="M1844" s="7">
        <f t="shared" si="5"/>
        <v>473.8</v>
      </c>
      <c r="N1844" s="7">
        <f t="shared" si="6"/>
        <v>453.2</v>
      </c>
    </row>
    <row r="1845">
      <c r="A1845" s="5" t="s">
        <v>3320</v>
      </c>
      <c r="B1845" s="5" t="s">
        <v>1524</v>
      </c>
      <c r="C1845" s="5" t="s">
        <v>2007</v>
      </c>
      <c r="D1845" s="5" t="s">
        <v>3527</v>
      </c>
      <c r="E1845" s="5" t="s">
        <v>3528</v>
      </c>
      <c r="F1845" s="6"/>
      <c r="G1845" s="8">
        <v>8977.92</v>
      </c>
      <c r="H1845" s="5" t="s">
        <v>22</v>
      </c>
      <c r="I1845" s="7">
        <f t="shared" si="1"/>
        <v>13466.88</v>
      </c>
      <c r="J1845" s="7">
        <f t="shared" si="7"/>
        <v>11671.296</v>
      </c>
      <c r="K1845" s="7">
        <f t="shared" si="3"/>
        <v>11671.296</v>
      </c>
      <c r="L1845" s="7">
        <f t="shared" si="4"/>
        <v>10773.504</v>
      </c>
      <c r="M1845" s="7">
        <f t="shared" si="5"/>
        <v>10324.608</v>
      </c>
      <c r="N1845" s="7">
        <f t="shared" si="6"/>
        <v>9875.712</v>
      </c>
    </row>
    <row r="1846">
      <c r="A1846" s="5" t="s">
        <v>3320</v>
      </c>
      <c r="B1846" s="5" t="s">
        <v>1524</v>
      </c>
      <c r="C1846" s="5" t="s">
        <v>2007</v>
      </c>
      <c r="D1846" s="5" t="s">
        <v>3529</v>
      </c>
      <c r="E1846" s="5" t="s">
        <v>3530</v>
      </c>
      <c r="F1846" s="6"/>
      <c r="G1846" s="8">
        <v>3240.0</v>
      </c>
      <c r="H1846" s="5" t="s">
        <v>22</v>
      </c>
      <c r="I1846" s="7">
        <f t="shared" si="1"/>
        <v>4860</v>
      </c>
      <c r="J1846" s="7">
        <f t="shared" si="7"/>
        <v>4212</v>
      </c>
      <c r="K1846" s="7">
        <f t="shared" si="3"/>
        <v>4212</v>
      </c>
      <c r="L1846" s="7">
        <f t="shared" si="4"/>
        <v>3888</v>
      </c>
      <c r="M1846" s="7">
        <f t="shared" si="5"/>
        <v>3726</v>
      </c>
      <c r="N1846" s="7">
        <f t="shared" si="6"/>
        <v>3564</v>
      </c>
    </row>
    <row r="1847">
      <c r="A1847" s="5" t="s">
        <v>3320</v>
      </c>
      <c r="B1847" s="5" t="s">
        <v>1524</v>
      </c>
      <c r="C1847" s="6"/>
      <c r="D1847" s="5" t="s">
        <v>3531</v>
      </c>
      <c r="E1847" s="5" t="s">
        <v>3532</v>
      </c>
      <c r="F1847" s="6"/>
      <c r="G1847" s="8">
        <v>3350.0</v>
      </c>
      <c r="H1847" s="5" t="s">
        <v>22</v>
      </c>
      <c r="I1847" s="7">
        <f t="shared" si="1"/>
        <v>5025</v>
      </c>
      <c r="J1847" s="7">
        <f t="shared" si="7"/>
        <v>4355</v>
      </c>
      <c r="K1847" s="7">
        <f t="shared" si="3"/>
        <v>4355</v>
      </c>
      <c r="L1847" s="7">
        <f t="shared" si="4"/>
        <v>4020</v>
      </c>
      <c r="M1847" s="7">
        <f t="shared" si="5"/>
        <v>3852.5</v>
      </c>
      <c r="N1847" s="7">
        <f t="shared" si="6"/>
        <v>3685</v>
      </c>
    </row>
    <row r="1848">
      <c r="A1848" s="5" t="s">
        <v>3320</v>
      </c>
      <c r="B1848" s="5" t="s">
        <v>1524</v>
      </c>
      <c r="C1848" s="5" t="s">
        <v>2007</v>
      </c>
      <c r="D1848" s="5" t="s">
        <v>3533</v>
      </c>
      <c r="E1848" s="5" t="s">
        <v>3534</v>
      </c>
      <c r="F1848" s="6"/>
      <c r="G1848" s="8">
        <v>2462.21</v>
      </c>
      <c r="H1848" s="5" t="s">
        <v>22</v>
      </c>
      <c r="I1848" s="7">
        <f t="shared" si="1"/>
        <v>3693.315</v>
      </c>
      <c r="J1848" s="7">
        <f t="shared" si="7"/>
        <v>3200.873</v>
      </c>
      <c r="K1848" s="7">
        <f t="shared" si="3"/>
        <v>3200.873</v>
      </c>
      <c r="L1848" s="7">
        <f t="shared" si="4"/>
        <v>2954.652</v>
      </c>
      <c r="M1848" s="7">
        <f t="shared" si="5"/>
        <v>2831.5415</v>
      </c>
      <c r="N1848" s="7">
        <f t="shared" si="6"/>
        <v>2708.431</v>
      </c>
    </row>
    <row r="1849">
      <c r="A1849" s="5" t="s">
        <v>3320</v>
      </c>
      <c r="B1849" s="5" t="s">
        <v>1524</v>
      </c>
      <c r="C1849" s="5" t="s">
        <v>2007</v>
      </c>
      <c r="D1849" s="5" t="s">
        <v>3535</v>
      </c>
      <c r="E1849" s="5" t="s">
        <v>3536</v>
      </c>
      <c r="F1849" s="6"/>
      <c r="G1849" s="8">
        <v>2548.22</v>
      </c>
      <c r="H1849" s="5" t="s">
        <v>22</v>
      </c>
      <c r="I1849" s="7">
        <f t="shared" si="1"/>
        <v>3822.33</v>
      </c>
      <c r="J1849" s="7">
        <f t="shared" si="7"/>
        <v>3312.686</v>
      </c>
      <c r="K1849" s="7">
        <f t="shared" si="3"/>
        <v>3312.686</v>
      </c>
      <c r="L1849" s="7">
        <f t="shared" si="4"/>
        <v>3057.864</v>
      </c>
      <c r="M1849" s="7">
        <f t="shared" si="5"/>
        <v>2930.453</v>
      </c>
      <c r="N1849" s="7">
        <f t="shared" si="6"/>
        <v>2803.042</v>
      </c>
    </row>
    <row r="1850">
      <c r="A1850" s="5" t="s">
        <v>3320</v>
      </c>
      <c r="B1850" s="5" t="s">
        <v>1524</v>
      </c>
      <c r="C1850" s="5" t="s">
        <v>2007</v>
      </c>
      <c r="D1850" s="5" t="s">
        <v>3537</v>
      </c>
      <c r="E1850" s="5" t="s">
        <v>3538</v>
      </c>
      <c r="F1850" s="6"/>
      <c r="G1850" s="8">
        <v>3700.0</v>
      </c>
      <c r="H1850" s="5" t="s">
        <v>22</v>
      </c>
      <c r="I1850" s="7">
        <f t="shared" si="1"/>
        <v>5550</v>
      </c>
      <c r="J1850" s="7">
        <f t="shared" si="7"/>
        <v>4810</v>
      </c>
      <c r="K1850" s="7">
        <f t="shared" si="3"/>
        <v>4810</v>
      </c>
      <c r="L1850" s="7">
        <f t="shared" si="4"/>
        <v>4440</v>
      </c>
      <c r="M1850" s="7">
        <f t="shared" si="5"/>
        <v>4255</v>
      </c>
      <c r="N1850" s="7">
        <f t="shared" si="6"/>
        <v>4070</v>
      </c>
    </row>
    <row r="1851">
      <c r="A1851" s="5" t="s">
        <v>3320</v>
      </c>
      <c r="B1851" s="5" t="s">
        <v>1524</v>
      </c>
      <c r="C1851" s="5" t="s">
        <v>2007</v>
      </c>
      <c r="D1851" s="5" t="s">
        <v>3539</v>
      </c>
      <c r="E1851" s="5" t="s">
        <v>3540</v>
      </c>
      <c r="F1851" s="6"/>
      <c r="G1851" s="8">
        <v>68812.8</v>
      </c>
      <c r="H1851" s="5" t="s">
        <v>22</v>
      </c>
      <c r="I1851" s="7">
        <f t="shared" si="1"/>
        <v>103219.2</v>
      </c>
      <c r="J1851" s="7">
        <f t="shared" si="7"/>
        <v>89456.64</v>
      </c>
      <c r="K1851" s="7">
        <f t="shared" si="3"/>
        <v>89456.64</v>
      </c>
      <c r="L1851" s="7">
        <f t="shared" si="4"/>
        <v>82575.36</v>
      </c>
      <c r="M1851" s="7">
        <f t="shared" si="5"/>
        <v>79134.72</v>
      </c>
      <c r="N1851" s="7">
        <f t="shared" si="6"/>
        <v>75694.08</v>
      </c>
    </row>
    <row r="1852">
      <c r="A1852" s="5" t="s">
        <v>3320</v>
      </c>
      <c r="B1852" s="5" t="s">
        <v>1524</v>
      </c>
      <c r="C1852" s="5" t="s">
        <v>2007</v>
      </c>
      <c r="D1852" s="5" t="s">
        <v>3541</v>
      </c>
      <c r="E1852" s="5" t="s">
        <v>3542</v>
      </c>
      <c r="F1852" s="6"/>
      <c r="G1852" s="8">
        <v>75479.04</v>
      </c>
      <c r="H1852" s="5" t="s">
        <v>22</v>
      </c>
      <c r="I1852" s="7">
        <f t="shared" si="1"/>
        <v>113218.56</v>
      </c>
      <c r="J1852" s="7">
        <f t="shared" si="7"/>
        <v>98122.752</v>
      </c>
      <c r="K1852" s="7">
        <f t="shared" si="3"/>
        <v>98122.752</v>
      </c>
      <c r="L1852" s="7">
        <f t="shared" si="4"/>
        <v>90574.848</v>
      </c>
      <c r="M1852" s="7">
        <f t="shared" si="5"/>
        <v>86800.896</v>
      </c>
      <c r="N1852" s="7">
        <f t="shared" si="6"/>
        <v>83026.944</v>
      </c>
    </row>
    <row r="1853">
      <c r="A1853" s="5" t="s">
        <v>3320</v>
      </c>
      <c r="B1853" s="5" t="s">
        <v>1524</v>
      </c>
      <c r="C1853" s="5" t="s">
        <v>2007</v>
      </c>
      <c r="D1853" s="5" t="s">
        <v>3543</v>
      </c>
      <c r="E1853" s="5" t="s">
        <v>3544</v>
      </c>
      <c r="F1853" s="6"/>
      <c r="G1853" s="8">
        <v>10536.96</v>
      </c>
      <c r="H1853" s="5" t="s">
        <v>22</v>
      </c>
      <c r="I1853" s="7">
        <f t="shared" si="1"/>
        <v>15805.44</v>
      </c>
      <c r="J1853" s="7">
        <f t="shared" si="7"/>
        <v>13698.048</v>
      </c>
      <c r="K1853" s="7">
        <f t="shared" si="3"/>
        <v>13698.048</v>
      </c>
      <c r="L1853" s="7">
        <f t="shared" si="4"/>
        <v>12644.352</v>
      </c>
      <c r="M1853" s="7">
        <f t="shared" si="5"/>
        <v>12117.504</v>
      </c>
      <c r="N1853" s="7">
        <f t="shared" si="6"/>
        <v>11590.656</v>
      </c>
    </row>
    <row r="1854">
      <c r="A1854" s="5" t="s">
        <v>3320</v>
      </c>
      <c r="B1854" s="5" t="s">
        <v>1524</v>
      </c>
      <c r="C1854" s="5" t="s">
        <v>2007</v>
      </c>
      <c r="D1854" s="5" t="s">
        <v>3545</v>
      </c>
      <c r="E1854" s="5" t="s">
        <v>3546</v>
      </c>
      <c r="F1854" s="6"/>
      <c r="G1854" s="8">
        <v>2042.88</v>
      </c>
      <c r="H1854" s="5" t="s">
        <v>22</v>
      </c>
      <c r="I1854" s="7">
        <f t="shared" si="1"/>
        <v>3064.32</v>
      </c>
      <c r="J1854" s="7">
        <f t="shared" si="7"/>
        <v>2655.744</v>
      </c>
      <c r="K1854" s="7">
        <f t="shared" si="3"/>
        <v>2655.744</v>
      </c>
      <c r="L1854" s="7">
        <f t="shared" si="4"/>
        <v>2451.456</v>
      </c>
      <c r="M1854" s="7">
        <f t="shared" si="5"/>
        <v>2349.312</v>
      </c>
      <c r="N1854" s="7">
        <f t="shared" si="6"/>
        <v>2247.168</v>
      </c>
    </row>
    <row r="1855">
      <c r="A1855" s="5" t="s">
        <v>3320</v>
      </c>
      <c r="B1855" s="5" t="s">
        <v>1524</v>
      </c>
      <c r="C1855" s="5" t="s">
        <v>2007</v>
      </c>
      <c r="D1855" s="5" t="s">
        <v>3547</v>
      </c>
      <c r="E1855" s="5" t="s">
        <v>3548</v>
      </c>
      <c r="F1855" s="6"/>
      <c r="G1855" s="5">
        <v>913.92</v>
      </c>
      <c r="H1855" s="5" t="s">
        <v>22</v>
      </c>
      <c r="I1855" s="7">
        <f t="shared" si="1"/>
        <v>1370.88</v>
      </c>
      <c r="J1855" s="7">
        <f t="shared" si="7"/>
        <v>1188.096</v>
      </c>
      <c r="K1855" s="7">
        <f t="shared" si="3"/>
        <v>1188.096</v>
      </c>
      <c r="L1855" s="7">
        <f t="shared" si="4"/>
        <v>1096.704</v>
      </c>
      <c r="M1855" s="7">
        <f t="shared" si="5"/>
        <v>1051.008</v>
      </c>
      <c r="N1855" s="7">
        <f t="shared" si="6"/>
        <v>1005.312</v>
      </c>
    </row>
    <row r="1856">
      <c r="A1856" s="5" t="s">
        <v>3320</v>
      </c>
      <c r="B1856" s="6"/>
      <c r="C1856" s="6"/>
      <c r="D1856" s="5" t="s">
        <v>3470</v>
      </c>
      <c r="E1856" s="6"/>
      <c r="F1856" s="6"/>
      <c r="G1856" s="8">
        <v>16000.0</v>
      </c>
      <c r="H1856" s="5" t="s">
        <v>22</v>
      </c>
      <c r="I1856" s="7">
        <f t="shared" si="1"/>
        <v>24000</v>
      </c>
      <c r="J1856" s="7">
        <f t="shared" si="7"/>
        <v>20800</v>
      </c>
      <c r="K1856" s="7">
        <f t="shared" si="3"/>
        <v>20800</v>
      </c>
      <c r="L1856" s="7">
        <f t="shared" si="4"/>
        <v>19200</v>
      </c>
      <c r="M1856" s="7">
        <f t="shared" si="5"/>
        <v>18400</v>
      </c>
      <c r="N1856" s="7">
        <f t="shared" si="6"/>
        <v>17600</v>
      </c>
    </row>
    <row r="1857">
      <c r="A1857" s="5" t="s">
        <v>3549</v>
      </c>
      <c r="B1857" s="6"/>
      <c r="C1857" s="6"/>
      <c r="D1857" s="5" t="s">
        <v>3550</v>
      </c>
      <c r="E1857" s="5" t="s">
        <v>3551</v>
      </c>
      <c r="F1857" s="5" t="s">
        <v>3552</v>
      </c>
      <c r="G1857" s="15">
        <f t="shared" ref="G1857:G1972" si="8">H1857*53</f>
        <v>450.5</v>
      </c>
      <c r="H1857" s="16">
        <v>8.5</v>
      </c>
      <c r="I1857" s="7">
        <f t="shared" si="1"/>
        <v>675.75</v>
      </c>
      <c r="J1857" s="7">
        <f t="shared" si="7"/>
        <v>585.65</v>
      </c>
      <c r="K1857" s="7">
        <f t="shared" si="3"/>
        <v>585.65</v>
      </c>
      <c r="L1857" s="7">
        <f t="shared" si="4"/>
        <v>540.6</v>
      </c>
      <c r="M1857" s="7">
        <f t="shared" si="5"/>
        <v>518.075</v>
      </c>
      <c r="N1857" s="7">
        <f t="shared" si="6"/>
        <v>495.55</v>
      </c>
    </row>
    <row r="1858">
      <c r="A1858" s="5" t="s">
        <v>3549</v>
      </c>
      <c r="B1858" s="6"/>
      <c r="C1858" s="6"/>
      <c r="D1858" s="5" t="s">
        <v>3553</v>
      </c>
      <c r="E1858" s="5" t="s">
        <v>3554</v>
      </c>
      <c r="F1858" s="5" t="s">
        <v>3552</v>
      </c>
      <c r="G1858" s="15">
        <f t="shared" si="8"/>
        <v>434.6</v>
      </c>
      <c r="H1858" s="16">
        <v>8.2</v>
      </c>
      <c r="I1858" s="7">
        <f t="shared" si="1"/>
        <v>651.9</v>
      </c>
      <c r="J1858" s="7">
        <f t="shared" si="7"/>
        <v>564.98</v>
      </c>
      <c r="K1858" s="7">
        <f t="shared" si="3"/>
        <v>564.98</v>
      </c>
      <c r="L1858" s="7">
        <f t="shared" si="4"/>
        <v>521.52</v>
      </c>
      <c r="M1858" s="7">
        <f t="shared" si="5"/>
        <v>499.79</v>
      </c>
      <c r="N1858" s="7">
        <f t="shared" si="6"/>
        <v>478.06</v>
      </c>
    </row>
    <row r="1859">
      <c r="A1859" s="5" t="s">
        <v>3549</v>
      </c>
      <c r="B1859" s="6"/>
      <c r="C1859" s="6"/>
      <c r="D1859" s="5" t="s">
        <v>3555</v>
      </c>
      <c r="E1859" s="5" t="s">
        <v>3556</v>
      </c>
      <c r="F1859" s="5" t="s">
        <v>3552</v>
      </c>
      <c r="G1859" s="15">
        <f t="shared" si="8"/>
        <v>594.66</v>
      </c>
      <c r="H1859" s="16">
        <v>11.22</v>
      </c>
      <c r="I1859" s="7">
        <f t="shared" si="1"/>
        <v>891.99</v>
      </c>
      <c r="J1859" s="7">
        <f t="shared" si="7"/>
        <v>773.058</v>
      </c>
      <c r="K1859" s="7">
        <f t="shared" si="3"/>
        <v>773.058</v>
      </c>
      <c r="L1859" s="7">
        <f t="shared" si="4"/>
        <v>713.592</v>
      </c>
      <c r="M1859" s="7">
        <f t="shared" si="5"/>
        <v>683.859</v>
      </c>
      <c r="N1859" s="7">
        <f t="shared" si="6"/>
        <v>654.126</v>
      </c>
    </row>
    <row r="1860">
      <c r="A1860" s="5" t="s">
        <v>3549</v>
      </c>
      <c r="B1860" s="6"/>
      <c r="C1860" s="6"/>
      <c r="D1860" s="5" t="s">
        <v>3557</v>
      </c>
      <c r="E1860" s="5" t="s">
        <v>3558</v>
      </c>
      <c r="F1860" s="5" t="s">
        <v>3552</v>
      </c>
      <c r="G1860" s="15">
        <f t="shared" si="8"/>
        <v>681.05</v>
      </c>
      <c r="H1860" s="16">
        <v>12.85</v>
      </c>
      <c r="I1860" s="7">
        <f t="shared" si="1"/>
        <v>1021.575</v>
      </c>
      <c r="J1860" s="7">
        <f t="shared" si="7"/>
        <v>885.365</v>
      </c>
      <c r="K1860" s="7">
        <f t="shared" si="3"/>
        <v>885.365</v>
      </c>
      <c r="L1860" s="7">
        <f t="shared" si="4"/>
        <v>817.26</v>
      </c>
      <c r="M1860" s="7">
        <f t="shared" si="5"/>
        <v>783.2075</v>
      </c>
      <c r="N1860" s="7">
        <f t="shared" si="6"/>
        <v>749.155</v>
      </c>
    </row>
    <row r="1861">
      <c r="A1861" s="5" t="s">
        <v>3549</v>
      </c>
      <c r="B1861" s="6"/>
      <c r="C1861" s="6"/>
      <c r="D1861" s="5" t="s">
        <v>3559</v>
      </c>
      <c r="E1861" s="5" t="s">
        <v>3560</v>
      </c>
      <c r="F1861" s="5" t="s">
        <v>3552</v>
      </c>
      <c r="G1861" s="15">
        <f t="shared" si="8"/>
        <v>542.72</v>
      </c>
      <c r="H1861" s="16">
        <v>10.24</v>
      </c>
      <c r="I1861" s="7">
        <f t="shared" si="1"/>
        <v>814.08</v>
      </c>
      <c r="J1861" s="7">
        <f t="shared" si="7"/>
        <v>705.536</v>
      </c>
      <c r="K1861" s="7">
        <f t="shared" si="3"/>
        <v>705.536</v>
      </c>
      <c r="L1861" s="7">
        <f t="shared" si="4"/>
        <v>651.264</v>
      </c>
      <c r="M1861" s="7">
        <f t="shared" si="5"/>
        <v>624.128</v>
      </c>
      <c r="N1861" s="7">
        <f t="shared" si="6"/>
        <v>596.992</v>
      </c>
    </row>
    <row r="1862">
      <c r="A1862" s="5" t="s">
        <v>3549</v>
      </c>
      <c r="B1862" s="6"/>
      <c r="C1862" s="6"/>
      <c r="D1862" s="5" t="s">
        <v>3561</v>
      </c>
      <c r="E1862" s="5" t="s">
        <v>3562</v>
      </c>
      <c r="F1862" s="5" t="s">
        <v>3552</v>
      </c>
      <c r="G1862" s="15">
        <f t="shared" si="8"/>
        <v>879.27</v>
      </c>
      <c r="H1862" s="17">
        <v>16.59</v>
      </c>
      <c r="I1862" s="7">
        <f t="shared" si="1"/>
        <v>1318.905</v>
      </c>
      <c r="J1862" s="7">
        <f t="shared" si="7"/>
        <v>1143.051</v>
      </c>
      <c r="K1862" s="7">
        <f t="shared" si="3"/>
        <v>1143.051</v>
      </c>
      <c r="L1862" s="7">
        <f t="shared" si="4"/>
        <v>1055.124</v>
      </c>
      <c r="M1862" s="7">
        <f t="shared" si="5"/>
        <v>1011.1605</v>
      </c>
      <c r="N1862" s="7">
        <f t="shared" si="6"/>
        <v>967.197</v>
      </c>
    </row>
    <row r="1863">
      <c r="A1863" s="5" t="s">
        <v>3549</v>
      </c>
      <c r="B1863" s="6"/>
      <c r="C1863" s="6"/>
      <c r="D1863" s="5" t="s">
        <v>3563</v>
      </c>
      <c r="E1863" s="5" t="s">
        <v>3564</v>
      </c>
      <c r="F1863" s="5" t="s">
        <v>3552</v>
      </c>
      <c r="G1863" s="15">
        <f t="shared" si="8"/>
        <v>68.9</v>
      </c>
      <c r="H1863" s="16">
        <v>1.3</v>
      </c>
      <c r="I1863" s="7">
        <f t="shared" si="1"/>
        <v>103.35</v>
      </c>
      <c r="J1863" s="7">
        <f t="shared" si="7"/>
        <v>89.57</v>
      </c>
      <c r="K1863" s="7">
        <f t="shared" si="3"/>
        <v>89.57</v>
      </c>
      <c r="L1863" s="7">
        <f t="shared" si="4"/>
        <v>82.68</v>
      </c>
      <c r="M1863" s="7">
        <f t="shared" si="5"/>
        <v>79.235</v>
      </c>
      <c r="N1863" s="7">
        <f t="shared" si="6"/>
        <v>75.79</v>
      </c>
    </row>
    <row r="1864">
      <c r="A1864" s="5" t="s">
        <v>3549</v>
      </c>
      <c r="B1864" s="6"/>
      <c r="C1864" s="6"/>
      <c r="D1864" s="5" t="s">
        <v>3565</v>
      </c>
      <c r="E1864" s="5" t="s">
        <v>3566</v>
      </c>
      <c r="F1864" s="5" t="s">
        <v>3552</v>
      </c>
      <c r="G1864" s="15">
        <f t="shared" si="8"/>
        <v>706.49</v>
      </c>
      <c r="H1864" s="16">
        <v>13.33</v>
      </c>
      <c r="I1864" s="7">
        <f t="shared" si="1"/>
        <v>1059.735</v>
      </c>
      <c r="J1864" s="7">
        <f t="shared" si="7"/>
        <v>918.437</v>
      </c>
      <c r="K1864" s="7">
        <f t="shared" si="3"/>
        <v>918.437</v>
      </c>
      <c r="L1864" s="7">
        <f t="shared" si="4"/>
        <v>847.788</v>
      </c>
      <c r="M1864" s="7">
        <f t="shared" si="5"/>
        <v>812.4635</v>
      </c>
      <c r="N1864" s="7">
        <f t="shared" si="6"/>
        <v>777.139</v>
      </c>
    </row>
    <row r="1865">
      <c r="A1865" s="5" t="s">
        <v>3549</v>
      </c>
      <c r="B1865" s="6"/>
      <c r="C1865" s="6"/>
      <c r="D1865" s="5" t="s">
        <v>3567</v>
      </c>
      <c r="E1865" s="5" t="s">
        <v>3568</v>
      </c>
      <c r="F1865" s="5" t="s">
        <v>3552</v>
      </c>
      <c r="G1865" s="15">
        <f t="shared" si="8"/>
        <v>163.77</v>
      </c>
      <c r="H1865" s="16">
        <v>3.09</v>
      </c>
      <c r="I1865" s="7">
        <f t="shared" si="1"/>
        <v>245.655</v>
      </c>
      <c r="J1865" s="7">
        <f t="shared" si="7"/>
        <v>212.901</v>
      </c>
      <c r="K1865" s="7">
        <f t="shared" si="3"/>
        <v>212.901</v>
      </c>
      <c r="L1865" s="7">
        <f t="shared" si="4"/>
        <v>196.524</v>
      </c>
      <c r="M1865" s="7">
        <f t="shared" si="5"/>
        <v>188.3355</v>
      </c>
      <c r="N1865" s="7">
        <f t="shared" si="6"/>
        <v>180.147</v>
      </c>
    </row>
    <row r="1866">
      <c r="A1866" s="5" t="s">
        <v>3549</v>
      </c>
      <c r="B1866" s="6"/>
      <c r="C1866" s="6"/>
      <c r="D1866" s="5" t="s">
        <v>3569</v>
      </c>
      <c r="E1866" s="5" t="s">
        <v>3570</v>
      </c>
      <c r="F1866" s="5" t="s">
        <v>3552</v>
      </c>
      <c r="G1866" s="15">
        <f t="shared" si="8"/>
        <v>202.46</v>
      </c>
      <c r="H1866" s="16">
        <v>3.82</v>
      </c>
      <c r="I1866" s="7">
        <f t="shared" si="1"/>
        <v>303.69</v>
      </c>
      <c r="J1866" s="7">
        <f t="shared" si="7"/>
        <v>263.198</v>
      </c>
      <c r="K1866" s="7">
        <f t="shared" si="3"/>
        <v>263.198</v>
      </c>
      <c r="L1866" s="7">
        <f t="shared" si="4"/>
        <v>242.952</v>
      </c>
      <c r="M1866" s="7">
        <f t="shared" si="5"/>
        <v>232.829</v>
      </c>
      <c r="N1866" s="7">
        <f t="shared" si="6"/>
        <v>222.706</v>
      </c>
    </row>
    <row r="1867">
      <c r="A1867" s="5" t="s">
        <v>3549</v>
      </c>
      <c r="B1867" s="6"/>
      <c r="C1867" s="6"/>
      <c r="D1867" s="5" t="s">
        <v>3571</v>
      </c>
      <c r="E1867" s="5" t="s">
        <v>3572</v>
      </c>
      <c r="F1867" s="5" t="s">
        <v>3552</v>
      </c>
      <c r="G1867" s="15">
        <f t="shared" si="8"/>
        <v>6627.12</v>
      </c>
      <c r="H1867" s="16">
        <v>125.04</v>
      </c>
      <c r="I1867" s="7">
        <f t="shared" si="1"/>
        <v>9940.68</v>
      </c>
      <c r="J1867" s="7">
        <f t="shared" si="7"/>
        <v>8615.256</v>
      </c>
      <c r="K1867" s="7">
        <f t="shared" si="3"/>
        <v>8615.256</v>
      </c>
      <c r="L1867" s="7">
        <f t="shared" si="4"/>
        <v>7952.544</v>
      </c>
      <c r="M1867" s="7">
        <f t="shared" si="5"/>
        <v>7621.188</v>
      </c>
      <c r="N1867" s="7">
        <f t="shared" si="6"/>
        <v>7289.832</v>
      </c>
    </row>
    <row r="1868">
      <c r="A1868" s="5" t="s">
        <v>3549</v>
      </c>
      <c r="B1868" s="6"/>
      <c r="C1868" s="6"/>
      <c r="D1868" s="5" t="s">
        <v>3573</v>
      </c>
      <c r="E1868" s="5" t="s">
        <v>3574</v>
      </c>
      <c r="F1868" s="5" t="s">
        <v>3552</v>
      </c>
      <c r="G1868" s="15">
        <f t="shared" si="8"/>
        <v>12720</v>
      </c>
      <c r="H1868" s="16">
        <v>240.0</v>
      </c>
      <c r="I1868" s="7">
        <f t="shared" si="1"/>
        <v>19080</v>
      </c>
      <c r="J1868" s="7">
        <f t="shared" si="7"/>
        <v>16536</v>
      </c>
      <c r="K1868" s="7">
        <f t="shared" si="3"/>
        <v>16536</v>
      </c>
      <c r="L1868" s="7">
        <f t="shared" si="4"/>
        <v>15264</v>
      </c>
      <c r="M1868" s="7">
        <f t="shared" si="5"/>
        <v>14628</v>
      </c>
      <c r="N1868" s="7">
        <f t="shared" si="6"/>
        <v>13992</v>
      </c>
    </row>
    <row r="1869">
      <c r="A1869" s="5" t="s">
        <v>3549</v>
      </c>
      <c r="B1869" s="6"/>
      <c r="C1869" s="6"/>
      <c r="D1869" s="5" t="s">
        <v>3575</v>
      </c>
      <c r="E1869" s="5" t="s">
        <v>3576</v>
      </c>
      <c r="F1869" s="5" t="s">
        <v>3552</v>
      </c>
      <c r="G1869" s="15">
        <f t="shared" si="8"/>
        <v>8247.33</v>
      </c>
      <c r="H1869" s="16">
        <v>155.61</v>
      </c>
      <c r="I1869" s="7">
        <f t="shared" si="1"/>
        <v>12370.995</v>
      </c>
      <c r="J1869" s="7">
        <f t="shared" si="7"/>
        <v>10721.529</v>
      </c>
      <c r="K1869" s="7">
        <f t="shared" si="3"/>
        <v>10721.529</v>
      </c>
      <c r="L1869" s="7">
        <f t="shared" si="4"/>
        <v>9896.796</v>
      </c>
      <c r="M1869" s="7">
        <f t="shared" si="5"/>
        <v>9484.4295</v>
      </c>
      <c r="N1869" s="7">
        <f t="shared" si="6"/>
        <v>9072.063</v>
      </c>
    </row>
    <row r="1870">
      <c r="A1870" s="5" t="s">
        <v>3549</v>
      </c>
      <c r="B1870" s="6"/>
      <c r="C1870" s="6"/>
      <c r="D1870" s="5" t="s">
        <v>3577</v>
      </c>
      <c r="E1870" s="5" t="s">
        <v>3578</v>
      </c>
      <c r="F1870" s="5" t="s">
        <v>3552</v>
      </c>
      <c r="G1870" s="15">
        <f t="shared" si="8"/>
        <v>48561.78</v>
      </c>
      <c r="H1870" s="17">
        <v>916.26</v>
      </c>
      <c r="I1870" s="7">
        <f t="shared" si="1"/>
        <v>72842.67</v>
      </c>
      <c r="J1870" s="7">
        <f t="shared" si="7"/>
        <v>63130.314</v>
      </c>
      <c r="K1870" s="7">
        <f t="shared" si="3"/>
        <v>63130.314</v>
      </c>
      <c r="L1870" s="7">
        <f t="shared" si="4"/>
        <v>58274.136</v>
      </c>
      <c r="M1870" s="7">
        <f t="shared" si="5"/>
        <v>55846.047</v>
      </c>
      <c r="N1870" s="7">
        <f t="shared" si="6"/>
        <v>53417.958</v>
      </c>
    </row>
    <row r="1871">
      <c r="A1871" s="5" t="s">
        <v>3549</v>
      </c>
      <c r="B1871" s="6"/>
      <c r="C1871" s="6"/>
      <c r="D1871" s="5" t="s">
        <v>3579</v>
      </c>
      <c r="E1871" s="5" t="s">
        <v>3580</v>
      </c>
      <c r="F1871" s="5" t="s">
        <v>3552</v>
      </c>
      <c r="G1871" s="15">
        <f t="shared" si="8"/>
        <v>281.96</v>
      </c>
      <c r="H1871" s="16">
        <v>5.32</v>
      </c>
      <c r="I1871" s="7">
        <f t="shared" si="1"/>
        <v>422.94</v>
      </c>
      <c r="J1871" s="7">
        <f t="shared" si="7"/>
        <v>366.548</v>
      </c>
      <c r="K1871" s="7">
        <f t="shared" si="3"/>
        <v>366.548</v>
      </c>
      <c r="L1871" s="7">
        <f t="shared" si="4"/>
        <v>338.352</v>
      </c>
      <c r="M1871" s="7">
        <f t="shared" si="5"/>
        <v>324.254</v>
      </c>
      <c r="N1871" s="7">
        <f t="shared" si="6"/>
        <v>310.156</v>
      </c>
    </row>
    <row r="1872">
      <c r="A1872" s="5" t="s">
        <v>3549</v>
      </c>
      <c r="B1872" s="6"/>
      <c r="C1872" s="6"/>
      <c r="D1872" s="5" t="s">
        <v>3581</v>
      </c>
      <c r="E1872" s="5" t="s">
        <v>3582</v>
      </c>
      <c r="F1872" s="5" t="s">
        <v>3552</v>
      </c>
      <c r="G1872" s="15">
        <f t="shared" si="8"/>
        <v>384.78</v>
      </c>
      <c r="H1872" s="16">
        <v>7.26</v>
      </c>
      <c r="I1872" s="7">
        <f t="shared" si="1"/>
        <v>577.17</v>
      </c>
      <c r="J1872" s="7">
        <f t="shared" si="7"/>
        <v>500.214</v>
      </c>
      <c r="K1872" s="7">
        <f t="shared" si="3"/>
        <v>500.214</v>
      </c>
      <c r="L1872" s="7">
        <f t="shared" si="4"/>
        <v>461.736</v>
      </c>
      <c r="M1872" s="7">
        <f t="shared" si="5"/>
        <v>442.497</v>
      </c>
      <c r="N1872" s="7">
        <f t="shared" si="6"/>
        <v>423.258</v>
      </c>
    </row>
    <row r="1873">
      <c r="A1873" s="5" t="s">
        <v>3549</v>
      </c>
      <c r="B1873" s="6"/>
      <c r="C1873" s="6"/>
      <c r="D1873" s="5" t="s">
        <v>3583</v>
      </c>
      <c r="E1873" s="5" t="s">
        <v>3584</v>
      </c>
      <c r="F1873" s="5" t="s">
        <v>3552</v>
      </c>
      <c r="G1873" s="15">
        <f t="shared" si="8"/>
        <v>465.34</v>
      </c>
      <c r="H1873" s="16">
        <v>8.78</v>
      </c>
      <c r="I1873" s="7">
        <f t="shared" si="1"/>
        <v>698.01</v>
      </c>
      <c r="J1873" s="7">
        <f t="shared" si="7"/>
        <v>604.942</v>
      </c>
      <c r="K1873" s="7">
        <f t="shared" si="3"/>
        <v>604.942</v>
      </c>
      <c r="L1873" s="7">
        <f t="shared" si="4"/>
        <v>558.408</v>
      </c>
      <c r="M1873" s="7">
        <f t="shared" si="5"/>
        <v>535.141</v>
      </c>
      <c r="N1873" s="7">
        <f t="shared" si="6"/>
        <v>511.874</v>
      </c>
    </row>
    <row r="1874">
      <c r="A1874" s="5" t="s">
        <v>3549</v>
      </c>
      <c r="B1874" s="6"/>
      <c r="C1874" s="6"/>
      <c r="D1874" s="5" t="s">
        <v>3585</v>
      </c>
      <c r="E1874" s="5" t="s">
        <v>3586</v>
      </c>
      <c r="F1874" s="5" t="s">
        <v>3552</v>
      </c>
      <c r="G1874" s="15">
        <f t="shared" si="8"/>
        <v>629.11</v>
      </c>
      <c r="H1874" s="16">
        <v>11.87</v>
      </c>
      <c r="I1874" s="7">
        <f t="shared" si="1"/>
        <v>943.665</v>
      </c>
      <c r="J1874" s="7">
        <f t="shared" si="7"/>
        <v>817.843</v>
      </c>
      <c r="K1874" s="7">
        <f t="shared" si="3"/>
        <v>817.843</v>
      </c>
      <c r="L1874" s="7">
        <f t="shared" si="4"/>
        <v>754.932</v>
      </c>
      <c r="M1874" s="7">
        <f t="shared" si="5"/>
        <v>723.4765</v>
      </c>
      <c r="N1874" s="7">
        <f t="shared" si="6"/>
        <v>692.021</v>
      </c>
    </row>
    <row r="1875">
      <c r="A1875" s="5" t="s">
        <v>3549</v>
      </c>
      <c r="B1875" s="6"/>
      <c r="C1875" s="6"/>
      <c r="D1875" s="5" t="s">
        <v>3587</v>
      </c>
      <c r="E1875" s="5" t="s">
        <v>3588</v>
      </c>
      <c r="F1875" s="5" t="s">
        <v>3552</v>
      </c>
      <c r="G1875" s="15">
        <f t="shared" si="8"/>
        <v>800.83</v>
      </c>
      <c r="H1875" s="16">
        <v>15.11</v>
      </c>
      <c r="I1875" s="7">
        <f t="shared" si="1"/>
        <v>1201.245</v>
      </c>
      <c r="J1875" s="7">
        <f t="shared" si="7"/>
        <v>1041.079</v>
      </c>
      <c r="K1875" s="7">
        <f t="shared" si="3"/>
        <v>1041.079</v>
      </c>
      <c r="L1875" s="7">
        <f t="shared" si="4"/>
        <v>960.996</v>
      </c>
      <c r="M1875" s="7">
        <f t="shared" si="5"/>
        <v>920.9545</v>
      </c>
      <c r="N1875" s="7">
        <f t="shared" si="6"/>
        <v>880.913</v>
      </c>
    </row>
    <row r="1876">
      <c r="A1876" s="5" t="s">
        <v>3549</v>
      </c>
      <c r="B1876" s="6"/>
      <c r="C1876" s="6"/>
      <c r="D1876" s="5" t="s">
        <v>3589</v>
      </c>
      <c r="E1876" s="5" t="s">
        <v>3590</v>
      </c>
      <c r="F1876" s="5" t="s">
        <v>3552</v>
      </c>
      <c r="G1876" s="15">
        <f t="shared" si="8"/>
        <v>751.54</v>
      </c>
      <c r="H1876" s="16">
        <v>14.18</v>
      </c>
      <c r="I1876" s="7">
        <f t="shared" si="1"/>
        <v>1127.31</v>
      </c>
      <c r="J1876" s="7">
        <f t="shared" si="7"/>
        <v>977.002</v>
      </c>
      <c r="K1876" s="7">
        <f t="shared" si="3"/>
        <v>977.002</v>
      </c>
      <c r="L1876" s="7">
        <f t="shared" si="4"/>
        <v>901.848</v>
      </c>
      <c r="M1876" s="7">
        <f t="shared" si="5"/>
        <v>864.271</v>
      </c>
      <c r="N1876" s="7">
        <f t="shared" si="6"/>
        <v>826.694</v>
      </c>
    </row>
    <row r="1877">
      <c r="A1877" s="5" t="s">
        <v>3549</v>
      </c>
      <c r="B1877" s="6"/>
      <c r="C1877" s="6"/>
      <c r="D1877" s="5" t="s">
        <v>3591</v>
      </c>
      <c r="E1877" s="5" t="s">
        <v>3592</v>
      </c>
      <c r="F1877" s="5" t="s">
        <v>3552</v>
      </c>
      <c r="G1877" s="15">
        <f t="shared" si="8"/>
        <v>482.83</v>
      </c>
      <c r="H1877" s="16">
        <v>9.11</v>
      </c>
      <c r="I1877" s="7">
        <f t="shared" si="1"/>
        <v>724.245</v>
      </c>
      <c r="J1877" s="7">
        <f t="shared" si="7"/>
        <v>627.679</v>
      </c>
      <c r="K1877" s="7">
        <f t="shared" si="3"/>
        <v>627.679</v>
      </c>
      <c r="L1877" s="7">
        <f t="shared" si="4"/>
        <v>579.396</v>
      </c>
      <c r="M1877" s="7">
        <f t="shared" si="5"/>
        <v>555.2545</v>
      </c>
      <c r="N1877" s="7">
        <f t="shared" si="6"/>
        <v>531.113</v>
      </c>
    </row>
    <row r="1878">
      <c r="A1878" s="5" t="s">
        <v>3549</v>
      </c>
      <c r="B1878" s="6"/>
      <c r="C1878" s="6"/>
      <c r="D1878" s="5" t="s">
        <v>3593</v>
      </c>
      <c r="E1878" s="5" t="s">
        <v>3594</v>
      </c>
      <c r="F1878" s="5" t="s">
        <v>3552</v>
      </c>
      <c r="G1878" s="15">
        <f t="shared" si="8"/>
        <v>560.21</v>
      </c>
      <c r="H1878" s="16">
        <v>10.57</v>
      </c>
      <c r="I1878" s="7">
        <f t="shared" si="1"/>
        <v>840.315</v>
      </c>
      <c r="J1878" s="7">
        <f t="shared" si="7"/>
        <v>728.273</v>
      </c>
      <c r="K1878" s="7">
        <f t="shared" si="3"/>
        <v>728.273</v>
      </c>
      <c r="L1878" s="7">
        <f t="shared" si="4"/>
        <v>672.252</v>
      </c>
      <c r="M1878" s="7">
        <f t="shared" si="5"/>
        <v>644.2415</v>
      </c>
      <c r="N1878" s="7">
        <f t="shared" si="6"/>
        <v>616.231</v>
      </c>
    </row>
    <row r="1879">
      <c r="A1879" s="5" t="s">
        <v>3549</v>
      </c>
      <c r="B1879" s="6"/>
      <c r="C1879" s="6"/>
      <c r="D1879" s="5" t="s">
        <v>3595</v>
      </c>
      <c r="E1879" s="5" t="s">
        <v>3594</v>
      </c>
      <c r="F1879" s="5" t="s">
        <v>3552</v>
      </c>
      <c r="G1879" s="15">
        <f t="shared" si="8"/>
        <v>646.6</v>
      </c>
      <c r="H1879" s="16">
        <v>12.2</v>
      </c>
      <c r="I1879" s="7">
        <f t="shared" si="1"/>
        <v>969.9</v>
      </c>
      <c r="J1879" s="7">
        <f t="shared" si="7"/>
        <v>840.58</v>
      </c>
      <c r="K1879" s="7">
        <f t="shared" si="3"/>
        <v>840.58</v>
      </c>
      <c r="L1879" s="7">
        <f t="shared" si="4"/>
        <v>775.92</v>
      </c>
      <c r="M1879" s="7">
        <f t="shared" si="5"/>
        <v>743.59</v>
      </c>
      <c r="N1879" s="7">
        <f t="shared" si="6"/>
        <v>711.26</v>
      </c>
    </row>
    <row r="1880">
      <c r="A1880" s="5" t="s">
        <v>3549</v>
      </c>
      <c r="B1880" s="6"/>
      <c r="C1880" s="6"/>
      <c r="D1880" s="5" t="s">
        <v>3596</v>
      </c>
      <c r="E1880" s="5" t="s">
        <v>3594</v>
      </c>
      <c r="F1880" s="5" t="s">
        <v>3552</v>
      </c>
      <c r="G1880" s="15">
        <f t="shared" si="8"/>
        <v>519.93</v>
      </c>
      <c r="H1880" s="16">
        <v>9.81</v>
      </c>
      <c r="I1880" s="7">
        <f t="shared" si="1"/>
        <v>779.895</v>
      </c>
      <c r="J1880" s="7">
        <f t="shared" si="7"/>
        <v>675.909</v>
      </c>
      <c r="K1880" s="7">
        <f t="shared" si="3"/>
        <v>675.909</v>
      </c>
      <c r="L1880" s="7">
        <f t="shared" si="4"/>
        <v>623.916</v>
      </c>
      <c r="M1880" s="7">
        <f t="shared" si="5"/>
        <v>597.9195</v>
      </c>
      <c r="N1880" s="7">
        <f t="shared" si="6"/>
        <v>571.923</v>
      </c>
    </row>
    <row r="1881">
      <c r="A1881" s="5" t="s">
        <v>3549</v>
      </c>
      <c r="B1881" s="6"/>
      <c r="C1881" s="6"/>
      <c r="D1881" s="5" t="s">
        <v>3597</v>
      </c>
      <c r="E1881" s="5" t="s">
        <v>3598</v>
      </c>
      <c r="F1881" s="5" t="s">
        <v>3552</v>
      </c>
      <c r="G1881" s="15">
        <f t="shared" si="8"/>
        <v>417.64</v>
      </c>
      <c r="H1881" s="16">
        <v>7.88</v>
      </c>
      <c r="I1881" s="7">
        <f t="shared" si="1"/>
        <v>626.46</v>
      </c>
      <c r="J1881" s="7">
        <f t="shared" si="7"/>
        <v>542.932</v>
      </c>
      <c r="K1881" s="7">
        <f t="shared" si="3"/>
        <v>542.932</v>
      </c>
      <c r="L1881" s="7">
        <f t="shared" si="4"/>
        <v>501.168</v>
      </c>
      <c r="M1881" s="7">
        <f t="shared" si="5"/>
        <v>480.286</v>
      </c>
      <c r="N1881" s="7">
        <f t="shared" si="6"/>
        <v>459.404</v>
      </c>
    </row>
    <row r="1882">
      <c r="A1882" s="5" t="s">
        <v>3549</v>
      </c>
      <c r="B1882" s="6"/>
      <c r="C1882" s="6"/>
      <c r="D1882" s="5" t="s">
        <v>3599</v>
      </c>
      <c r="E1882" s="5" t="s">
        <v>3600</v>
      </c>
      <c r="F1882" s="5" t="s">
        <v>3552</v>
      </c>
      <c r="G1882" s="15">
        <f t="shared" si="8"/>
        <v>387.96</v>
      </c>
      <c r="H1882" s="16">
        <v>7.32</v>
      </c>
      <c r="I1882" s="7">
        <f t="shared" si="1"/>
        <v>581.94</v>
      </c>
      <c r="J1882" s="7">
        <f t="shared" si="7"/>
        <v>504.348</v>
      </c>
      <c r="K1882" s="7">
        <f t="shared" si="3"/>
        <v>504.348</v>
      </c>
      <c r="L1882" s="7">
        <f t="shared" si="4"/>
        <v>465.552</v>
      </c>
      <c r="M1882" s="7">
        <f t="shared" si="5"/>
        <v>446.154</v>
      </c>
      <c r="N1882" s="7">
        <f t="shared" si="6"/>
        <v>426.756</v>
      </c>
    </row>
    <row r="1883">
      <c r="A1883" s="5" t="s">
        <v>3549</v>
      </c>
      <c r="B1883" s="6"/>
      <c r="C1883" s="6"/>
      <c r="D1883" s="5" t="s">
        <v>3601</v>
      </c>
      <c r="E1883" s="5" t="s">
        <v>3602</v>
      </c>
      <c r="F1883" s="5" t="s">
        <v>3552</v>
      </c>
      <c r="G1883" s="15">
        <f t="shared" si="8"/>
        <v>437.25</v>
      </c>
      <c r="H1883" s="16">
        <v>8.25</v>
      </c>
      <c r="I1883" s="7">
        <f t="shared" si="1"/>
        <v>655.875</v>
      </c>
      <c r="J1883" s="7">
        <f t="shared" si="7"/>
        <v>568.425</v>
      </c>
      <c r="K1883" s="7">
        <f t="shared" si="3"/>
        <v>568.425</v>
      </c>
      <c r="L1883" s="7">
        <f t="shared" si="4"/>
        <v>524.7</v>
      </c>
      <c r="M1883" s="7">
        <f t="shared" si="5"/>
        <v>502.8375</v>
      </c>
      <c r="N1883" s="7">
        <f t="shared" si="6"/>
        <v>480.975</v>
      </c>
    </row>
    <row r="1884">
      <c r="A1884" s="5" t="s">
        <v>3549</v>
      </c>
      <c r="B1884" s="6"/>
      <c r="C1884" s="6"/>
      <c r="D1884" s="5" t="s">
        <v>3603</v>
      </c>
      <c r="E1884" s="5" t="s">
        <v>3604</v>
      </c>
      <c r="F1884" s="5" t="s">
        <v>3552</v>
      </c>
      <c r="G1884" s="15">
        <f t="shared" si="8"/>
        <v>493.96</v>
      </c>
      <c r="H1884" s="16">
        <v>9.32</v>
      </c>
      <c r="I1884" s="7">
        <f t="shared" si="1"/>
        <v>740.94</v>
      </c>
      <c r="J1884" s="7">
        <f t="shared" si="7"/>
        <v>642.148</v>
      </c>
      <c r="K1884" s="7">
        <f t="shared" si="3"/>
        <v>642.148</v>
      </c>
      <c r="L1884" s="7">
        <f t="shared" si="4"/>
        <v>592.752</v>
      </c>
      <c r="M1884" s="7">
        <f t="shared" si="5"/>
        <v>568.054</v>
      </c>
      <c r="N1884" s="7">
        <f t="shared" si="6"/>
        <v>543.356</v>
      </c>
    </row>
    <row r="1885">
      <c r="A1885" s="5" t="s">
        <v>3549</v>
      </c>
      <c r="B1885" s="6"/>
      <c r="C1885" s="6"/>
      <c r="D1885" s="5" t="s">
        <v>3605</v>
      </c>
      <c r="E1885" s="5" t="s">
        <v>3604</v>
      </c>
      <c r="F1885" s="5" t="s">
        <v>3552</v>
      </c>
      <c r="G1885" s="15">
        <f t="shared" si="8"/>
        <v>766.91</v>
      </c>
      <c r="H1885" s="16">
        <v>14.47</v>
      </c>
      <c r="I1885" s="7">
        <f t="shared" si="1"/>
        <v>1150.365</v>
      </c>
      <c r="J1885" s="7">
        <f t="shared" si="7"/>
        <v>996.983</v>
      </c>
      <c r="K1885" s="7">
        <f t="shared" si="3"/>
        <v>996.983</v>
      </c>
      <c r="L1885" s="7">
        <f t="shared" si="4"/>
        <v>920.292</v>
      </c>
      <c r="M1885" s="7">
        <f t="shared" si="5"/>
        <v>881.9465</v>
      </c>
      <c r="N1885" s="7">
        <f t="shared" si="6"/>
        <v>843.601</v>
      </c>
    </row>
    <row r="1886">
      <c r="A1886" s="5" t="s">
        <v>3549</v>
      </c>
      <c r="B1886" s="6"/>
      <c r="C1886" s="6"/>
      <c r="D1886" s="5" t="s">
        <v>3606</v>
      </c>
      <c r="E1886" s="5" t="s">
        <v>3607</v>
      </c>
      <c r="F1886" s="5" t="s">
        <v>3552</v>
      </c>
      <c r="G1886" s="15">
        <f t="shared" si="8"/>
        <v>1288.96</v>
      </c>
      <c r="H1886" s="16">
        <v>24.32</v>
      </c>
      <c r="I1886" s="7">
        <f t="shared" si="1"/>
        <v>1933.44</v>
      </c>
      <c r="J1886" s="7">
        <f t="shared" si="7"/>
        <v>1675.648</v>
      </c>
      <c r="K1886" s="7">
        <f t="shared" si="3"/>
        <v>1675.648</v>
      </c>
      <c r="L1886" s="7">
        <f t="shared" si="4"/>
        <v>1546.752</v>
      </c>
      <c r="M1886" s="7">
        <f t="shared" si="5"/>
        <v>1482.304</v>
      </c>
      <c r="N1886" s="7">
        <f t="shared" si="6"/>
        <v>1417.856</v>
      </c>
    </row>
    <row r="1887">
      <c r="A1887" s="5" t="s">
        <v>3549</v>
      </c>
      <c r="B1887" s="6"/>
      <c r="C1887" s="6"/>
      <c r="D1887" s="5" t="s">
        <v>3608</v>
      </c>
      <c r="E1887" s="5" t="s">
        <v>3609</v>
      </c>
      <c r="F1887" s="5" t="s">
        <v>3552</v>
      </c>
      <c r="G1887" s="15">
        <f t="shared" si="8"/>
        <v>258.64</v>
      </c>
      <c r="H1887" s="16">
        <v>4.88</v>
      </c>
      <c r="I1887" s="7">
        <f t="shared" si="1"/>
        <v>387.96</v>
      </c>
      <c r="J1887" s="7">
        <f t="shared" si="7"/>
        <v>336.232</v>
      </c>
      <c r="K1887" s="7">
        <f t="shared" si="3"/>
        <v>336.232</v>
      </c>
      <c r="L1887" s="7">
        <f t="shared" si="4"/>
        <v>310.368</v>
      </c>
      <c r="M1887" s="7">
        <f t="shared" si="5"/>
        <v>297.436</v>
      </c>
      <c r="N1887" s="7">
        <f t="shared" si="6"/>
        <v>284.504</v>
      </c>
    </row>
    <row r="1888">
      <c r="A1888" s="5" t="s">
        <v>3549</v>
      </c>
      <c r="B1888" s="6"/>
      <c r="C1888" s="6"/>
      <c r="D1888" s="5" t="s">
        <v>3610</v>
      </c>
      <c r="E1888" s="5" t="s">
        <v>3611</v>
      </c>
      <c r="F1888" s="5" t="s">
        <v>3552</v>
      </c>
      <c r="G1888" s="15">
        <f t="shared" si="8"/>
        <v>95.4</v>
      </c>
      <c r="H1888" s="16">
        <v>1.8</v>
      </c>
      <c r="I1888" s="7">
        <f t="shared" si="1"/>
        <v>143.1</v>
      </c>
      <c r="J1888" s="7">
        <f t="shared" si="7"/>
        <v>124.02</v>
      </c>
      <c r="K1888" s="7">
        <f t="shared" si="3"/>
        <v>124.02</v>
      </c>
      <c r="L1888" s="7">
        <f t="shared" si="4"/>
        <v>114.48</v>
      </c>
      <c r="M1888" s="7">
        <f t="shared" si="5"/>
        <v>109.71</v>
      </c>
      <c r="N1888" s="7">
        <f t="shared" si="6"/>
        <v>104.94</v>
      </c>
    </row>
    <row r="1889">
      <c r="A1889" s="5" t="s">
        <v>3549</v>
      </c>
      <c r="B1889" s="6"/>
      <c r="C1889" s="6"/>
      <c r="D1889" s="5" t="s">
        <v>3612</v>
      </c>
      <c r="E1889" s="5" t="s">
        <v>3613</v>
      </c>
      <c r="F1889" s="5" t="s">
        <v>3552</v>
      </c>
      <c r="G1889" s="15">
        <f t="shared" si="8"/>
        <v>5067.33</v>
      </c>
      <c r="H1889" s="16">
        <v>95.61</v>
      </c>
      <c r="I1889" s="7">
        <f t="shared" si="1"/>
        <v>7600.995</v>
      </c>
      <c r="J1889" s="7">
        <f t="shared" si="7"/>
        <v>6587.529</v>
      </c>
      <c r="K1889" s="7">
        <f t="shared" si="3"/>
        <v>6587.529</v>
      </c>
      <c r="L1889" s="7">
        <f t="shared" si="4"/>
        <v>6080.796</v>
      </c>
      <c r="M1889" s="7">
        <f t="shared" si="5"/>
        <v>5827.4295</v>
      </c>
      <c r="N1889" s="7">
        <f t="shared" si="6"/>
        <v>5574.063</v>
      </c>
    </row>
    <row r="1890">
      <c r="A1890" s="5" t="s">
        <v>3549</v>
      </c>
      <c r="B1890" s="6"/>
      <c r="C1890" s="6"/>
      <c r="D1890" s="5" t="s">
        <v>3614</v>
      </c>
      <c r="E1890" s="5" t="s">
        <v>3615</v>
      </c>
      <c r="F1890" s="5" t="s">
        <v>3552</v>
      </c>
      <c r="G1890" s="15">
        <f t="shared" si="8"/>
        <v>5644.5</v>
      </c>
      <c r="H1890" s="16">
        <v>106.5</v>
      </c>
      <c r="I1890" s="7">
        <f t="shared" si="1"/>
        <v>8466.75</v>
      </c>
      <c r="J1890" s="7">
        <f t="shared" si="7"/>
        <v>7337.85</v>
      </c>
      <c r="K1890" s="7">
        <f t="shared" si="3"/>
        <v>7337.85</v>
      </c>
      <c r="L1890" s="7">
        <f t="shared" si="4"/>
        <v>6773.4</v>
      </c>
      <c r="M1890" s="7">
        <f t="shared" si="5"/>
        <v>6491.175</v>
      </c>
      <c r="N1890" s="7">
        <f t="shared" si="6"/>
        <v>6208.95</v>
      </c>
    </row>
    <row r="1891">
      <c r="A1891" s="5" t="s">
        <v>3549</v>
      </c>
      <c r="B1891" s="6"/>
      <c r="C1891" s="6"/>
      <c r="D1891" s="5" t="s">
        <v>3616</v>
      </c>
      <c r="E1891" s="5" t="s">
        <v>3617</v>
      </c>
      <c r="F1891" s="5" t="s">
        <v>3552</v>
      </c>
      <c r="G1891" s="15">
        <f t="shared" si="8"/>
        <v>7075.5</v>
      </c>
      <c r="H1891" s="16">
        <v>133.5</v>
      </c>
      <c r="I1891" s="7">
        <f t="shared" si="1"/>
        <v>10613.25</v>
      </c>
      <c r="J1891" s="7">
        <f t="shared" si="7"/>
        <v>9198.15</v>
      </c>
      <c r="K1891" s="7">
        <f t="shared" si="3"/>
        <v>9198.15</v>
      </c>
      <c r="L1891" s="7">
        <f t="shared" si="4"/>
        <v>8490.6</v>
      </c>
      <c r="M1891" s="7">
        <f t="shared" si="5"/>
        <v>8136.825</v>
      </c>
      <c r="N1891" s="7">
        <f t="shared" si="6"/>
        <v>7783.05</v>
      </c>
    </row>
    <row r="1892">
      <c r="A1892" s="5" t="s">
        <v>3549</v>
      </c>
      <c r="B1892" s="6"/>
      <c r="C1892" s="6"/>
      <c r="D1892" s="5" t="s">
        <v>3618</v>
      </c>
      <c r="E1892" s="5" t="s">
        <v>3619</v>
      </c>
      <c r="F1892" s="5" t="s">
        <v>3552</v>
      </c>
      <c r="G1892" s="15">
        <f t="shared" si="8"/>
        <v>9307.33</v>
      </c>
      <c r="H1892" s="16">
        <v>175.61</v>
      </c>
      <c r="I1892" s="7">
        <f t="shared" si="1"/>
        <v>13960.995</v>
      </c>
      <c r="J1892" s="7">
        <f t="shared" si="7"/>
        <v>12099.529</v>
      </c>
      <c r="K1892" s="7">
        <f t="shared" si="3"/>
        <v>12099.529</v>
      </c>
      <c r="L1892" s="7">
        <f t="shared" si="4"/>
        <v>11168.796</v>
      </c>
      <c r="M1892" s="7">
        <f t="shared" si="5"/>
        <v>10703.4295</v>
      </c>
      <c r="N1892" s="7">
        <f t="shared" si="6"/>
        <v>10238.063</v>
      </c>
    </row>
    <row r="1893">
      <c r="A1893" s="5" t="s">
        <v>3549</v>
      </c>
      <c r="B1893" s="6"/>
      <c r="C1893" s="6"/>
      <c r="D1893" s="5" t="s">
        <v>3620</v>
      </c>
      <c r="E1893" s="5" t="s">
        <v>3621</v>
      </c>
      <c r="F1893" s="5" t="s">
        <v>3552</v>
      </c>
      <c r="G1893" s="15">
        <f t="shared" si="8"/>
        <v>8445.55</v>
      </c>
      <c r="H1893" s="16">
        <v>159.35</v>
      </c>
      <c r="I1893" s="7">
        <f t="shared" si="1"/>
        <v>12668.325</v>
      </c>
      <c r="J1893" s="7">
        <f t="shared" si="7"/>
        <v>10979.215</v>
      </c>
      <c r="K1893" s="7">
        <f t="shared" si="3"/>
        <v>10979.215</v>
      </c>
      <c r="L1893" s="7">
        <f t="shared" si="4"/>
        <v>10134.66</v>
      </c>
      <c r="M1893" s="7">
        <f t="shared" si="5"/>
        <v>9712.3825</v>
      </c>
      <c r="N1893" s="7">
        <f t="shared" si="6"/>
        <v>9290.105</v>
      </c>
    </row>
    <row r="1894">
      <c r="A1894" s="5" t="s">
        <v>3549</v>
      </c>
      <c r="B1894" s="6"/>
      <c r="C1894" s="6"/>
      <c r="D1894" s="5" t="s">
        <v>3622</v>
      </c>
      <c r="E1894" s="5" t="s">
        <v>3623</v>
      </c>
      <c r="F1894" s="5" t="s">
        <v>3552</v>
      </c>
      <c r="G1894" s="15">
        <f t="shared" si="8"/>
        <v>9307.33</v>
      </c>
      <c r="H1894" s="16">
        <v>175.61</v>
      </c>
      <c r="I1894" s="7">
        <f t="shared" si="1"/>
        <v>13960.995</v>
      </c>
      <c r="J1894" s="7">
        <f t="shared" si="7"/>
        <v>12099.529</v>
      </c>
      <c r="K1894" s="7">
        <f t="shared" si="3"/>
        <v>12099.529</v>
      </c>
      <c r="L1894" s="7">
        <f t="shared" si="4"/>
        <v>11168.796</v>
      </c>
      <c r="M1894" s="7">
        <f t="shared" si="5"/>
        <v>10703.4295</v>
      </c>
      <c r="N1894" s="7">
        <f t="shared" si="6"/>
        <v>10238.063</v>
      </c>
    </row>
    <row r="1895">
      <c r="A1895" s="5" t="s">
        <v>3549</v>
      </c>
      <c r="B1895" s="6"/>
      <c r="C1895" s="6"/>
      <c r="D1895" s="5" t="s">
        <v>3624</v>
      </c>
      <c r="E1895" s="5" t="s">
        <v>3625</v>
      </c>
      <c r="F1895" s="5" t="s">
        <v>3552</v>
      </c>
      <c r="G1895" s="15">
        <f t="shared" si="8"/>
        <v>11030.89</v>
      </c>
      <c r="H1895" s="16">
        <v>208.13</v>
      </c>
      <c r="I1895" s="7">
        <f t="shared" si="1"/>
        <v>16546.335</v>
      </c>
      <c r="J1895" s="7">
        <f t="shared" si="7"/>
        <v>14340.157</v>
      </c>
      <c r="K1895" s="7">
        <f t="shared" si="3"/>
        <v>14340.157</v>
      </c>
      <c r="L1895" s="7">
        <f t="shared" si="4"/>
        <v>13237.068</v>
      </c>
      <c r="M1895" s="7">
        <f t="shared" si="5"/>
        <v>12685.5235</v>
      </c>
      <c r="N1895" s="7">
        <f t="shared" si="6"/>
        <v>12133.979</v>
      </c>
    </row>
    <row r="1896">
      <c r="A1896" s="5" t="s">
        <v>3549</v>
      </c>
      <c r="B1896" s="6"/>
      <c r="C1896" s="6"/>
      <c r="D1896" s="5" t="s">
        <v>3626</v>
      </c>
      <c r="E1896" s="5" t="s">
        <v>3627</v>
      </c>
      <c r="F1896" s="5" t="s">
        <v>3552</v>
      </c>
      <c r="G1896" s="15">
        <f t="shared" si="8"/>
        <v>14478.01</v>
      </c>
      <c r="H1896" s="16">
        <v>273.17</v>
      </c>
      <c r="I1896" s="7">
        <f t="shared" si="1"/>
        <v>21717.015</v>
      </c>
      <c r="J1896" s="7">
        <f t="shared" si="7"/>
        <v>18821.413</v>
      </c>
      <c r="K1896" s="7">
        <f t="shared" si="3"/>
        <v>18821.413</v>
      </c>
      <c r="L1896" s="7">
        <f t="shared" si="4"/>
        <v>17373.612</v>
      </c>
      <c r="M1896" s="7">
        <f t="shared" si="5"/>
        <v>16649.7115</v>
      </c>
      <c r="N1896" s="7">
        <f t="shared" si="6"/>
        <v>15925.811</v>
      </c>
    </row>
    <row r="1897">
      <c r="A1897" s="5" t="s">
        <v>3549</v>
      </c>
      <c r="B1897" s="6"/>
      <c r="C1897" s="6"/>
      <c r="D1897" s="5" t="s">
        <v>3628</v>
      </c>
      <c r="E1897" s="5" t="s">
        <v>3629</v>
      </c>
      <c r="F1897" s="5" t="s">
        <v>3552</v>
      </c>
      <c r="G1897" s="15">
        <f t="shared" si="8"/>
        <v>16201.57</v>
      </c>
      <c r="H1897" s="16">
        <v>305.69</v>
      </c>
      <c r="I1897" s="7">
        <f t="shared" si="1"/>
        <v>24302.355</v>
      </c>
      <c r="J1897" s="7">
        <f t="shared" si="7"/>
        <v>21062.041</v>
      </c>
      <c r="K1897" s="7">
        <f t="shared" si="3"/>
        <v>21062.041</v>
      </c>
      <c r="L1897" s="7">
        <f t="shared" si="4"/>
        <v>19441.884</v>
      </c>
      <c r="M1897" s="7">
        <f t="shared" si="5"/>
        <v>18631.8055</v>
      </c>
      <c r="N1897" s="7">
        <f t="shared" si="6"/>
        <v>17821.727</v>
      </c>
    </row>
    <row r="1898">
      <c r="A1898" s="5" t="s">
        <v>3549</v>
      </c>
      <c r="B1898" s="6"/>
      <c r="C1898" s="6"/>
      <c r="D1898" s="5" t="s">
        <v>3630</v>
      </c>
      <c r="E1898" s="5" t="s">
        <v>3631</v>
      </c>
      <c r="F1898" s="5" t="s">
        <v>3552</v>
      </c>
      <c r="G1898" s="15">
        <f t="shared" si="8"/>
        <v>17925.13</v>
      </c>
      <c r="H1898" s="16">
        <v>338.21</v>
      </c>
      <c r="I1898" s="7">
        <f t="shared" si="1"/>
        <v>26887.695</v>
      </c>
      <c r="J1898" s="7">
        <f t="shared" si="7"/>
        <v>23302.669</v>
      </c>
      <c r="K1898" s="7">
        <f t="shared" si="3"/>
        <v>23302.669</v>
      </c>
      <c r="L1898" s="7">
        <f t="shared" si="4"/>
        <v>21510.156</v>
      </c>
      <c r="M1898" s="7">
        <f t="shared" si="5"/>
        <v>20613.8995</v>
      </c>
      <c r="N1898" s="7">
        <f t="shared" si="6"/>
        <v>19717.643</v>
      </c>
    </row>
    <row r="1899">
      <c r="A1899" s="5" t="s">
        <v>3549</v>
      </c>
      <c r="B1899" s="6"/>
      <c r="C1899" s="6"/>
      <c r="D1899" s="5" t="s">
        <v>3632</v>
      </c>
      <c r="E1899" s="5" t="s">
        <v>3633</v>
      </c>
      <c r="F1899" s="5" t="s">
        <v>3552</v>
      </c>
      <c r="G1899" s="15">
        <f t="shared" si="8"/>
        <v>21372.25</v>
      </c>
      <c r="H1899" s="16">
        <v>403.25</v>
      </c>
      <c r="I1899" s="7">
        <f t="shared" si="1"/>
        <v>32058.375</v>
      </c>
      <c r="J1899" s="7">
        <f t="shared" si="7"/>
        <v>27783.925</v>
      </c>
      <c r="K1899" s="7">
        <f t="shared" si="3"/>
        <v>27783.925</v>
      </c>
      <c r="L1899" s="7">
        <f t="shared" si="4"/>
        <v>25646.7</v>
      </c>
      <c r="M1899" s="7">
        <f t="shared" si="5"/>
        <v>24578.0875</v>
      </c>
      <c r="N1899" s="7">
        <f t="shared" si="6"/>
        <v>23509.475</v>
      </c>
    </row>
    <row r="1900">
      <c r="A1900" s="5" t="s">
        <v>3549</v>
      </c>
      <c r="B1900" s="6"/>
      <c r="C1900" s="6"/>
      <c r="D1900" s="5" t="s">
        <v>3634</v>
      </c>
      <c r="E1900" s="5" t="s">
        <v>3635</v>
      </c>
      <c r="F1900" s="5" t="s">
        <v>3552</v>
      </c>
      <c r="G1900" s="15">
        <f t="shared" si="8"/>
        <v>8006.18</v>
      </c>
      <c r="H1900" s="16">
        <v>151.06</v>
      </c>
      <c r="I1900" s="7">
        <f t="shared" si="1"/>
        <v>12009.27</v>
      </c>
      <c r="J1900" s="7">
        <f t="shared" si="7"/>
        <v>10408.034</v>
      </c>
      <c r="K1900" s="7">
        <f t="shared" si="3"/>
        <v>10408.034</v>
      </c>
      <c r="L1900" s="7">
        <f t="shared" si="4"/>
        <v>9607.416</v>
      </c>
      <c r="M1900" s="7">
        <f t="shared" si="5"/>
        <v>9207.107</v>
      </c>
      <c r="N1900" s="7">
        <f t="shared" si="6"/>
        <v>8806.798</v>
      </c>
    </row>
    <row r="1901">
      <c r="A1901" s="5" t="s">
        <v>3549</v>
      </c>
      <c r="B1901" s="6"/>
      <c r="C1901" s="6"/>
      <c r="D1901" s="5" t="s">
        <v>3636</v>
      </c>
      <c r="E1901" s="5" t="s">
        <v>3637</v>
      </c>
      <c r="F1901" s="5" t="s">
        <v>3552</v>
      </c>
      <c r="G1901" s="15">
        <f t="shared" si="8"/>
        <v>10427.75</v>
      </c>
      <c r="H1901" s="16">
        <v>196.75</v>
      </c>
      <c r="I1901" s="7">
        <f t="shared" si="1"/>
        <v>15641.625</v>
      </c>
      <c r="J1901" s="7">
        <f t="shared" si="7"/>
        <v>13556.075</v>
      </c>
      <c r="K1901" s="7">
        <f t="shared" si="3"/>
        <v>13556.075</v>
      </c>
      <c r="L1901" s="7">
        <f t="shared" si="4"/>
        <v>12513.3</v>
      </c>
      <c r="M1901" s="7">
        <f t="shared" si="5"/>
        <v>11991.9125</v>
      </c>
      <c r="N1901" s="7">
        <f t="shared" si="6"/>
        <v>11470.525</v>
      </c>
    </row>
    <row r="1902">
      <c r="A1902" s="5" t="s">
        <v>3549</v>
      </c>
      <c r="B1902" s="6"/>
      <c r="C1902" s="6"/>
      <c r="D1902" s="5" t="s">
        <v>3638</v>
      </c>
      <c r="E1902" s="5" t="s">
        <v>3639</v>
      </c>
      <c r="F1902" s="5" t="s">
        <v>3552</v>
      </c>
      <c r="G1902" s="15">
        <f t="shared" si="8"/>
        <v>12892.25</v>
      </c>
      <c r="H1902" s="16">
        <v>243.25</v>
      </c>
      <c r="I1902" s="7">
        <f t="shared" si="1"/>
        <v>19338.375</v>
      </c>
      <c r="J1902" s="7">
        <f t="shared" si="7"/>
        <v>16759.925</v>
      </c>
      <c r="K1902" s="7">
        <f t="shared" si="3"/>
        <v>16759.925</v>
      </c>
      <c r="L1902" s="7">
        <f t="shared" si="4"/>
        <v>15470.7</v>
      </c>
      <c r="M1902" s="7">
        <f t="shared" si="5"/>
        <v>14826.0875</v>
      </c>
      <c r="N1902" s="7">
        <f t="shared" si="6"/>
        <v>14181.475</v>
      </c>
    </row>
    <row r="1903">
      <c r="A1903" s="5" t="s">
        <v>3549</v>
      </c>
      <c r="B1903" s="6"/>
      <c r="C1903" s="6"/>
      <c r="D1903" s="5" t="s">
        <v>3640</v>
      </c>
      <c r="E1903" s="5" t="s">
        <v>3641</v>
      </c>
      <c r="F1903" s="5" t="s">
        <v>3552</v>
      </c>
      <c r="G1903" s="15">
        <f t="shared" si="8"/>
        <v>2981.25</v>
      </c>
      <c r="H1903" s="16">
        <v>56.25</v>
      </c>
      <c r="I1903" s="7">
        <f t="shared" si="1"/>
        <v>4471.875</v>
      </c>
      <c r="J1903" s="7">
        <f t="shared" si="7"/>
        <v>3875.625</v>
      </c>
      <c r="K1903" s="7">
        <f t="shared" si="3"/>
        <v>3875.625</v>
      </c>
      <c r="L1903" s="7">
        <f t="shared" si="4"/>
        <v>3577.5</v>
      </c>
      <c r="M1903" s="7">
        <f t="shared" si="5"/>
        <v>3428.4375</v>
      </c>
      <c r="N1903" s="7">
        <f t="shared" si="6"/>
        <v>3279.375</v>
      </c>
    </row>
    <row r="1904">
      <c r="A1904" s="5" t="s">
        <v>3549</v>
      </c>
      <c r="B1904" s="6"/>
      <c r="C1904" s="6"/>
      <c r="D1904" s="5" t="s">
        <v>3642</v>
      </c>
      <c r="E1904" s="5" t="s">
        <v>3643</v>
      </c>
      <c r="F1904" s="5" t="s">
        <v>3552</v>
      </c>
      <c r="G1904" s="15">
        <f t="shared" si="8"/>
        <v>792.88</v>
      </c>
      <c r="H1904" s="16">
        <v>14.96</v>
      </c>
      <c r="I1904" s="7">
        <f t="shared" si="1"/>
        <v>1189.32</v>
      </c>
      <c r="J1904" s="7">
        <f t="shared" si="7"/>
        <v>1030.744</v>
      </c>
      <c r="K1904" s="7">
        <f t="shared" si="3"/>
        <v>1030.744</v>
      </c>
      <c r="L1904" s="7">
        <f t="shared" si="4"/>
        <v>951.456</v>
      </c>
      <c r="M1904" s="7">
        <f t="shared" si="5"/>
        <v>911.812</v>
      </c>
      <c r="N1904" s="7">
        <f t="shared" si="6"/>
        <v>872.168</v>
      </c>
    </row>
    <row r="1905">
      <c r="A1905" s="5" t="s">
        <v>3549</v>
      </c>
      <c r="B1905" s="6"/>
      <c r="C1905" s="6"/>
      <c r="D1905" s="5" t="s">
        <v>3644</v>
      </c>
      <c r="E1905" s="5" t="s">
        <v>3645</v>
      </c>
      <c r="F1905" s="5" t="s">
        <v>3552</v>
      </c>
      <c r="G1905" s="15">
        <f t="shared" si="8"/>
        <v>732.46</v>
      </c>
      <c r="H1905" s="16">
        <v>13.82</v>
      </c>
      <c r="I1905" s="7">
        <f t="shared" si="1"/>
        <v>1098.69</v>
      </c>
      <c r="J1905" s="7">
        <f t="shared" si="7"/>
        <v>952.198</v>
      </c>
      <c r="K1905" s="7">
        <f t="shared" si="3"/>
        <v>952.198</v>
      </c>
      <c r="L1905" s="7">
        <f t="shared" si="4"/>
        <v>878.952</v>
      </c>
      <c r="M1905" s="7">
        <f t="shared" si="5"/>
        <v>842.329</v>
      </c>
      <c r="N1905" s="7">
        <f t="shared" si="6"/>
        <v>805.706</v>
      </c>
    </row>
    <row r="1906">
      <c r="A1906" s="5" t="s">
        <v>3549</v>
      </c>
      <c r="B1906" s="6"/>
      <c r="C1906" s="6"/>
      <c r="D1906" s="5" t="s">
        <v>3646</v>
      </c>
      <c r="E1906" s="5" t="s">
        <v>3647</v>
      </c>
      <c r="F1906" s="5" t="s">
        <v>3552</v>
      </c>
      <c r="G1906" s="15">
        <f t="shared" si="8"/>
        <v>1223.77</v>
      </c>
      <c r="H1906" s="16">
        <v>23.09</v>
      </c>
      <c r="I1906" s="7">
        <f t="shared" si="1"/>
        <v>1835.655</v>
      </c>
      <c r="J1906" s="7">
        <f t="shared" si="7"/>
        <v>1590.901</v>
      </c>
      <c r="K1906" s="7">
        <f t="shared" si="3"/>
        <v>1590.901</v>
      </c>
      <c r="L1906" s="7">
        <f t="shared" si="4"/>
        <v>1468.524</v>
      </c>
      <c r="M1906" s="7">
        <f t="shared" si="5"/>
        <v>1407.3355</v>
      </c>
      <c r="N1906" s="7">
        <f t="shared" si="6"/>
        <v>1346.147</v>
      </c>
    </row>
    <row r="1907">
      <c r="A1907" s="5" t="s">
        <v>3549</v>
      </c>
      <c r="B1907" s="6"/>
      <c r="C1907" s="6"/>
      <c r="D1907" s="5" t="s">
        <v>3648</v>
      </c>
      <c r="E1907" s="5" t="s">
        <v>3649</v>
      </c>
      <c r="F1907" s="5" t="s">
        <v>3552</v>
      </c>
      <c r="G1907" s="15">
        <f t="shared" si="8"/>
        <v>1249.74</v>
      </c>
      <c r="H1907" s="16">
        <v>23.58</v>
      </c>
      <c r="I1907" s="7">
        <f t="shared" si="1"/>
        <v>1874.61</v>
      </c>
      <c r="J1907" s="7">
        <f t="shared" si="7"/>
        <v>1624.662</v>
      </c>
      <c r="K1907" s="7">
        <f t="shared" si="3"/>
        <v>1624.662</v>
      </c>
      <c r="L1907" s="7">
        <f t="shared" si="4"/>
        <v>1499.688</v>
      </c>
      <c r="M1907" s="7">
        <f t="shared" si="5"/>
        <v>1437.201</v>
      </c>
      <c r="N1907" s="7">
        <f t="shared" si="6"/>
        <v>1374.714</v>
      </c>
    </row>
    <row r="1908">
      <c r="A1908" s="5" t="s">
        <v>3549</v>
      </c>
      <c r="B1908" s="6"/>
      <c r="C1908" s="6"/>
      <c r="D1908" s="5" t="s">
        <v>3650</v>
      </c>
      <c r="E1908" s="5" t="s">
        <v>3651</v>
      </c>
      <c r="F1908" s="5" t="s">
        <v>3552</v>
      </c>
      <c r="G1908" s="15">
        <f t="shared" si="8"/>
        <v>68.9</v>
      </c>
      <c r="H1908" s="16">
        <v>1.3</v>
      </c>
      <c r="I1908" s="7">
        <f t="shared" si="1"/>
        <v>103.35</v>
      </c>
      <c r="J1908" s="7">
        <f t="shared" si="7"/>
        <v>89.57</v>
      </c>
      <c r="K1908" s="7">
        <f t="shared" si="3"/>
        <v>89.57</v>
      </c>
      <c r="L1908" s="7">
        <f t="shared" si="4"/>
        <v>82.68</v>
      </c>
      <c r="M1908" s="7">
        <f t="shared" si="5"/>
        <v>79.235</v>
      </c>
      <c r="N1908" s="7">
        <f t="shared" si="6"/>
        <v>75.79</v>
      </c>
    </row>
    <row r="1909">
      <c r="A1909" s="5" t="s">
        <v>3549</v>
      </c>
      <c r="B1909" s="6"/>
      <c r="C1909" s="6"/>
      <c r="D1909" s="5" t="s">
        <v>3652</v>
      </c>
      <c r="E1909" s="5" t="s">
        <v>3653</v>
      </c>
      <c r="F1909" s="5" t="s">
        <v>3552</v>
      </c>
      <c r="G1909" s="15">
        <f t="shared" si="8"/>
        <v>991.1</v>
      </c>
      <c r="H1909" s="16">
        <v>18.7</v>
      </c>
      <c r="I1909" s="7">
        <f t="shared" si="1"/>
        <v>1486.65</v>
      </c>
      <c r="J1909" s="7">
        <f t="shared" si="7"/>
        <v>1288.43</v>
      </c>
      <c r="K1909" s="7">
        <f t="shared" si="3"/>
        <v>1288.43</v>
      </c>
      <c r="L1909" s="7">
        <f t="shared" si="4"/>
        <v>1189.32</v>
      </c>
      <c r="M1909" s="7">
        <f t="shared" si="5"/>
        <v>1139.765</v>
      </c>
      <c r="N1909" s="7">
        <f t="shared" si="6"/>
        <v>1090.21</v>
      </c>
    </row>
    <row r="1910">
      <c r="A1910" s="5" t="s">
        <v>3549</v>
      </c>
      <c r="B1910" s="6"/>
      <c r="C1910" s="6"/>
      <c r="D1910" s="5" t="s">
        <v>3654</v>
      </c>
      <c r="E1910" s="5" t="s">
        <v>3655</v>
      </c>
      <c r="F1910" s="5" t="s">
        <v>3552</v>
      </c>
      <c r="G1910" s="15">
        <f t="shared" si="8"/>
        <v>732.46</v>
      </c>
      <c r="H1910" s="16">
        <v>13.82</v>
      </c>
      <c r="I1910" s="7">
        <f t="shared" si="1"/>
        <v>1098.69</v>
      </c>
      <c r="J1910" s="7">
        <f t="shared" si="7"/>
        <v>952.198</v>
      </c>
      <c r="K1910" s="7">
        <f t="shared" si="3"/>
        <v>952.198</v>
      </c>
      <c r="L1910" s="7">
        <f t="shared" si="4"/>
        <v>878.952</v>
      </c>
      <c r="M1910" s="7">
        <f t="shared" si="5"/>
        <v>842.329</v>
      </c>
      <c r="N1910" s="7">
        <f t="shared" si="6"/>
        <v>805.706</v>
      </c>
    </row>
    <row r="1911">
      <c r="A1911" s="5" t="s">
        <v>3549</v>
      </c>
      <c r="B1911" s="6"/>
      <c r="C1911" s="6"/>
      <c r="D1911" s="5" t="s">
        <v>3656</v>
      </c>
      <c r="E1911" s="5" t="s">
        <v>3655</v>
      </c>
      <c r="F1911" s="5" t="s">
        <v>3552</v>
      </c>
      <c r="G1911" s="15">
        <f t="shared" si="8"/>
        <v>742</v>
      </c>
      <c r="H1911" s="16">
        <v>14.0</v>
      </c>
      <c r="I1911" s="7">
        <f t="shared" si="1"/>
        <v>1113</v>
      </c>
      <c r="J1911" s="7">
        <f t="shared" si="7"/>
        <v>964.6</v>
      </c>
      <c r="K1911" s="7">
        <f t="shared" si="3"/>
        <v>964.6</v>
      </c>
      <c r="L1911" s="7">
        <f t="shared" si="4"/>
        <v>890.4</v>
      </c>
      <c r="M1911" s="7">
        <f t="shared" si="5"/>
        <v>853.3</v>
      </c>
      <c r="N1911" s="7">
        <f t="shared" si="6"/>
        <v>816.2</v>
      </c>
    </row>
    <row r="1912">
      <c r="A1912" s="5" t="s">
        <v>3549</v>
      </c>
      <c r="B1912" s="6"/>
      <c r="C1912" s="6"/>
      <c r="D1912" s="5" t="s">
        <v>3657</v>
      </c>
      <c r="E1912" s="5" t="s">
        <v>3658</v>
      </c>
      <c r="F1912" s="5" t="s">
        <v>3552</v>
      </c>
      <c r="G1912" s="15">
        <f t="shared" si="8"/>
        <v>758.43</v>
      </c>
      <c r="H1912" s="16">
        <v>14.31</v>
      </c>
      <c r="I1912" s="7">
        <f t="shared" si="1"/>
        <v>1137.645</v>
      </c>
      <c r="J1912" s="7">
        <f t="shared" si="7"/>
        <v>985.959</v>
      </c>
      <c r="K1912" s="7">
        <f t="shared" si="3"/>
        <v>985.959</v>
      </c>
      <c r="L1912" s="7">
        <f t="shared" si="4"/>
        <v>910.116</v>
      </c>
      <c r="M1912" s="7">
        <f t="shared" si="5"/>
        <v>872.1945</v>
      </c>
      <c r="N1912" s="7">
        <f t="shared" si="6"/>
        <v>834.273</v>
      </c>
    </row>
    <row r="1913">
      <c r="A1913" s="5" t="s">
        <v>3549</v>
      </c>
      <c r="B1913" s="6"/>
      <c r="C1913" s="6"/>
      <c r="D1913" s="5" t="s">
        <v>3659</v>
      </c>
      <c r="E1913" s="5" t="s">
        <v>3660</v>
      </c>
      <c r="F1913" s="5" t="s">
        <v>3552</v>
      </c>
      <c r="G1913" s="15">
        <f t="shared" si="8"/>
        <v>1353.09</v>
      </c>
      <c r="H1913" s="16">
        <v>25.53</v>
      </c>
      <c r="I1913" s="7">
        <f t="shared" si="1"/>
        <v>2029.635</v>
      </c>
      <c r="J1913" s="7">
        <f t="shared" si="7"/>
        <v>1759.017</v>
      </c>
      <c r="K1913" s="7">
        <f t="shared" si="3"/>
        <v>1759.017</v>
      </c>
      <c r="L1913" s="7">
        <f t="shared" si="4"/>
        <v>1623.708</v>
      </c>
      <c r="M1913" s="7">
        <f t="shared" si="5"/>
        <v>1556.0535</v>
      </c>
      <c r="N1913" s="7">
        <f t="shared" si="6"/>
        <v>1488.399</v>
      </c>
    </row>
    <row r="1914">
      <c r="A1914" s="5" t="s">
        <v>3549</v>
      </c>
      <c r="B1914" s="6"/>
      <c r="C1914" s="6"/>
      <c r="D1914" s="5" t="s">
        <v>3661</v>
      </c>
      <c r="E1914" s="5" t="s">
        <v>3660</v>
      </c>
      <c r="F1914" s="5" t="s">
        <v>3552</v>
      </c>
      <c r="G1914" s="15">
        <f t="shared" si="8"/>
        <v>1436.83</v>
      </c>
      <c r="H1914" s="16">
        <v>27.11</v>
      </c>
      <c r="I1914" s="7">
        <f t="shared" si="1"/>
        <v>2155.245</v>
      </c>
      <c r="J1914" s="7">
        <f t="shared" si="7"/>
        <v>1867.879</v>
      </c>
      <c r="K1914" s="7">
        <f t="shared" si="3"/>
        <v>1867.879</v>
      </c>
      <c r="L1914" s="7">
        <f t="shared" si="4"/>
        <v>1724.196</v>
      </c>
      <c r="M1914" s="7">
        <f t="shared" si="5"/>
        <v>1652.3545</v>
      </c>
      <c r="N1914" s="7">
        <f t="shared" si="6"/>
        <v>1580.513</v>
      </c>
    </row>
    <row r="1915">
      <c r="A1915" s="5" t="s">
        <v>3549</v>
      </c>
      <c r="B1915" s="6"/>
      <c r="C1915" s="6"/>
      <c r="D1915" s="5" t="s">
        <v>3662</v>
      </c>
      <c r="E1915" s="5" t="s">
        <v>3663</v>
      </c>
      <c r="F1915" s="5" t="s">
        <v>3552</v>
      </c>
      <c r="G1915" s="15">
        <f t="shared" si="8"/>
        <v>887.75</v>
      </c>
      <c r="H1915" s="16">
        <v>16.75</v>
      </c>
      <c r="I1915" s="7">
        <f t="shared" si="1"/>
        <v>1331.625</v>
      </c>
      <c r="J1915" s="7">
        <f t="shared" si="7"/>
        <v>1154.075</v>
      </c>
      <c r="K1915" s="7">
        <f t="shared" si="3"/>
        <v>1154.075</v>
      </c>
      <c r="L1915" s="7">
        <f t="shared" si="4"/>
        <v>1065.3</v>
      </c>
      <c r="M1915" s="7">
        <f t="shared" si="5"/>
        <v>1020.9125</v>
      </c>
      <c r="N1915" s="7">
        <f t="shared" si="6"/>
        <v>976.525</v>
      </c>
    </row>
    <row r="1916">
      <c r="A1916" s="5" t="s">
        <v>3549</v>
      </c>
      <c r="B1916" s="6"/>
      <c r="C1916" s="6"/>
      <c r="D1916" s="5" t="s">
        <v>3664</v>
      </c>
      <c r="E1916" s="5" t="s">
        <v>3665</v>
      </c>
      <c r="F1916" s="5" t="s">
        <v>3552</v>
      </c>
      <c r="G1916" s="15">
        <f t="shared" si="8"/>
        <v>1232.25</v>
      </c>
      <c r="H1916" s="16">
        <v>23.25</v>
      </c>
      <c r="I1916" s="7">
        <f t="shared" si="1"/>
        <v>1848.375</v>
      </c>
      <c r="J1916" s="7">
        <f t="shared" si="7"/>
        <v>1601.925</v>
      </c>
      <c r="K1916" s="7">
        <f t="shared" si="3"/>
        <v>1601.925</v>
      </c>
      <c r="L1916" s="7">
        <f t="shared" si="4"/>
        <v>1478.7</v>
      </c>
      <c r="M1916" s="7">
        <f t="shared" si="5"/>
        <v>1417.0875</v>
      </c>
      <c r="N1916" s="7">
        <f t="shared" si="6"/>
        <v>1355.475</v>
      </c>
    </row>
    <row r="1917">
      <c r="A1917" s="5" t="s">
        <v>3549</v>
      </c>
      <c r="B1917" s="6"/>
      <c r="C1917" s="6"/>
      <c r="D1917" s="5" t="s">
        <v>3666</v>
      </c>
      <c r="E1917" s="5" t="s">
        <v>3667</v>
      </c>
      <c r="F1917" s="5" t="s">
        <v>3552</v>
      </c>
      <c r="G1917" s="15">
        <f t="shared" si="8"/>
        <v>853.3</v>
      </c>
      <c r="H1917" s="16">
        <v>16.1</v>
      </c>
      <c r="I1917" s="7">
        <f t="shared" si="1"/>
        <v>1279.95</v>
      </c>
      <c r="J1917" s="7">
        <f t="shared" si="7"/>
        <v>1109.29</v>
      </c>
      <c r="K1917" s="7">
        <f t="shared" si="3"/>
        <v>1109.29</v>
      </c>
      <c r="L1917" s="7">
        <f t="shared" si="4"/>
        <v>1023.96</v>
      </c>
      <c r="M1917" s="7">
        <f t="shared" si="5"/>
        <v>981.295</v>
      </c>
      <c r="N1917" s="7">
        <f t="shared" si="6"/>
        <v>938.63</v>
      </c>
    </row>
    <row r="1918">
      <c r="A1918" s="5" t="s">
        <v>3549</v>
      </c>
      <c r="B1918" s="6"/>
      <c r="C1918" s="6"/>
      <c r="D1918" s="5" t="s">
        <v>3668</v>
      </c>
      <c r="E1918" s="5" t="s">
        <v>3669</v>
      </c>
      <c r="F1918" s="5" t="s">
        <v>3552</v>
      </c>
      <c r="G1918" s="15">
        <f t="shared" si="8"/>
        <v>1171.83</v>
      </c>
      <c r="H1918" s="16">
        <v>22.11</v>
      </c>
      <c r="I1918" s="7">
        <f t="shared" si="1"/>
        <v>1757.745</v>
      </c>
      <c r="J1918" s="7">
        <f t="shared" si="7"/>
        <v>1523.379</v>
      </c>
      <c r="K1918" s="7">
        <f t="shared" si="3"/>
        <v>1523.379</v>
      </c>
      <c r="L1918" s="7">
        <f t="shared" si="4"/>
        <v>1406.196</v>
      </c>
      <c r="M1918" s="7">
        <f t="shared" si="5"/>
        <v>1347.6045</v>
      </c>
      <c r="N1918" s="7">
        <f t="shared" si="6"/>
        <v>1289.013</v>
      </c>
    </row>
    <row r="1919">
      <c r="A1919" s="5" t="s">
        <v>3549</v>
      </c>
      <c r="B1919" s="6"/>
      <c r="C1919" s="6"/>
      <c r="D1919" s="5" t="s">
        <v>3670</v>
      </c>
      <c r="E1919" s="5" t="s">
        <v>3671</v>
      </c>
      <c r="F1919" s="5" t="s">
        <v>3552</v>
      </c>
      <c r="G1919" s="15">
        <f t="shared" si="8"/>
        <v>1301.15</v>
      </c>
      <c r="H1919" s="16">
        <v>24.55</v>
      </c>
      <c r="I1919" s="7">
        <f t="shared" si="1"/>
        <v>1951.725</v>
      </c>
      <c r="J1919" s="7">
        <f t="shared" si="7"/>
        <v>1691.495</v>
      </c>
      <c r="K1919" s="7">
        <f t="shared" si="3"/>
        <v>1691.495</v>
      </c>
      <c r="L1919" s="7">
        <f t="shared" si="4"/>
        <v>1561.38</v>
      </c>
      <c r="M1919" s="7">
        <f t="shared" si="5"/>
        <v>1496.3225</v>
      </c>
      <c r="N1919" s="7">
        <f t="shared" si="6"/>
        <v>1431.265</v>
      </c>
    </row>
    <row r="1920">
      <c r="A1920" s="5" t="s">
        <v>3549</v>
      </c>
      <c r="B1920" s="6"/>
      <c r="C1920" s="6"/>
      <c r="D1920" s="5" t="s">
        <v>3672</v>
      </c>
      <c r="E1920" s="5" t="s">
        <v>3673</v>
      </c>
      <c r="F1920" s="5" t="s">
        <v>3552</v>
      </c>
      <c r="G1920" s="15">
        <f t="shared" si="8"/>
        <v>870.26</v>
      </c>
      <c r="H1920" s="16">
        <v>16.42</v>
      </c>
      <c r="I1920" s="7">
        <f t="shared" si="1"/>
        <v>1305.39</v>
      </c>
      <c r="J1920" s="7">
        <f t="shared" si="7"/>
        <v>1131.338</v>
      </c>
      <c r="K1920" s="7">
        <f t="shared" si="3"/>
        <v>1131.338</v>
      </c>
      <c r="L1920" s="7">
        <f t="shared" si="4"/>
        <v>1044.312</v>
      </c>
      <c r="M1920" s="7">
        <f t="shared" si="5"/>
        <v>1000.799</v>
      </c>
      <c r="N1920" s="7">
        <f t="shared" si="6"/>
        <v>957.286</v>
      </c>
    </row>
    <row r="1921">
      <c r="A1921" s="5" t="s">
        <v>3549</v>
      </c>
      <c r="B1921" s="6"/>
      <c r="C1921" s="6"/>
      <c r="D1921" s="5" t="s">
        <v>3674</v>
      </c>
      <c r="E1921" s="5" t="s">
        <v>3675</v>
      </c>
      <c r="F1921" s="5" t="s">
        <v>3552</v>
      </c>
      <c r="G1921" s="15">
        <f t="shared" si="8"/>
        <v>103.35</v>
      </c>
      <c r="H1921" s="16">
        <v>1.95</v>
      </c>
      <c r="I1921" s="7">
        <f t="shared" si="1"/>
        <v>155.025</v>
      </c>
      <c r="J1921" s="7">
        <f t="shared" si="7"/>
        <v>134.355</v>
      </c>
      <c r="K1921" s="7">
        <f t="shared" si="3"/>
        <v>134.355</v>
      </c>
      <c r="L1921" s="7">
        <f t="shared" si="4"/>
        <v>124.02</v>
      </c>
      <c r="M1921" s="7">
        <f t="shared" si="5"/>
        <v>118.8525</v>
      </c>
      <c r="N1921" s="7">
        <f t="shared" si="6"/>
        <v>113.685</v>
      </c>
    </row>
    <row r="1922">
      <c r="A1922" s="5" t="s">
        <v>3549</v>
      </c>
      <c r="B1922" s="6"/>
      <c r="C1922" s="6"/>
      <c r="D1922" s="5" t="s">
        <v>3676</v>
      </c>
      <c r="E1922" s="5" t="s">
        <v>3677</v>
      </c>
      <c r="F1922" s="5" t="s">
        <v>3552</v>
      </c>
      <c r="G1922" s="15">
        <f t="shared" si="8"/>
        <v>1137.38</v>
      </c>
      <c r="H1922" s="16">
        <v>21.46</v>
      </c>
      <c r="I1922" s="7">
        <f t="shared" si="1"/>
        <v>1706.07</v>
      </c>
      <c r="J1922" s="7">
        <f t="shared" si="7"/>
        <v>1478.594</v>
      </c>
      <c r="K1922" s="7">
        <f t="shared" si="3"/>
        <v>1478.594</v>
      </c>
      <c r="L1922" s="7">
        <f t="shared" si="4"/>
        <v>1364.856</v>
      </c>
      <c r="M1922" s="7">
        <f t="shared" si="5"/>
        <v>1307.987</v>
      </c>
      <c r="N1922" s="7">
        <f t="shared" si="6"/>
        <v>1251.118</v>
      </c>
    </row>
    <row r="1923">
      <c r="A1923" s="5" t="s">
        <v>3549</v>
      </c>
      <c r="B1923" s="6"/>
      <c r="C1923" s="6"/>
      <c r="D1923" s="5" t="s">
        <v>3678</v>
      </c>
      <c r="E1923" s="5" t="s">
        <v>3679</v>
      </c>
      <c r="F1923" s="5" t="s">
        <v>3552</v>
      </c>
      <c r="G1923" s="15">
        <f t="shared" si="8"/>
        <v>16942.51</v>
      </c>
      <c r="H1923" s="16">
        <v>319.67</v>
      </c>
      <c r="I1923" s="7">
        <f t="shared" si="1"/>
        <v>25413.765</v>
      </c>
      <c r="J1923" s="7">
        <f t="shared" si="7"/>
        <v>22025.263</v>
      </c>
      <c r="K1923" s="7">
        <f t="shared" si="3"/>
        <v>22025.263</v>
      </c>
      <c r="L1923" s="7">
        <f t="shared" si="4"/>
        <v>20331.012</v>
      </c>
      <c r="M1923" s="7">
        <f t="shared" si="5"/>
        <v>19483.8865</v>
      </c>
      <c r="N1923" s="7">
        <f t="shared" si="6"/>
        <v>18636.761</v>
      </c>
    </row>
    <row r="1924">
      <c r="A1924" s="5" t="s">
        <v>3549</v>
      </c>
      <c r="B1924" s="6"/>
      <c r="C1924" s="6"/>
      <c r="D1924" s="5" t="s">
        <v>3680</v>
      </c>
      <c r="E1924" s="5" t="s">
        <v>3681</v>
      </c>
      <c r="F1924" s="5" t="s">
        <v>3552</v>
      </c>
      <c r="G1924" s="15">
        <f t="shared" si="8"/>
        <v>37591.31</v>
      </c>
      <c r="H1924" s="16">
        <v>709.27</v>
      </c>
      <c r="I1924" s="7">
        <f t="shared" si="1"/>
        <v>56386.965</v>
      </c>
      <c r="J1924" s="7">
        <f t="shared" si="7"/>
        <v>48868.703</v>
      </c>
      <c r="K1924" s="7">
        <f t="shared" si="3"/>
        <v>48868.703</v>
      </c>
      <c r="L1924" s="7">
        <f t="shared" si="4"/>
        <v>45109.572</v>
      </c>
      <c r="M1924" s="7">
        <f t="shared" si="5"/>
        <v>43230.0065</v>
      </c>
      <c r="N1924" s="7">
        <f t="shared" si="6"/>
        <v>41350.441</v>
      </c>
    </row>
    <row r="1925">
      <c r="A1925" s="5" t="s">
        <v>3549</v>
      </c>
      <c r="B1925" s="6"/>
      <c r="C1925" s="6"/>
      <c r="D1925" s="5" t="s">
        <v>3682</v>
      </c>
      <c r="E1925" s="5" t="s">
        <v>3683</v>
      </c>
      <c r="F1925" s="5" t="s">
        <v>3552</v>
      </c>
      <c r="G1925" s="15">
        <f t="shared" si="8"/>
        <v>49087.54</v>
      </c>
      <c r="H1925" s="16">
        <v>926.18</v>
      </c>
      <c r="I1925" s="7">
        <f t="shared" si="1"/>
        <v>73631.31</v>
      </c>
      <c r="J1925" s="7">
        <f t="shared" si="7"/>
        <v>63813.802</v>
      </c>
      <c r="K1925" s="7">
        <f t="shared" si="3"/>
        <v>63813.802</v>
      </c>
      <c r="L1925" s="7">
        <f t="shared" si="4"/>
        <v>58905.048</v>
      </c>
      <c r="M1925" s="7">
        <f t="shared" si="5"/>
        <v>56450.671</v>
      </c>
      <c r="N1925" s="7">
        <f t="shared" si="6"/>
        <v>53996.294</v>
      </c>
    </row>
    <row r="1926">
      <c r="A1926" s="5" t="s">
        <v>3549</v>
      </c>
      <c r="B1926" s="6"/>
      <c r="C1926" s="6"/>
      <c r="D1926" s="5" t="s">
        <v>3684</v>
      </c>
      <c r="E1926" s="5" t="s">
        <v>3685</v>
      </c>
      <c r="F1926" s="5" t="s">
        <v>3552</v>
      </c>
      <c r="G1926" s="15">
        <f t="shared" si="8"/>
        <v>69339.37</v>
      </c>
      <c r="H1926" s="16">
        <v>1308.29</v>
      </c>
      <c r="I1926" s="7">
        <f t="shared" si="1"/>
        <v>104009.055</v>
      </c>
      <c r="J1926" s="7">
        <f t="shared" si="7"/>
        <v>90141.181</v>
      </c>
      <c r="K1926" s="7">
        <f t="shared" si="3"/>
        <v>90141.181</v>
      </c>
      <c r="L1926" s="7">
        <f t="shared" si="4"/>
        <v>83207.244</v>
      </c>
      <c r="M1926" s="7">
        <f t="shared" si="5"/>
        <v>79740.2755</v>
      </c>
      <c r="N1926" s="7">
        <f t="shared" si="6"/>
        <v>76273.307</v>
      </c>
    </row>
    <row r="1927">
      <c r="A1927" s="5" t="s">
        <v>3549</v>
      </c>
      <c r="B1927" s="6"/>
      <c r="C1927" s="6"/>
      <c r="D1927" s="5" t="s">
        <v>3686</v>
      </c>
      <c r="E1927" s="5" t="s">
        <v>3687</v>
      </c>
      <c r="F1927" s="5" t="s">
        <v>3552</v>
      </c>
      <c r="G1927" s="15">
        <f t="shared" si="8"/>
        <v>10070</v>
      </c>
      <c r="H1927" s="16">
        <v>190.0</v>
      </c>
      <c r="I1927" s="7">
        <f t="shared" si="1"/>
        <v>15105</v>
      </c>
      <c r="J1927" s="7">
        <f t="shared" si="7"/>
        <v>13091</v>
      </c>
      <c r="K1927" s="7">
        <f t="shared" si="3"/>
        <v>13091</v>
      </c>
      <c r="L1927" s="7">
        <f t="shared" si="4"/>
        <v>12084</v>
      </c>
      <c r="M1927" s="7">
        <f t="shared" si="5"/>
        <v>11580.5</v>
      </c>
      <c r="N1927" s="7">
        <f t="shared" si="6"/>
        <v>11077</v>
      </c>
    </row>
    <row r="1928">
      <c r="A1928" s="5" t="s">
        <v>3549</v>
      </c>
      <c r="B1928" s="6"/>
      <c r="C1928" s="6"/>
      <c r="D1928" s="5" t="s">
        <v>3688</v>
      </c>
      <c r="E1928" s="5" t="s">
        <v>3689</v>
      </c>
      <c r="F1928" s="5" t="s">
        <v>3552</v>
      </c>
      <c r="G1928" s="15">
        <f t="shared" si="8"/>
        <v>20251.83</v>
      </c>
      <c r="H1928" s="16">
        <v>382.11</v>
      </c>
      <c r="I1928" s="7">
        <f t="shared" si="1"/>
        <v>30377.745</v>
      </c>
      <c r="J1928" s="7">
        <f t="shared" si="7"/>
        <v>26327.379</v>
      </c>
      <c r="K1928" s="7">
        <f t="shared" si="3"/>
        <v>26327.379</v>
      </c>
      <c r="L1928" s="7">
        <f t="shared" si="4"/>
        <v>24302.196</v>
      </c>
      <c r="M1928" s="7">
        <f t="shared" si="5"/>
        <v>23289.6045</v>
      </c>
      <c r="N1928" s="7">
        <f t="shared" si="6"/>
        <v>22277.013</v>
      </c>
    </row>
    <row r="1929">
      <c r="A1929" s="5" t="s">
        <v>3549</v>
      </c>
      <c r="B1929" s="6"/>
      <c r="C1929" s="6"/>
      <c r="D1929" s="5" t="s">
        <v>3690</v>
      </c>
      <c r="E1929" s="5" t="s">
        <v>3691</v>
      </c>
      <c r="F1929" s="5" t="s">
        <v>3552</v>
      </c>
      <c r="G1929" s="15">
        <f t="shared" si="8"/>
        <v>23971.9</v>
      </c>
      <c r="H1929" s="16">
        <v>452.3</v>
      </c>
      <c r="I1929" s="7">
        <f t="shared" si="1"/>
        <v>35957.85</v>
      </c>
      <c r="J1929" s="7">
        <f t="shared" si="7"/>
        <v>31163.47</v>
      </c>
      <c r="K1929" s="7">
        <f t="shared" si="3"/>
        <v>31163.47</v>
      </c>
      <c r="L1929" s="7">
        <f t="shared" si="4"/>
        <v>28766.28</v>
      </c>
      <c r="M1929" s="7">
        <f t="shared" si="5"/>
        <v>27567.685</v>
      </c>
      <c r="N1929" s="7">
        <f t="shared" si="6"/>
        <v>26369.09</v>
      </c>
    </row>
    <row r="1930">
      <c r="A1930" s="5" t="s">
        <v>3549</v>
      </c>
      <c r="B1930" s="6"/>
      <c r="C1930" s="6"/>
      <c r="D1930" s="5" t="s">
        <v>3692</v>
      </c>
      <c r="E1930" s="5" t="s">
        <v>3693</v>
      </c>
      <c r="F1930" s="5" t="s">
        <v>3552</v>
      </c>
      <c r="G1930" s="15">
        <f t="shared" si="8"/>
        <v>11684.91</v>
      </c>
      <c r="H1930" s="16">
        <v>220.47</v>
      </c>
      <c r="I1930" s="7">
        <f t="shared" si="1"/>
        <v>17527.365</v>
      </c>
      <c r="J1930" s="7">
        <f t="shared" si="7"/>
        <v>15190.383</v>
      </c>
      <c r="K1930" s="7">
        <f t="shared" si="3"/>
        <v>15190.383</v>
      </c>
      <c r="L1930" s="7">
        <f t="shared" si="4"/>
        <v>14021.892</v>
      </c>
      <c r="M1930" s="7">
        <f t="shared" si="5"/>
        <v>13437.6465</v>
      </c>
      <c r="N1930" s="7">
        <f t="shared" si="6"/>
        <v>12853.401</v>
      </c>
    </row>
    <row r="1931">
      <c r="A1931" s="5" t="s">
        <v>3549</v>
      </c>
      <c r="B1931" s="6"/>
      <c r="C1931" s="6"/>
      <c r="D1931" s="5" t="s">
        <v>3694</v>
      </c>
      <c r="E1931" s="5" t="s">
        <v>3695</v>
      </c>
      <c r="F1931" s="5" t="s">
        <v>3552</v>
      </c>
      <c r="G1931" s="15">
        <f t="shared" si="8"/>
        <v>15538.01</v>
      </c>
      <c r="H1931" s="16">
        <v>293.17</v>
      </c>
      <c r="I1931" s="7">
        <f t="shared" si="1"/>
        <v>23307.015</v>
      </c>
      <c r="J1931" s="7">
        <f t="shared" si="7"/>
        <v>20199.413</v>
      </c>
      <c r="K1931" s="7">
        <f t="shared" si="3"/>
        <v>20199.413</v>
      </c>
      <c r="L1931" s="7">
        <f t="shared" si="4"/>
        <v>18645.612</v>
      </c>
      <c r="M1931" s="7">
        <f t="shared" si="5"/>
        <v>17868.7115</v>
      </c>
      <c r="N1931" s="7">
        <f t="shared" si="6"/>
        <v>17091.811</v>
      </c>
    </row>
    <row r="1932">
      <c r="A1932" s="5" t="s">
        <v>3549</v>
      </c>
      <c r="B1932" s="6"/>
      <c r="C1932" s="6"/>
      <c r="D1932" s="5" t="s">
        <v>3696</v>
      </c>
      <c r="E1932" s="5" t="s">
        <v>3697</v>
      </c>
      <c r="F1932" s="5" t="s">
        <v>3552</v>
      </c>
      <c r="G1932" s="15">
        <f t="shared" si="8"/>
        <v>14443.03</v>
      </c>
      <c r="H1932" s="16">
        <v>272.51</v>
      </c>
      <c r="I1932" s="7">
        <f t="shared" si="1"/>
        <v>21664.545</v>
      </c>
      <c r="J1932" s="7">
        <f t="shared" si="7"/>
        <v>18775.939</v>
      </c>
      <c r="K1932" s="7">
        <f t="shared" si="3"/>
        <v>18775.939</v>
      </c>
      <c r="L1932" s="7">
        <f t="shared" si="4"/>
        <v>17331.636</v>
      </c>
      <c r="M1932" s="7">
        <f t="shared" si="5"/>
        <v>16609.4845</v>
      </c>
      <c r="N1932" s="7">
        <f t="shared" si="6"/>
        <v>15887.333</v>
      </c>
    </row>
    <row r="1933">
      <c r="A1933" s="5" t="s">
        <v>3549</v>
      </c>
      <c r="B1933" s="6"/>
      <c r="C1933" s="6"/>
      <c r="D1933" s="5" t="s">
        <v>3698</v>
      </c>
      <c r="E1933" s="5" t="s">
        <v>3699</v>
      </c>
      <c r="F1933" s="5" t="s">
        <v>3552</v>
      </c>
      <c r="G1933" s="15">
        <f t="shared" si="8"/>
        <v>2921.36</v>
      </c>
      <c r="H1933" s="16">
        <v>55.12</v>
      </c>
      <c r="I1933" s="7">
        <f t="shared" si="1"/>
        <v>4382.04</v>
      </c>
      <c r="J1933" s="7">
        <f t="shared" si="7"/>
        <v>3797.768</v>
      </c>
      <c r="K1933" s="7">
        <f t="shared" si="3"/>
        <v>3797.768</v>
      </c>
      <c r="L1933" s="7">
        <f t="shared" si="4"/>
        <v>3505.632</v>
      </c>
      <c r="M1933" s="7">
        <f t="shared" si="5"/>
        <v>3359.564</v>
      </c>
      <c r="N1933" s="7">
        <f t="shared" si="6"/>
        <v>3213.496</v>
      </c>
    </row>
    <row r="1934">
      <c r="A1934" s="5" t="s">
        <v>3549</v>
      </c>
      <c r="B1934" s="6"/>
      <c r="C1934" s="6"/>
      <c r="D1934" s="5" t="s">
        <v>3700</v>
      </c>
      <c r="E1934" s="5" t="s">
        <v>3701</v>
      </c>
      <c r="F1934" s="5" t="s">
        <v>3552</v>
      </c>
      <c r="G1934" s="15">
        <f t="shared" si="8"/>
        <v>11017.64</v>
      </c>
      <c r="H1934" s="16">
        <v>207.88</v>
      </c>
      <c r="I1934" s="7">
        <f t="shared" si="1"/>
        <v>16526.46</v>
      </c>
      <c r="J1934" s="7">
        <f t="shared" si="7"/>
        <v>14322.932</v>
      </c>
      <c r="K1934" s="7">
        <f t="shared" si="3"/>
        <v>14322.932</v>
      </c>
      <c r="L1934" s="7">
        <f t="shared" si="4"/>
        <v>13221.168</v>
      </c>
      <c r="M1934" s="7">
        <f t="shared" si="5"/>
        <v>12670.286</v>
      </c>
      <c r="N1934" s="7">
        <f t="shared" si="6"/>
        <v>12119.404</v>
      </c>
    </row>
    <row r="1935">
      <c r="A1935" s="5" t="s">
        <v>3549</v>
      </c>
      <c r="B1935" s="6"/>
      <c r="C1935" s="6"/>
      <c r="D1935" s="5" t="s">
        <v>3702</v>
      </c>
      <c r="E1935" s="5" t="s">
        <v>3703</v>
      </c>
      <c r="F1935" s="5" t="s">
        <v>3552</v>
      </c>
      <c r="G1935" s="15">
        <f t="shared" si="8"/>
        <v>44976.86</v>
      </c>
      <c r="H1935" s="16">
        <v>848.62</v>
      </c>
      <c r="I1935" s="7">
        <f t="shared" si="1"/>
        <v>67465.29</v>
      </c>
      <c r="J1935" s="7">
        <f t="shared" si="7"/>
        <v>58469.918</v>
      </c>
      <c r="K1935" s="7">
        <f t="shared" si="3"/>
        <v>58469.918</v>
      </c>
      <c r="L1935" s="7">
        <f t="shared" si="4"/>
        <v>53972.232</v>
      </c>
      <c r="M1935" s="7">
        <f t="shared" si="5"/>
        <v>51723.389</v>
      </c>
      <c r="N1935" s="7">
        <f t="shared" si="6"/>
        <v>49474.546</v>
      </c>
    </row>
    <row r="1936">
      <c r="A1936" s="5" t="s">
        <v>3549</v>
      </c>
      <c r="B1936" s="6"/>
      <c r="C1936" s="6"/>
      <c r="D1936" s="5" t="s">
        <v>3704</v>
      </c>
      <c r="E1936" s="5" t="s">
        <v>3705</v>
      </c>
      <c r="F1936" s="5" t="s">
        <v>3552</v>
      </c>
      <c r="G1936" s="15">
        <f t="shared" si="8"/>
        <v>18528.27</v>
      </c>
      <c r="H1936" s="16">
        <v>349.59</v>
      </c>
      <c r="I1936" s="7">
        <f t="shared" si="1"/>
        <v>27792.405</v>
      </c>
      <c r="J1936" s="7">
        <f t="shared" si="7"/>
        <v>24086.751</v>
      </c>
      <c r="K1936" s="7">
        <f t="shared" si="3"/>
        <v>24086.751</v>
      </c>
      <c r="L1936" s="7">
        <f t="shared" si="4"/>
        <v>22233.924</v>
      </c>
      <c r="M1936" s="7">
        <f t="shared" si="5"/>
        <v>21307.5105</v>
      </c>
      <c r="N1936" s="7">
        <f t="shared" si="6"/>
        <v>20381.097</v>
      </c>
    </row>
    <row r="1937">
      <c r="A1937" s="5" t="s">
        <v>3549</v>
      </c>
      <c r="B1937" s="6"/>
      <c r="C1937" s="6"/>
      <c r="D1937" s="5" t="s">
        <v>3706</v>
      </c>
      <c r="E1937" s="5" t="s">
        <v>3707</v>
      </c>
      <c r="F1937" s="5" t="s">
        <v>3552</v>
      </c>
      <c r="G1937" s="15">
        <f t="shared" si="8"/>
        <v>417375</v>
      </c>
      <c r="H1937" s="16">
        <v>7875.0</v>
      </c>
      <c r="I1937" s="7">
        <f t="shared" si="1"/>
        <v>626062.5</v>
      </c>
      <c r="J1937" s="7">
        <f t="shared" si="7"/>
        <v>542587.5</v>
      </c>
      <c r="K1937" s="7">
        <f t="shared" si="3"/>
        <v>542587.5</v>
      </c>
      <c r="L1937" s="7">
        <f t="shared" si="4"/>
        <v>500850</v>
      </c>
      <c r="M1937" s="7">
        <f t="shared" si="5"/>
        <v>479981.25</v>
      </c>
      <c r="N1937" s="7">
        <f t="shared" si="6"/>
        <v>459112.5</v>
      </c>
    </row>
    <row r="1938">
      <c r="A1938" s="5" t="s">
        <v>3549</v>
      </c>
      <c r="B1938" s="6"/>
      <c r="C1938" s="6"/>
      <c r="D1938" s="5" t="s">
        <v>3708</v>
      </c>
      <c r="E1938" s="5" t="s">
        <v>3709</v>
      </c>
      <c r="F1938" s="5" t="s">
        <v>3552</v>
      </c>
      <c r="G1938" s="15">
        <f t="shared" si="8"/>
        <v>5601.57</v>
      </c>
      <c r="H1938" s="16">
        <v>105.69</v>
      </c>
      <c r="I1938" s="7">
        <f t="shared" si="1"/>
        <v>8402.355</v>
      </c>
      <c r="J1938" s="7">
        <f t="shared" si="7"/>
        <v>7282.041</v>
      </c>
      <c r="K1938" s="7">
        <f t="shared" si="3"/>
        <v>7282.041</v>
      </c>
      <c r="L1938" s="7">
        <f t="shared" si="4"/>
        <v>6721.884</v>
      </c>
      <c r="M1938" s="7">
        <f t="shared" si="5"/>
        <v>6441.8055</v>
      </c>
      <c r="N1938" s="7">
        <f t="shared" si="6"/>
        <v>6161.727</v>
      </c>
    </row>
    <row r="1939">
      <c r="A1939" s="5" t="s">
        <v>3549</v>
      </c>
      <c r="B1939" s="6"/>
      <c r="C1939" s="6"/>
      <c r="D1939" s="5" t="s">
        <v>3710</v>
      </c>
      <c r="E1939" s="5" t="s">
        <v>3711</v>
      </c>
      <c r="F1939" s="5" t="s">
        <v>3552</v>
      </c>
      <c r="G1939" s="15">
        <f t="shared" si="8"/>
        <v>4134</v>
      </c>
      <c r="H1939" s="16">
        <v>78.0</v>
      </c>
      <c r="I1939" s="7">
        <f t="shared" si="1"/>
        <v>6201</v>
      </c>
      <c r="J1939" s="7">
        <f t="shared" si="7"/>
        <v>5374.2</v>
      </c>
      <c r="K1939" s="7">
        <f t="shared" si="3"/>
        <v>5374.2</v>
      </c>
      <c r="L1939" s="7">
        <f t="shared" si="4"/>
        <v>4960.8</v>
      </c>
      <c r="M1939" s="7">
        <f t="shared" si="5"/>
        <v>4754.1</v>
      </c>
      <c r="N1939" s="7">
        <f t="shared" si="6"/>
        <v>4547.4</v>
      </c>
    </row>
    <row r="1940">
      <c r="A1940" s="5" t="s">
        <v>3549</v>
      </c>
      <c r="B1940" s="6"/>
      <c r="C1940" s="6"/>
      <c r="D1940" s="5" t="s">
        <v>3712</v>
      </c>
      <c r="E1940" s="5" t="s">
        <v>3713</v>
      </c>
      <c r="F1940" s="5" t="s">
        <v>3552</v>
      </c>
      <c r="G1940" s="15">
        <f t="shared" si="8"/>
        <v>36324.61</v>
      </c>
      <c r="H1940" s="16">
        <v>685.37</v>
      </c>
      <c r="I1940" s="7">
        <f t="shared" si="1"/>
        <v>54486.915</v>
      </c>
      <c r="J1940" s="7">
        <f t="shared" si="7"/>
        <v>47221.993</v>
      </c>
      <c r="K1940" s="7">
        <f t="shared" si="3"/>
        <v>47221.993</v>
      </c>
      <c r="L1940" s="7">
        <f t="shared" si="4"/>
        <v>43589.532</v>
      </c>
      <c r="M1940" s="7">
        <f t="shared" si="5"/>
        <v>41773.3015</v>
      </c>
      <c r="N1940" s="7">
        <f t="shared" si="6"/>
        <v>39957.071</v>
      </c>
    </row>
    <row r="1941">
      <c r="A1941" s="5" t="s">
        <v>3549</v>
      </c>
      <c r="B1941" s="5" t="s">
        <v>3714</v>
      </c>
      <c r="C1941" s="6"/>
      <c r="D1941" s="5" t="s">
        <v>3715</v>
      </c>
      <c r="E1941" s="5" t="s">
        <v>3716</v>
      </c>
      <c r="F1941" s="5" t="s">
        <v>3552</v>
      </c>
      <c r="G1941" s="15">
        <f t="shared" si="8"/>
        <v>525.76</v>
      </c>
      <c r="H1941" s="16">
        <v>9.92</v>
      </c>
      <c r="I1941" s="7">
        <f t="shared" si="1"/>
        <v>788.64</v>
      </c>
      <c r="J1941" s="7">
        <f t="shared" si="7"/>
        <v>683.488</v>
      </c>
      <c r="K1941" s="7">
        <f t="shared" si="3"/>
        <v>683.488</v>
      </c>
      <c r="L1941" s="7">
        <f t="shared" si="4"/>
        <v>630.912</v>
      </c>
      <c r="M1941" s="7">
        <f t="shared" si="5"/>
        <v>604.624</v>
      </c>
      <c r="N1941" s="7">
        <f t="shared" si="6"/>
        <v>578.336</v>
      </c>
    </row>
    <row r="1942">
      <c r="A1942" s="5" t="s">
        <v>3549</v>
      </c>
      <c r="B1942" s="5" t="s">
        <v>3714</v>
      </c>
      <c r="C1942" s="6"/>
      <c r="D1942" s="5" t="s">
        <v>3717</v>
      </c>
      <c r="E1942" s="5" t="s">
        <v>3718</v>
      </c>
      <c r="F1942" s="5" t="s">
        <v>3552</v>
      </c>
      <c r="G1942" s="15">
        <f t="shared" si="8"/>
        <v>1861.36</v>
      </c>
      <c r="H1942" s="16">
        <v>35.12</v>
      </c>
      <c r="I1942" s="7">
        <f t="shared" si="1"/>
        <v>2792.04</v>
      </c>
      <c r="J1942" s="7">
        <f t="shared" si="7"/>
        <v>2419.768</v>
      </c>
      <c r="K1942" s="7">
        <f t="shared" si="3"/>
        <v>2419.768</v>
      </c>
      <c r="L1942" s="7">
        <f t="shared" si="4"/>
        <v>2233.632</v>
      </c>
      <c r="M1942" s="7">
        <f t="shared" si="5"/>
        <v>2140.564</v>
      </c>
      <c r="N1942" s="7">
        <f t="shared" si="6"/>
        <v>2047.496</v>
      </c>
    </row>
    <row r="1943">
      <c r="A1943" s="5" t="s">
        <v>3549</v>
      </c>
      <c r="B1943" s="5" t="s">
        <v>3714</v>
      </c>
      <c r="C1943" s="6"/>
      <c r="D1943" s="5" t="s">
        <v>3719</v>
      </c>
      <c r="E1943" s="5" t="s">
        <v>3720</v>
      </c>
      <c r="F1943" s="5" t="s">
        <v>3552</v>
      </c>
      <c r="G1943" s="15">
        <f t="shared" si="8"/>
        <v>284.61</v>
      </c>
      <c r="H1943" s="16">
        <v>5.37</v>
      </c>
      <c r="I1943" s="7">
        <f t="shared" si="1"/>
        <v>426.915</v>
      </c>
      <c r="J1943" s="7">
        <f t="shared" si="7"/>
        <v>369.993</v>
      </c>
      <c r="K1943" s="7">
        <f t="shared" si="3"/>
        <v>369.993</v>
      </c>
      <c r="L1943" s="7">
        <f t="shared" si="4"/>
        <v>341.532</v>
      </c>
      <c r="M1943" s="7">
        <f t="shared" si="5"/>
        <v>327.3015</v>
      </c>
      <c r="N1943" s="7">
        <f t="shared" si="6"/>
        <v>313.071</v>
      </c>
    </row>
    <row r="1944">
      <c r="A1944" s="5" t="s">
        <v>3549</v>
      </c>
      <c r="B1944" s="5" t="s">
        <v>3714</v>
      </c>
      <c r="C1944" s="6"/>
      <c r="D1944" s="5" t="s">
        <v>3721</v>
      </c>
      <c r="E1944" s="5" t="s">
        <v>3722</v>
      </c>
      <c r="F1944" s="5" t="s">
        <v>3552</v>
      </c>
      <c r="G1944" s="15">
        <f t="shared" si="8"/>
        <v>361.99</v>
      </c>
      <c r="H1944" s="16">
        <v>6.83</v>
      </c>
      <c r="I1944" s="7">
        <f t="shared" si="1"/>
        <v>542.985</v>
      </c>
      <c r="J1944" s="7">
        <f t="shared" si="7"/>
        <v>470.587</v>
      </c>
      <c r="K1944" s="7">
        <f t="shared" si="3"/>
        <v>470.587</v>
      </c>
      <c r="L1944" s="7">
        <f t="shared" si="4"/>
        <v>434.388</v>
      </c>
      <c r="M1944" s="7">
        <f t="shared" si="5"/>
        <v>416.2885</v>
      </c>
      <c r="N1944" s="7">
        <f t="shared" si="6"/>
        <v>398.189</v>
      </c>
    </row>
    <row r="1945">
      <c r="A1945" s="5" t="s">
        <v>3549</v>
      </c>
      <c r="B1945" s="5" t="s">
        <v>3714</v>
      </c>
      <c r="C1945" s="6"/>
      <c r="D1945" s="5" t="s">
        <v>3723</v>
      </c>
      <c r="E1945" s="5" t="s">
        <v>3724</v>
      </c>
      <c r="F1945" s="5" t="s">
        <v>3552</v>
      </c>
      <c r="G1945" s="15">
        <f t="shared" si="8"/>
        <v>405.45</v>
      </c>
      <c r="H1945" s="16">
        <v>7.65</v>
      </c>
      <c r="I1945" s="7">
        <f t="shared" si="1"/>
        <v>608.175</v>
      </c>
      <c r="J1945" s="7">
        <f t="shared" si="7"/>
        <v>527.085</v>
      </c>
      <c r="K1945" s="7">
        <f t="shared" si="3"/>
        <v>527.085</v>
      </c>
      <c r="L1945" s="7">
        <f t="shared" si="4"/>
        <v>486.54</v>
      </c>
      <c r="M1945" s="7">
        <f t="shared" si="5"/>
        <v>466.2675</v>
      </c>
      <c r="N1945" s="7">
        <f t="shared" si="6"/>
        <v>445.995</v>
      </c>
    </row>
    <row r="1946">
      <c r="A1946" s="5" t="s">
        <v>3549</v>
      </c>
      <c r="B1946" s="5" t="s">
        <v>3714</v>
      </c>
      <c r="C1946" s="6"/>
      <c r="D1946" s="5" t="s">
        <v>3725</v>
      </c>
      <c r="E1946" s="5" t="s">
        <v>3726</v>
      </c>
      <c r="F1946" s="5" t="s">
        <v>3552</v>
      </c>
      <c r="G1946" s="15">
        <f t="shared" si="8"/>
        <v>525.76</v>
      </c>
      <c r="H1946" s="16">
        <v>9.92</v>
      </c>
      <c r="I1946" s="7">
        <f t="shared" si="1"/>
        <v>788.64</v>
      </c>
      <c r="J1946" s="7">
        <f t="shared" si="7"/>
        <v>683.488</v>
      </c>
      <c r="K1946" s="7">
        <f t="shared" si="3"/>
        <v>683.488</v>
      </c>
      <c r="L1946" s="7">
        <f t="shared" si="4"/>
        <v>630.912</v>
      </c>
      <c r="M1946" s="7">
        <f t="shared" si="5"/>
        <v>604.624</v>
      </c>
      <c r="N1946" s="7">
        <f t="shared" si="6"/>
        <v>578.336</v>
      </c>
    </row>
    <row r="1947">
      <c r="A1947" s="5" t="s">
        <v>3549</v>
      </c>
      <c r="B1947" s="5" t="s">
        <v>3714</v>
      </c>
      <c r="C1947" s="6"/>
      <c r="D1947" s="5" t="s">
        <v>3727</v>
      </c>
      <c r="E1947" s="5" t="s">
        <v>3728</v>
      </c>
      <c r="F1947" s="5" t="s">
        <v>3552</v>
      </c>
      <c r="G1947" s="15">
        <f t="shared" si="8"/>
        <v>384.25</v>
      </c>
      <c r="H1947" s="16">
        <v>7.25</v>
      </c>
      <c r="I1947" s="7">
        <f t="shared" si="1"/>
        <v>576.375</v>
      </c>
      <c r="J1947" s="7">
        <f t="shared" si="7"/>
        <v>499.525</v>
      </c>
      <c r="K1947" s="7">
        <f t="shared" si="3"/>
        <v>499.525</v>
      </c>
      <c r="L1947" s="7">
        <f t="shared" si="4"/>
        <v>461.1</v>
      </c>
      <c r="M1947" s="7">
        <f t="shared" si="5"/>
        <v>441.8875</v>
      </c>
      <c r="N1947" s="7">
        <f t="shared" si="6"/>
        <v>422.675</v>
      </c>
    </row>
    <row r="1948">
      <c r="A1948" s="5" t="s">
        <v>3549</v>
      </c>
      <c r="B1948" s="5" t="s">
        <v>3714</v>
      </c>
      <c r="C1948" s="6"/>
      <c r="D1948" s="5" t="s">
        <v>3729</v>
      </c>
      <c r="E1948" s="5" t="s">
        <v>3730</v>
      </c>
      <c r="F1948" s="5" t="s">
        <v>3552</v>
      </c>
      <c r="G1948" s="15">
        <f t="shared" si="8"/>
        <v>384.25</v>
      </c>
      <c r="H1948" s="16">
        <v>7.25</v>
      </c>
      <c r="I1948" s="7">
        <f t="shared" si="1"/>
        <v>576.375</v>
      </c>
      <c r="J1948" s="7">
        <f t="shared" si="7"/>
        <v>499.525</v>
      </c>
      <c r="K1948" s="7">
        <f t="shared" si="3"/>
        <v>499.525</v>
      </c>
      <c r="L1948" s="7">
        <f t="shared" si="4"/>
        <v>461.1</v>
      </c>
      <c r="M1948" s="7">
        <f t="shared" si="5"/>
        <v>441.8875</v>
      </c>
      <c r="N1948" s="7">
        <f t="shared" si="6"/>
        <v>422.675</v>
      </c>
    </row>
    <row r="1949">
      <c r="A1949" s="5" t="s">
        <v>3549</v>
      </c>
      <c r="B1949" s="5" t="s">
        <v>3714</v>
      </c>
      <c r="C1949" s="6"/>
      <c r="D1949" s="5" t="s">
        <v>3731</v>
      </c>
      <c r="E1949" s="5" t="s">
        <v>3732</v>
      </c>
      <c r="F1949" s="5" t="s">
        <v>3552</v>
      </c>
      <c r="G1949" s="15">
        <f t="shared" si="8"/>
        <v>451.03</v>
      </c>
      <c r="H1949" s="16">
        <v>8.51</v>
      </c>
      <c r="I1949" s="7">
        <f t="shared" si="1"/>
        <v>676.545</v>
      </c>
      <c r="J1949" s="7">
        <f t="shared" si="7"/>
        <v>586.339</v>
      </c>
      <c r="K1949" s="7">
        <f t="shared" si="3"/>
        <v>586.339</v>
      </c>
      <c r="L1949" s="7">
        <f t="shared" si="4"/>
        <v>541.236</v>
      </c>
      <c r="M1949" s="7">
        <f t="shared" si="5"/>
        <v>518.6845</v>
      </c>
      <c r="N1949" s="7">
        <f t="shared" si="6"/>
        <v>496.133</v>
      </c>
    </row>
    <row r="1950">
      <c r="A1950" s="5" t="s">
        <v>3549</v>
      </c>
      <c r="B1950" s="5" t="s">
        <v>3714</v>
      </c>
      <c r="C1950" s="6"/>
      <c r="D1950" s="5" t="s">
        <v>3733</v>
      </c>
      <c r="E1950" s="5" t="s">
        <v>3734</v>
      </c>
      <c r="F1950" s="5" t="s">
        <v>3552</v>
      </c>
      <c r="G1950" s="15">
        <f t="shared" si="8"/>
        <v>517.81</v>
      </c>
      <c r="H1950" s="16">
        <v>9.77</v>
      </c>
      <c r="I1950" s="7">
        <f t="shared" si="1"/>
        <v>776.715</v>
      </c>
      <c r="J1950" s="7">
        <f t="shared" si="7"/>
        <v>673.153</v>
      </c>
      <c r="K1950" s="7">
        <f t="shared" si="3"/>
        <v>673.153</v>
      </c>
      <c r="L1950" s="7">
        <f t="shared" si="4"/>
        <v>621.372</v>
      </c>
      <c r="M1950" s="7">
        <f t="shared" si="5"/>
        <v>595.4815</v>
      </c>
      <c r="N1950" s="7">
        <f t="shared" si="6"/>
        <v>569.591</v>
      </c>
    </row>
    <row r="1951">
      <c r="A1951" s="5" t="s">
        <v>3549</v>
      </c>
      <c r="B1951" s="5" t="s">
        <v>3714</v>
      </c>
      <c r="C1951" s="6"/>
      <c r="D1951" s="5" t="s">
        <v>3735</v>
      </c>
      <c r="E1951" s="5" t="s">
        <v>3736</v>
      </c>
      <c r="F1951" s="5" t="s">
        <v>3552</v>
      </c>
      <c r="G1951" s="15">
        <f t="shared" si="8"/>
        <v>368.35</v>
      </c>
      <c r="H1951" s="16">
        <v>6.95</v>
      </c>
      <c r="I1951" s="7">
        <f t="shared" si="1"/>
        <v>552.525</v>
      </c>
      <c r="J1951" s="7">
        <f t="shared" si="7"/>
        <v>478.855</v>
      </c>
      <c r="K1951" s="7">
        <f t="shared" si="3"/>
        <v>478.855</v>
      </c>
      <c r="L1951" s="7">
        <f t="shared" si="4"/>
        <v>442.02</v>
      </c>
      <c r="M1951" s="7">
        <f t="shared" si="5"/>
        <v>423.6025</v>
      </c>
      <c r="N1951" s="7">
        <f t="shared" si="6"/>
        <v>405.185</v>
      </c>
    </row>
    <row r="1952">
      <c r="A1952" s="5" t="s">
        <v>3549</v>
      </c>
      <c r="B1952" s="5" t="s">
        <v>3714</v>
      </c>
      <c r="C1952" s="6"/>
      <c r="D1952" s="5" t="s">
        <v>3737</v>
      </c>
      <c r="E1952" s="5" t="s">
        <v>3738</v>
      </c>
      <c r="F1952" s="5" t="s">
        <v>3552</v>
      </c>
      <c r="G1952" s="15">
        <f t="shared" si="8"/>
        <v>648.72</v>
      </c>
      <c r="H1952" s="16">
        <v>12.24</v>
      </c>
      <c r="I1952" s="7">
        <f t="shared" si="1"/>
        <v>973.08</v>
      </c>
      <c r="J1952" s="7">
        <f t="shared" si="7"/>
        <v>843.336</v>
      </c>
      <c r="K1952" s="7">
        <f t="shared" si="3"/>
        <v>843.336</v>
      </c>
      <c r="L1952" s="7">
        <f t="shared" si="4"/>
        <v>778.464</v>
      </c>
      <c r="M1952" s="7">
        <f t="shared" si="5"/>
        <v>746.028</v>
      </c>
      <c r="N1952" s="7">
        <f t="shared" si="6"/>
        <v>713.592</v>
      </c>
    </row>
    <row r="1953">
      <c r="A1953" s="5" t="s">
        <v>3549</v>
      </c>
      <c r="B1953" s="5" t="s">
        <v>3714</v>
      </c>
      <c r="C1953" s="6"/>
      <c r="D1953" s="5" t="s">
        <v>3739</v>
      </c>
      <c r="E1953" s="5" t="s">
        <v>3740</v>
      </c>
      <c r="F1953" s="5" t="s">
        <v>3552</v>
      </c>
      <c r="G1953" s="15">
        <f t="shared" si="8"/>
        <v>751.01</v>
      </c>
      <c r="H1953" s="16">
        <v>14.17</v>
      </c>
      <c r="I1953" s="7">
        <f t="shared" si="1"/>
        <v>1126.515</v>
      </c>
      <c r="J1953" s="7">
        <f t="shared" si="7"/>
        <v>976.313</v>
      </c>
      <c r="K1953" s="7">
        <f t="shared" si="3"/>
        <v>976.313</v>
      </c>
      <c r="L1953" s="7">
        <f t="shared" si="4"/>
        <v>901.212</v>
      </c>
      <c r="M1953" s="7">
        <f t="shared" si="5"/>
        <v>863.6615</v>
      </c>
      <c r="N1953" s="7">
        <f t="shared" si="6"/>
        <v>826.111</v>
      </c>
    </row>
    <row r="1954">
      <c r="A1954" s="5" t="s">
        <v>3549</v>
      </c>
      <c r="B1954" s="5" t="s">
        <v>3714</v>
      </c>
      <c r="C1954" s="6"/>
      <c r="D1954" s="5" t="s">
        <v>3741</v>
      </c>
      <c r="E1954" s="5" t="s">
        <v>3736</v>
      </c>
      <c r="F1954" s="5" t="s">
        <v>3552</v>
      </c>
      <c r="G1954" s="15">
        <f t="shared" si="8"/>
        <v>481.77</v>
      </c>
      <c r="H1954" s="16">
        <v>9.09</v>
      </c>
      <c r="I1954" s="7">
        <f t="shared" si="1"/>
        <v>722.655</v>
      </c>
      <c r="J1954" s="7">
        <f t="shared" si="7"/>
        <v>626.301</v>
      </c>
      <c r="K1954" s="7">
        <f t="shared" si="3"/>
        <v>626.301</v>
      </c>
      <c r="L1954" s="7">
        <f t="shared" si="4"/>
        <v>578.124</v>
      </c>
      <c r="M1954" s="7">
        <f t="shared" si="5"/>
        <v>554.0355</v>
      </c>
      <c r="N1954" s="7">
        <f t="shared" si="6"/>
        <v>529.947</v>
      </c>
    </row>
    <row r="1955">
      <c r="A1955" s="5" t="s">
        <v>3549</v>
      </c>
      <c r="B1955" s="5" t="s">
        <v>3714</v>
      </c>
      <c r="C1955" s="6"/>
      <c r="D1955" s="5" t="s">
        <v>3742</v>
      </c>
      <c r="E1955" s="5" t="s">
        <v>3743</v>
      </c>
      <c r="F1955" s="5" t="s">
        <v>3552</v>
      </c>
      <c r="G1955" s="15">
        <f t="shared" si="8"/>
        <v>527.88</v>
      </c>
      <c r="H1955" s="16">
        <v>9.96</v>
      </c>
      <c r="I1955" s="7">
        <f t="shared" si="1"/>
        <v>791.82</v>
      </c>
      <c r="J1955" s="7">
        <f t="shared" si="7"/>
        <v>686.244</v>
      </c>
      <c r="K1955" s="7">
        <f t="shared" si="3"/>
        <v>686.244</v>
      </c>
      <c r="L1955" s="7">
        <f t="shared" si="4"/>
        <v>633.456</v>
      </c>
      <c r="M1955" s="7">
        <f t="shared" si="5"/>
        <v>607.062</v>
      </c>
      <c r="N1955" s="7">
        <f t="shared" si="6"/>
        <v>580.668</v>
      </c>
    </row>
    <row r="1956">
      <c r="A1956" s="5" t="s">
        <v>3549</v>
      </c>
      <c r="B1956" s="5" t="s">
        <v>3744</v>
      </c>
      <c r="C1956" s="6"/>
      <c r="D1956" s="5" t="s">
        <v>3745</v>
      </c>
      <c r="E1956" s="5" t="s">
        <v>3746</v>
      </c>
      <c r="F1956" s="5" t="s">
        <v>3552</v>
      </c>
      <c r="G1956" s="15">
        <f t="shared" si="8"/>
        <v>375.77</v>
      </c>
      <c r="H1956" s="16">
        <v>7.09</v>
      </c>
      <c r="I1956" s="7">
        <f t="shared" si="1"/>
        <v>563.655</v>
      </c>
      <c r="J1956" s="7">
        <f t="shared" si="7"/>
        <v>488.501</v>
      </c>
      <c r="K1956" s="7">
        <f t="shared" si="3"/>
        <v>488.501</v>
      </c>
      <c r="L1956" s="7">
        <f t="shared" si="4"/>
        <v>450.924</v>
      </c>
      <c r="M1956" s="7">
        <f t="shared" si="5"/>
        <v>432.1355</v>
      </c>
      <c r="N1956" s="7">
        <f t="shared" si="6"/>
        <v>413.347</v>
      </c>
    </row>
    <row r="1957">
      <c r="A1957" s="5" t="s">
        <v>3549</v>
      </c>
      <c r="B1957" s="5" t="s">
        <v>3744</v>
      </c>
      <c r="C1957" s="6"/>
      <c r="D1957" s="5" t="s">
        <v>3747</v>
      </c>
      <c r="E1957" s="5" t="s">
        <v>3748</v>
      </c>
      <c r="F1957" s="5" t="s">
        <v>3552</v>
      </c>
      <c r="G1957" s="15">
        <f t="shared" si="8"/>
        <v>525.76</v>
      </c>
      <c r="H1957" s="16">
        <v>9.92</v>
      </c>
      <c r="I1957" s="7">
        <f t="shared" si="1"/>
        <v>788.64</v>
      </c>
      <c r="J1957" s="7">
        <f t="shared" si="7"/>
        <v>683.488</v>
      </c>
      <c r="K1957" s="7">
        <f t="shared" si="3"/>
        <v>683.488</v>
      </c>
      <c r="L1957" s="7">
        <f t="shared" si="4"/>
        <v>630.912</v>
      </c>
      <c r="M1957" s="7">
        <f t="shared" si="5"/>
        <v>604.624</v>
      </c>
      <c r="N1957" s="7">
        <f t="shared" si="6"/>
        <v>578.336</v>
      </c>
    </row>
    <row r="1958">
      <c r="A1958" s="5" t="s">
        <v>3549</v>
      </c>
      <c r="B1958" s="5" t="s">
        <v>3744</v>
      </c>
      <c r="C1958" s="6"/>
      <c r="D1958" s="5" t="s">
        <v>3749</v>
      </c>
      <c r="E1958" s="5" t="s">
        <v>3750</v>
      </c>
      <c r="F1958" s="5" t="s">
        <v>3552</v>
      </c>
      <c r="G1958" s="15">
        <f t="shared" si="8"/>
        <v>788.64</v>
      </c>
      <c r="H1958" s="16">
        <v>14.88</v>
      </c>
      <c r="I1958" s="7">
        <f t="shared" si="1"/>
        <v>1182.96</v>
      </c>
      <c r="J1958" s="7">
        <f t="shared" si="7"/>
        <v>1025.232</v>
      </c>
      <c r="K1958" s="7">
        <f t="shared" si="3"/>
        <v>1025.232</v>
      </c>
      <c r="L1958" s="7">
        <f t="shared" si="4"/>
        <v>946.368</v>
      </c>
      <c r="M1958" s="7">
        <f t="shared" si="5"/>
        <v>906.936</v>
      </c>
      <c r="N1958" s="7">
        <f t="shared" si="6"/>
        <v>867.504</v>
      </c>
    </row>
    <row r="1959">
      <c r="A1959" s="5" t="s">
        <v>3549</v>
      </c>
      <c r="B1959" s="5" t="s">
        <v>3744</v>
      </c>
      <c r="C1959" s="6"/>
      <c r="D1959" s="5" t="s">
        <v>3751</v>
      </c>
      <c r="E1959" s="5" t="s">
        <v>3752</v>
      </c>
      <c r="F1959" s="5" t="s">
        <v>3552</v>
      </c>
      <c r="G1959" s="15">
        <f t="shared" si="8"/>
        <v>826.27</v>
      </c>
      <c r="H1959" s="16">
        <v>15.59</v>
      </c>
      <c r="I1959" s="7">
        <f t="shared" si="1"/>
        <v>1239.405</v>
      </c>
      <c r="J1959" s="7">
        <f t="shared" si="7"/>
        <v>1074.151</v>
      </c>
      <c r="K1959" s="7">
        <f t="shared" si="3"/>
        <v>1074.151</v>
      </c>
      <c r="L1959" s="7">
        <f t="shared" si="4"/>
        <v>991.524</v>
      </c>
      <c r="M1959" s="7">
        <f t="shared" si="5"/>
        <v>950.2105</v>
      </c>
      <c r="N1959" s="7">
        <f t="shared" si="6"/>
        <v>908.897</v>
      </c>
    </row>
    <row r="1960">
      <c r="A1960" s="5" t="s">
        <v>3549</v>
      </c>
      <c r="B1960" s="5" t="s">
        <v>3744</v>
      </c>
      <c r="C1960" s="6"/>
      <c r="D1960" s="5" t="s">
        <v>3753</v>
      </c>
      <c r="E1960" s="5" t="s">
        <v>3754</v>
      </c>
      <c r="F1960" s="5" t="s">
        <v>3552</v>
      </c>
      <c r="G1960" s="15">
        <f t="shared" si="8"/>
        <v>863.9</v>
      </c>
      <c r="H1960" s="16">
        <v>16.3</v>
      </c>
      <c r="I1960" s="7">
        <f t="shared" si="1"/>
        <v>1295.85</v>
      </c>
      <c r="J1960" s="7">
        <f t="shared" si="7"/>
        <v>1123.07</v>
      </c>
      <c r="K1960" s="7">
        <f t="shared" si="3"/>
        <v>1123.07</v>
      </c>
      <c r="L1960" s="7">
        <f t="shared" si="4"/>
        <v>1036.68</v>
      </c>
      <c r="M1960" s="7">
        <f t="shared" si="5"/>
        <v>993.485</v>
      </c>
      <c r="N1960" s="7">
        <f t="shared" si="6"/>
        <v>950.29</v>
      </c>
    </row>
    <row r="1961">
      <c r="A1961" s="5" t="s">
        <v>3549</v>
      </c>
      <c r="B1961" s="5" t="s">
        <v>3744</v>
      </c>
      <c r="C1961" s="6"/>
      <c r="D1961" s="5" t="s">
        <v>3755</v>
      </c>
      <c r="E1961" s="5" t="s">
        <v>3756</v>
      </c>
      <c r="F1961" s="5" t="s">
        <v>3552</v>
      </c>
      <c r="G1961" s="15">
        <f t="shared" si="8"/>
        <v>716.56</v>
      </c>
      <c r="H1961" s="16">
        <v>13.52</v>
      </c>
      <c r="I1961" s="7">
        <f t="shared" si="1"/>
        <v>1074.84</v>
      </c>
      <c r="J1961" s="7">
        <f t="shared" si="7"/>
        <v>931.528</v>
      </c>
      <c r="K1961" s="7">
        <f t="shared" si="3"/>
        <v>931.528</v>
      </c>
      <c r="L1961" s="7">
        <f t="shared" si="4"/>
        <v>859.872</v>
      </c>
      <c r="M1961" s="7">
        <f t="shared" si="5"/>
        <v>824.044</v>
      </c>
      <c r="N1961" s="7">
        <f t="shared" si="6"/>
        <v>788.216</v>
      </c>
    </row>
    <row r="1962">
      <c r="A1962" s="5" t="s">
        <v>3549</v>
      </c>
      <c r="B1962" s="5" t="s">
        <v>3744</v>
      </c>
      <c r="C1962" s="6"/>
      <c r="D1962" s="5" t="s">
        <v>3757</v>
      </c>
      <c r="E1962" s="5" t="s">
        <v>3758</v>
      </c>
      <c r="F1962" s="5" t="s">
        <v>3552</v>
      </c>
      <c r="G1962" s="15">
        <f t="shared" si="8"/>
        <v>758.43</v>
      </c>
      <c r="H1962" s="16">
        <v>14.31</v>
      </c>
      <c r="I1962" s="7">
        <f t="shared" si="1"/>
        <v>1137.645</v>
      </c>
      <c r="J1962" s="7">
        <f t="shared" si="7"/>
        <v>985.959</v>
      </c>
      <c r="K1962" s="7">
        <f t="shared" si="3"/>
        <v>985.959</v>
      </c>
      <c r="L1962" s="7">
        <f t="shared" si="4"/>
        <v>910.116</v>
      </c>
      <c r="M1962" s="7">
        <f t="shared" si="5"/>
        <v>872.1945</v>
      </c>
      <c r="N1962" s="7">
        <f t="shared" si="6"/>
        <v>834.273</v>
      </c>
    </row>
    <row r="1963">
      <c r="A1963" s="5" t="s">
        <v>3549</v>
      </c>
      <c r="B1963" s="5" t="s">
        <v>3759</v>
      </c>
      <c r="C1963" s="6"/>
      <c r="D1963" s="5" t="s">
        <v>3760</v>
      </c>
      <c r="E1963" s="5" t="s">
        <v>3761</v>
      </c>
      <c r="F1963" s="5" t="s">
        <v>3552</v>
      </c>
      <c r="G1963" s="15">
        <f t="shared" si="8"/>
        <v>1126.78</v>
      </c>
      <c r="H1963" s="16">
        <v>21.26</v>
      </c>
      <c r="I1963" s="7">
        <f t="shared" si="1"/>
        <v>1690.17</v>
      </c>
      <c r="J1963" s="7">
        <f t="shared" si="7"/>
        <v>1464.814</v>
      </c>
      <c r="K1963" s="7">
        <f t="shared" si="3"/>
        <v>1464.814</v>
      </c>
      <c r="L1963" s="7">
        <f t="shared" si="4"/>
        <v>1352.136</v>
      </c>
      <c r="M1963" s="7">
        <f t="shared" si="5"/>
        <v>1295.797</v>
      </c>
      <c r="N1963" s="7">
        <f t="shared" si="6"/>
        <v>1239.458</v>
      </c>
    </row>
    <row r="1964">
      <c r="A1964" s="5" t="s">
        <v>3549</v>
      </c>
      <c r="B1964" s="5" t="s">
        <v>3759</v>
      </c>
      <c r="C1964" s="6"/>
      <c r="D1964" s="5" t="s">
        <v>3762</v>
      </c>
      <c r="E1964" s="5" t="s">
        <v>3763</v>
      </c>
      <c r="F1964" s="5" t="s">
        <v>3552</v>
      </c>
      <c r="G1964" s="15">
        <f t="shared" si="8"/>
        <v>1202.04</v>
      </c>
      <c r="H1964" s="16">
        <v>22.68</v>
      </c>
      <c r="I1964" s="7">
        <f t="shared" si="1"/>
        <v>1803.06</v>
      </c>
      <c r="J1964" s="7">
        <f t="shared" si="7"/>
        <v>1562.652</v>
      </c>
      <c r="K1964" s="7">
        <f t="shared" si="3"/>
        <v>1562.652</v>
      </c>
      <c r="L1964" s="7">
        <f t="shared" si="4"/>
        <v>1442.448</v>
      </c>
      <c r="M1964" s="7">
        <f t="shared" si="5"/>
        <v>1382.346</v>
      </c>
      <c r="N1964" s="7">
        <f t="shared" si="6"/>
        <v>1322.244</v>
      </c>
    </row>
    <row r="1965">
      <c r="A1965" s="5" t="s">
        <v>3549</v>
      </c>
      <c r="B1965" s="5" t="s">
        <v>3759</v>
      </c>
      <c r="C1965" s="6"/>
      <c r="D1965" s="5" t="s">
        <v>3764</v>
      </c>
      <c r="E1965" s="5" t="s">
        <v>3765</v>
      </c>
      <c r="F1965" s="5" t="s">
        <v>3552</v>
      </c>
      <c r="G1965" s="15">
        <f t="shared" si="8"/>
        <v>1376.94</v>
      </c>
      <c r="H1965" s="16">
        <v>25.98</v>
      </c>
      <c r="I1965" s="7">
        <f t="shared" si="1"/>
        <v>2065.41</v>
      </c>
      <c r="J1965" s="7">
        <f t="shared" si="7"/>
        <v>1790.022</v>
      </c>
      <c r="K1965" s="7">
        <f t="shared" si="3"/>
        <v>1790.022</v>
      </c>
      <c r="L1965" s="7">
        <f t="shared" si="4"/>
        <v>1652.328</v>
      </c>
      <c r="M1965" s="7">
        <f t="shared" si="5"/>
        <v>1583.481</v>
      </c>
      <c r="N1965" s="7">
        <f t="shared" si="6"/>
        <v>1514.634</v>
      </c>
    </row>
    <row r="1966">
      <c r="A1966" s="5" t="s">
        <v>3549</v>
      </c>
      <c r="B1966" s="5" t="s">
        <v>3766</v>
      </c>
      <c r="C1966" s="6"/>
      <c r="D1966" s="5" t="s">
        <v>3767</v>
      </c>
      <c r="E1966" s="5" t="s">
        <v>3768</v>
      </c>
      <c r="F1966" s="5" t="s">
        <v>3552</v>
      </c>
      <c r="G1966" s="15">
        <f t="shared" si="8"/>
        <v>2003.4</v>
      </c>
      <c r="H1966" s="16">
        <v>37.8</v>
      </c>
      <c r="I1966" s="7">
        <f t="shared" si="1"/>
        <v>3005.1</v>
      </c>
      <c r="J1966" s="7">
        <f t="shared" si="7"/>
        <v>2604.42</v>
      </c>
      <c r="K1966" s="7">
        <f t="shared" si="3"/>
        <v>2604.42</v>
      </c>
      <c r="L1966" s="7">
        <f t="shared" si="4"/>
        <v>2404.08</v>
      </c>
      <c r="M1966" s="7">
        <f t="shared" si="5"/>
        <v>2303.91</v>
      </c>
      <c r="N1966" s="7">
        <f t="shared" si="6"/>
        <v>2203.74</v>
      </c>
    </row>
    <row r="1967">
      <c r="A1967" s="5" t="s">
        <v>3549</v>
      </c>
      <c r="B1967" s="5" t="s">
        <v>3766</v>
      </c>
      <c r="C1967" s="6"/>
      <c r="D1967" s="5" t="s">
        <v>3769</v>
      </c>
      <c r="E1967" s="5" t="s">
        <v>3770</v>
      </c>
      <c r="F1967" s="5" t="s">
        <v>3552</v>
      </c>
      <c r="G1967" s="15">
        <f t="shared" si="8"/>
        <v>2503.72</v>
      </c>
      <c r="H1967" s="16">
        <v>47.24</v>
      </c>
      <c r="I1967" s="7">
        <f t="shared" si="1"/>
        <v>3755.58</v>
      </c>
      <c r="J1967" s="7">
        <f t="shared" si="7"/>
        <v>3254.836</v>
      </c>
      <c r="K1967" s="7">
        <f t="shared" si="3"/>
        <v>3254.836</v>
      </c>
      <c r="L1967" s="7">
        <f t="shared" si="4"/>
        <v>3004.464</v>
      </c>
      <c r="M1967" s="7">
        <f t="shared" si="5"/>
        <v>2879.278</v>
      </c>
      <c r="N1967" s="7">
        <f t="shared" si="6"/>
        <v>2754.092</v>
      </c>
    </row>
    <row r="1968">
      <c r="A1968" s="5" t="s">
        <v>3549</v>
      </c>
      <c r="B1968" s="5" t="s">
        <v>3766</v>
      </c>
      <c r="C1968" s="6"/>
      <c r="D1968" s="5" t="s">
        <v>3771</v>
      </c>
      <c r="E1968" s="5" t="s">
        <v>3772</v>
      </c>
      <c r="F1968" s="5" t="s">
        <v>3552</v>
      </c>
      <c r="G1968" s="15">
        <f t="shared" si="8"/>
        <v>2003.4</v>
      </c>
      <c r="H1968" s="16">
        <v>37.8</v>
      </c>
      <c r="I1968" s="7">
        <f t="shared" si="1"/>
        <v>3005.1</v>
      </c>
      <c r="J1968" s="7">
        <f t="shared" si="7"/>
        <v>2604.42</v>
      </c>
      <c r="K1968" s="7">
        <f t="shared" si="3"/>
        <v>2604.42</v>
      </c>
      <c r="L1968" s="7">
        <f t="shared" si="4"/>
        <v>2404.08</v>
      </c>
      <c r="M1968" s="7">
        <f t="shared" si="5"/>
        <v>2303.91</v>
      </c>
      <c r="N1968" s="7">
        <f t="shared" si="6"/>
        <v>2203.74</v>
      </c>
    </row>
    <row r="1969">
      <c r="A1969" s="5" t="s">
        <v>3549</v>
      </c>
      <c r="B1969" s="5" t="s">
        <v>3773</v>
      </c>
      <c r="C1969" s="6"/>
      <c r="D1969" s="5" t="s">
        <v>3774</v>
      </c>
      <c r="E1969" s="5" t="s">
        <v>3775</v>
      </c>
      <c r="F1969" s="5" t="s">
        <v>3552</v>
      </c>
      <c r="G1969" s="15">
        <f t="shared" si="8"/>
        <v>4043.9</v>
      </c>
      <c r="H1969" s="16">
        <v>76.3</v>
      </c>
      <c r="I1969" s="7">
        <f t="shared" si="1"/>
        <v>6065.85</v>
      </c>
      <c r="J1969" s="7">
        <f t="shared" si="7"/>
        <v>5257.07</v>
      </c>
      <c r="K1969" s="7">
        <f t="shared" si="3"/>
        <v>5257.07</v>
      </c>
      <c r="L1969" s="7">
        <f t="shared" si="4"/>
        <v>4852.68</v>
      </c>
      <c r="M1969" s="7">
        <f t="shared" si="5"/>
        <v>4650.485</v>
      </c>
      <c r="N1969" s="7">
        <f t="shared" si="6"/>
        <v>4448.29</v>
      </c>
    </row>
    <row r="1970">
      <c r="A1970" s="5" t="s">
        <v>3549</v>
      </c>
      <c r="B1970" s="5" t="s">
        <v>3773</v>
      </c>
      <c r="C1970" s="6"/>
      <c r="D1970" s="5" t="s">
        <v>3776</v>
      </c>
      <c r="E1970" s="5" t="s">
        <v>3777</v>
      </c>
      <c r="F1970" s="5" t="s">
        <v>3552</v>
      </c>
      <c r="G1970" s="15">
        <f t="shared" si="8"/>
        <v>4674.07</v>
      </c>
      <c r="H1970" s="16">
        <v>88.19</v>
      </c>
      <c r="I1970" s="7">
        <f t="shared" si="1"/>
        <v>7011.105</v>
      </c>
      <c r="J1970" s="7">
        <f t="shared" si="7"/>
        <v>6076.291</v>
      </c>
      <c r="K1970" s="7">
        <f t="shared" si="3"/>
        <v>6076.291</v>
      </c>
      <c r="L1970" s="7">
        <f t="shared" si="4"/>
        <v>5608.884</v>
      </c>
      <c r="M1970" s="7">
        <f t="shared" si="5"/>
        <v>5375.1805</v>
      </c>
      <c r="N1970" s="7">
        <f t="shared" si="6"/>
        <v>5141.477</v>
      </c>
    </row>
    <row r="1971">
      <c r="A1971" s="5" t="s">
        <v>3549</v>
      </c>
      <c r="B1971" s="5" t="s">
        <v>3778</v>
      </c>
      <c r="C1971" s="6"/>
      <c r="D1971" s="5" t="s">
        <v>3779</v>
      </c>
      <c r="E1971" s="5" t="s">
        <v>3780</v>
      </c>
      <c r="F1971" s="5" t="s">
        <v>3552</v>
      </c>
      <c r="G1971" s="15">
        <f t="shared" si="8"/>
        <v>12018.81</v>
      </c>
      <c r="H1971" s="16">
        <v>226.77</v>
      </c>
      <c r="I1971" s="7">
        <f t="shared" si="1"/>
        <v>18028.215</v>
      </c>
      <c r="J1971" s="7">
        <f t="shared" si="7"/>
        <v>15624.453</v>
      </c>
      <c r="K1971" s="7">
        <f t="shared" si="3"/>
        <v>15624.453</v>
      </c>
      <c r="L1971" s="7">
        <f t="shared" si="4"/>
        <v>14422.572</v>
      </c>
      <c r="M1971" s="7">
        <f t="shared" si="5"/>
        <v>13821.6315</v>
      </c>
      <c r="N1971" s="7">
        <f t="shared" si="6"/>
        <v>13220.691</v>
      </c>
    </row>
    <row r="1972">
      <c r="A1972" s="5" t="s">
        <v>3549</v>
      </c>
      <c r="B1972" s="5" t="s">
        <v>3778</v>
      </c>
      <c r="C1972" s="6"/>
      <c r="D1972" s="5" t="s">
        <v>3781</v>
      </c>
      <c r="E1972" s="5" t="s">
        <v>3782</v>
      </c>
      <c r="F1972" s="5" t="s">
        <v>3552</v>
      </c>
      <c r="G1972" s="15">
        <f t="shared" si="8"/>
        <v>7887.46</v>
      </c>
      <c r="H1972" s="16">
        <v>148.82</v>
      </c>
      <c r="I1972" s="7">
        <f t="shared" si="1"/>
        <v>11831.19</v>
      </c>
      <c r="J1972" s="7">
        <f t="shared" si="7"/>
        <v>10253.698</v>
      </c>
      <c r="K1972" s="7">
        <f t="shared" si="3"/>
        <v>10253.698</v>
      </c>
      <c r="L1972" s="7">
        <f t="shared" si="4"/>
        <v>9464.952</v>
      </c>
      <c r="M1972" s="7">
        <f t="shared" si="5"/>
        <v>9070.579</v>
      </c>
      <c r="N1972" s="7">
        <f t="shared" si="6"/>
        <v>8676.206</v>
      </c>
    </row>
  </sheetData>
  <autoFilter ref="$A$2:$N$1972"/>
  <mergeCells count="4">
    <mergeCell ref="A1:H1"/>
    <mergeCell ref="I1:J1"/>
    <mergeCell ref="K1:L1"/>
    <mergeCell ref="M1:N1"/>
  </mergeCells>
  <drawing r:id="rId1"/>
</worksheet>
</file>