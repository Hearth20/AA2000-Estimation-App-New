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Sheet1!$A$2:$M$25</definedName>
  </definedNames>
  <calcPr/>
</workbook>
</file>

<file path=xl/sharedStrings.xml><?xml version="1.0" encoding="utf-8"?>
<sst xmlns="http://schemas.openxmlformats.org/spreadsheetml/2006/main" count="132" uniqueCount="72">
  <si>
    <t>PRODUCT INFORMATION</t>
  </si>
  <si>
    <t>SRP (End-User)</t>
  </si>
  <si>
    <t>DEALER's PRICE</t>
  </si>
  <si>
    <t>CONTRACTOR's PRICE</t>
  </si>
  <si>
    <t>CATEGORY</t>
  </si>
  <si>
    <t>BRAND</t>
  </si>
  <si>
    <t>TYPE</t>
  </si>
  <si>
    <t>MODEL</t>
  </si>
  <si>
    <t>ITEM DESCRIPTION</t>
  </si>
  <si>
    <t>OTHER DESCRIPTION</t>
  </si>
  <si>
    <t>UPDATED PRICE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</si>
  <si>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</si>
  <si>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</si>
  <si>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</si>
  <si>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</si>
  <si>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</si>
  <si>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</si>
  <si>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EAS SYSTEM</t>
  </si>
  <si>
    <t>ZKTECO</t>
  </si>
  <si>
    <t>RF Detector</t>
  </si>
  <si>
    <t>EAS-506</t>
  </si>
  <si>
    <r>
      <rPr>
        <rFont val="Arial"/>
        <color rgb="FFFF0000"/>
        <sz val="10.0"/>
      </rPr>
      <t>Technology: RF</t>
    </r>
    <r>
      <rPr>
        <rFont val="Arial"/>
        <color rgb="FF000000"/>
        <sz val="10.0"/>
      </rPr>
      <t xml:space="preserve">
Operating Voltage:AC(50~60hz)110~220V
Rated Power:≤15W
</t>
    </r>
    <r>
      <rPr>
        <rFont val="Arial"/>
        <color rgb="FFFF0000"/>
        <sz val="10.0"/>
      </rPr>
      <t>Center Frequncy:8.2Mhz</t>
    </r>
    <r>
      <rPr>
        <rFont val="Arial"/>
        <color rgb="FF000000"/>
        <sz val="10.0"/>
      </rPr>
      <t xml:space="preserve">
Working Mode:TX+RX
Detection range:0.9-2M(Depend on tag)
Main Material:Aluminem Alloy
Appearance Size:1580*380*30mm
Packing Size:1630*440*210mm
Packing Unit:2pcs/ctn
Packing G.W.:15kgs/ctn</t>
    </r>
  </si>
  <si>
    <t>EAS-510</t>
  </si>
  <si>
    <r>
      <rPr>
        <rFont val="Arial"/>
        <color rgb="FFFF0000"/>
        <sz val="10.0"/>
      </rPr>
      <t>Technology: RF</t>
    </r>
    <r>
      <rPr>
        <rFont val="Arial"/>
        <color rgb="FF000000"/>
        <sz val="10.0"/>
      </rPr>
      <t xml:space="preserve">
Operating Voltage:AC(50~60hz)110~220V
Rated Power:≤15W
</t>
    </r>
    <r>
      <rPr>
        <rFont val="Arial"/>
        <color rgb="FFFF0000"/>
        <sz val="10.0"/>
      </rPr>
      <t>Center Frequncy:8.2Mhz</t>
    </r>
    <r>
      <rPr>
        <rFont val="Arial"/>
        <color rgb="FF000000"/>
        <sz val="10.0"/>
      </rPr>
      <t xml:space="preserve">
Working Mode:TX+RX
Detection range:0.9-2.4M(Depend on tag)
</t>
    </r>
    <r>
      <rPr>
        <rFont val="Arial"/>
        <color rgb="FFFF0000"/>
        <sz val="10.0"/>
      </rPr>
      <t>Main Material:Aluminem Alloy</t>
    </r>
    <r>
      <rPr>
        <rFont val="Arial"/>
        <color rgb="FF000000"/>
        <sz val="10.0"/>
      </rPr>
      <t xml:space="preserve">
Appearance Size:1520*440*40mm
Packing Size:1630*520*190mm
Packing Unit:2pcs/ctn
Packing G.W.:15kgs/ctn</t>
    </r>
  </si>
  <si>
    <t>AM Detector</t>
  </si>
  <si>
    <t>EAS-AMT10
(Master+Vice)</t>
  </si>
  <si>
    <r>
      <rPr>
        <rFont val="Arial"/>
        <color rgb="FFFF0000"/>
        <sz val="10.0"/>
      </rPr>
      <t>Technology: AM</t>
    </r>
    <r>
      <rPr>
        <rFont val="Arial"/>
        <color rgb="FF00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00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ABS</t>
    </r>
    <r>
      <rPr>
        <rFont val="Arial"/>
        <color rgb="FF000000"/>
        <sz val="10.0"/>
      </rPr>
      <t xml:space="preserve">
Dimension :1560*500*14mm
Package Dimension:1630*600*240mm
package :2pcs/ctn
Package Weight : 22kg</t>
    </r>
  </si>
  <si>
    <t>EAS-AMT10
(Master)</t>
  </si>
  <si>
    <r>
      <rPr>
        <rFont val="Arial"/>
        <color rgb="FFFF0000"/>
        <sz val="10.0"/>
      </rPr>
      <t>Technology: AM</t>
    </r>
    <r>
      <rPr>
        <rFont val="Arial"/>
        <color rgb="FF00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00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ABS</t>
    </r>
    <r>
      <rPr>
        <rFont val="Arial"/>
        <color rgb="FF000000"/>
        <sz val="10.0"/>
      </rPr>
      <t xml:space="preserve">
Dimension :1560*500*14mm
Package Dimension:1630*600*240mm
package :2pcs/ctn
Package Weight : 22kg</t>
    </r>
  </si>
  <si>
    <t>EAS-AMT10
(Vice)</t>
  </si>
  <si>
    <r>
      <rPr>
        <rFont val="Arial"/>
        <color rgb="FFFF0000"/>
        <sz val="10.0"/>
      </rPr>
      <t>Technology: AM</t>
    </r>
    <r>
      <rPr>
        <rFont val="Arial"/>
        <color rgb="FF00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00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ABS</t>
    </r>
    <r>
      <rPr>
        <rFont val="Arial"/>
        <color rgb="FF000000"/>
        <sz val="10.0"/>
      </rPr>
      <t xml:space="preserve">
Dimension :1560*500*14mm
Package Dimension:1630*600*240mm
package :2pcs/ctn
Package Weight : 22kg</t>
    </r>
  </si>
  <si>
    <t>EAS-AMT10A
(Master)</t>
  </si>
  <si>
    <r>
      <rPr>
        <rFont val="Arial"/>
        <color rgb="FFFF0000"/>
        <sz val="10.0"/>
      </rPr>
      <t>Technology : AM</t>
    </r>
    <r>
      <rPr>
        <rFont val="Arial"/>
        <color rgb="FFFF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FF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Acrylic</t>
    </r>
    <r>
      <rPr>
        <rFont val="Arial"/>
        <color rgb="FFFF0000"/>
        <sz val="10.0"/>
      </rPr>
      <t xml:space="preserve">
Dimension :1550x390x20mm
Package Dimension :1610*450*170mm
package :1pcs/ctn
Package Weight : 22kg/ctn</t>
    </r>
  </si>
  <si>
    <t>EAS-AMT10A
(Vice)</t>
  </si>
  <si>
    <r>
      <rPr>
        <rFont val="Arial"/>
        <color rgb="FFFF0000"/>
        <sz val="10.0"/>
      </rPr>
      <t>Technology : AM</t>
    </r>
    <r>
      <rPr>
        <rFont val="Arial"/>
        <color rgb="FFFF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FF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Acrylic</t>
    </r>
    <r>
      <rPr>
        <rFont val="Arial"/>
        <color rgb="FFFF0000"/>
        <sz val="10.0"/>
      </rPr>
      <t xml:space="preserve">
Dimension :1550x390x20mm
Package Dimension :1610*450*170mm
package :1pcs/ctn
Package Weight : 22kg/ctn</t>
    </r>
  </si>
  <si>
    <t>RF Deactivator</t>
  </si>
  <si>
    <t>EAS-769B</t>
  </si>
  <si>
    <r>
      <rPr>
        <rFont val="Arial"/>
        <color theme="1"/>
        <sz val="10.0"/>
      </rPr>
      <t>Color:Black
Operating Voltage</t>
    </r>
    <r>
      <rPr>
        <rFont val="Arial"/>
        <color theme="1"/>
        <sz val="10.0"/>
      </rPr>
      <t>：</t>
    </r>
    <r>
      <rPr>
        <rFont val="Arial"/>
        <color theme="1"/>
        <sz val="10.0"/>
      </rPr>
      <t xml:space="preserve">AC(50~60hz)110~220V
Material:ABS plastic+PCB board
</t>
    </r>
    <r>
      <rPr>
        <rFont val="Arial"/>
        <color rgb="FFFF0000"/>
        <sz val="10.0"/>
      </rPr>
      <t>Type: RF Deactivator</t>
    </r>
    <r>
      <rPr>
        <rFont val="Arial"/>
        <color theme="1"/>
        <sz val="10.0"/>
      </rPr>
      <t xml:space="preserve">
PAD Dimension:24.5X23.5CM
Hole Dimension:21.5x20.5CM
Packing :1pcs/box</t>
    </r>
    <r>
      <rPr>
        <rFont val="Arial"/>
        <color theme="1"/>
        <sz val="10.0"/>
      </rPr>
      <t>，</t>
    </r>
    <r>
      <rPr>
        <rFont val="Arial"/>
        <color theme="1"/>
        <sz val="10.0"/>
      </rPr>
      <t>10pcs/ctn
Ctn Size:59X40X17CM
G.W:9.5kgs/ctn
Decoding height:5~20cm</t>
    </r>
  </si>
  <si>
    <t>AM Deactivator</t>
  </si>
  <si>
    <t>EAS-D886</t>
  </si>
  <si>
    <r>
      <rPr>
        <rFont val="Arial"/>
        <color theme="1"/>
        <sz val="10.0"/>
      </rPr>
      <t>Color:Grey
Operating Voltage</t>
    </r>
    <r>
      <rPr>
        <rFont val="Arial"/>
        <color theme="1"/>
        <sz val="10.0"/>
      </rPr>
      <t>：</t>
    </r>
    <r>
      <rPr>
        <rFont val="Arial"/>
        <color theme="1"/>
        <sz val="10.0"/>
      </rPr>
      <t xml:space="preserve">AC(50~60hz)110~220V
Material:ABS plastic+PCB board
</t>
    </r>
    <r>
      <rPr>
        <rFont val="Arial"/>
        <color rgb="FFFF0000"/>
        <sz val="10.0"/>
      </rPr>
      <t>Type: AM Deactivator</t>
    </r>
    <r>
      <rPr>
        <rFont val="Arial"/>
        <color theme="1"/>
        <sz val="10.0"/>
      </rPr>
      <t xml:space="preserve">
PAD Dimension:23X19.4 CM
Hole Dimension:21x17CM
Packing :1pcs/box</t>
    </r>
    <r>
      <rPr>
        <rFont val="Arial"/>
        <color theme="1"/>
        <sz val="10.0"/>
      </rPr>
      <t>，</t>
    </r>
    <r>
      <rPr>
        <rFont val="Arial"/>
        <color theme="1"/>
        <sz val="10.0"/>
      </rPr>
      <t>5pcs/ctn
Ctn Size:74.5X34.5X21.5CM
G.W:10.5kgs/ctn
Decoding height:7~12cm</t>
    </r>
  </si>
  <si>
    <t>Magnetic Detacher</t>
  </si>
  <si>
    <t>EAS-D01</t>
  </si>
  <si>
    <r>
      <rPr>
        <rFont val="Arial"/>
        <color theme="1"/>
        <sz val="10.0"/>
      </rPr>
      <t>Surface</t>
    </r>
    <r>
      <rPr>
        <rFont val="Arial"/>
        <color theme="1"/>
        <sz val="10.0"/>
      </rPr>
      <t>：</t>
    </r>
    <r>
      <rPr>
        <rFont val="Arial"/>
        <color theme="1"/>
        <sz val="10.0"/>
      </rPr>
      <t xml:space="preserve">Galvanization
Dimension:Ø70.7*23MM
</t>
    </r>
    <r>
      <rPr>
        <rFont val="Arial"/>
        <color rgb="FFFF0000"/>
        <sz val="10.0"/>
      </rPr>
      <t>Magnetic :≥4500GS</t>
    </r>
    <r>
      <rPr>
        <rFont val="Arial"/>
        <color theme="1"/>
        <sz val="10.0"/>
      </rPr>
      <t xml:space="preserve">
Packing :100pcs/ctn
Ctn Size:42*17*37cm
G.W:18.1KGS/CTN</t>
    </r>
  </si>
  <si>
    <t>EAS-D10N</t>
  </si>
  <si>
    <r>
      <rPr>
        <rFont val="Arial"/>
        <color theme="1"/>
        <sz val="10.0"/>
      </rPr>
      <t>Surface treatment</t>
    </r>
    <r>
      <rPr>
        <rFont val="Arial"/>
        <color theme="1"/>
        <sz val="10.0"/>
      </rPr>
      <t>：</t>
    </r>
    <r>
      <rPr>
        <rFont val="Arial"/>
        <color theme="1"/>
        <sz val="10.0"/>
      </rPr>
      <t xml:space="preserve">Oxidation
Dimension:Ø74*37MM
</t>
    </r>
    <r>
      <rPr>
        <rFont val="Arial"/>
        <color rgb="FFFF0000"/>
        <sz val="10.0"/>
      </rPr>
      <t>Magnetic:≥10000GS</t>
    </r>
    <r>
      <rPr>
        <rFont val="Arial"/>
        <color theme="1"/>
        <sz val="10.0"/>
      </rPr>
      <t xml:space="preserve">
Packing :50pcs/ctn
Ctn Size:40*17.5*30cm
G.W:22.2KGS</t>
    </r>
  </si>
  <si>
    <t>RF Soft Tag</t>
  </si>
  <si>
    <t>EAS-L404</t>
  </si>
  <si>
    <r>
      <rPr>
        <rFont val="Arial"/>
        <color theme="1"/>
        <sz val="10.0"/>
      </rPr>
      <t>RF Soft Tag</t>
    </r>
    <r>
      <rPr>
        <rFont val="Arial"/>
        <color rgb="FFFF0000"/>
        <sz val="10.0"/>
      </rPr>
      <t xml:space="preserve">
Frequency</t>
    </r>
    <r>
      <rPr>
        <rFont val="Arial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Material:Paper+Glue+Aluminum foil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Dimension:40X40MM
Packing :1000pcs/roll,20rolls/ctn
Ctn Size:47X32.5X17.5CM
G.W:12.2kgs/ctn
</t>
    </r>
    <r>
      <rPr>
        <rFont val="Arial"/>
        <color rgb="FFFF0000"/>
        <sz val="10.0"/>
      </rPr>
      <t>MOQ:1000 pcs</t>
    </r>
  </si>
  <si>
    <t>RF Hard Tag</t>
  </si>
  <si>
    <t>EAS-H01</t>
  </si>
  <si>
    <r>
      <rPr>
        <rFont val="Arial"/>
        <color theme="1"/>
        <sz val="10.0"/>
      </rPr>
      <t xml:space="preserve">Samll square </t>
    </r>
    <r>
      <rPr>
        <rFont val="Arial"/>
        <color rgb="FFFF0000"/>
        <sz val="10.0"/>
      </rPr>
      <t xml:space="preserve">
Frequency</t>
    </r>
    <r>
      <rPr>
        <rFont val="Arial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Material:ABS plastic+Coil
Color:Black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Dimension:48X42MM
Packing :1000pcs/ctn
Ctn Size:55x40x13CM
G.W:9.8kgs/ctn
</t>
    </r>
    <r>
      <rPr>
        <rFont val="Arial"/>
        <color rgb="FFFF0000"/>
        <sz val="10.0"/>
      </rPr>
      <t>MOQ:1000 pcs</t>
    </r>
  </si>
  <si>
    <t>EAS-H02</t>
  </si>
  <si>
    <r>
      <rPr>
        <rFont val="Arial"/>
        <color theme="1"/>
        <sz val="10.0"/>
      </rPr>
      <t xml:space="preserve">Big square 
</t>
    </r>
    <r>
      <rPr>
        <rFont val="Arial"/>
        <color rgb="FFFF0000"/>
        <sz val="10.0"/>
      </rPr>
      <t>Frequency</t>
    </r>
    <r>
      <rPr>
        <rFont val="Arial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Material:ABS plastic+Coil
Color:Black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Dimension:68X55MM
Packing :1000pcs/ctn
Ctn Size:50X35X30
G.W:16.5kgs/ctn
</t>
    </r>
    <r>
      <rPr>
        <rFont val="Arial"/>
        <color rgb="FFFF0000"/>
        <sz val="10.0"/>
      </rPr>
      <t>MOQ:1000 pcs</t>
    </r>
  </si>
  <si>
    <t>EAS-H22C</t>
  </si>
  <si>
    <r>
      <rPr>
        <rFont val="Arial"/>
        <color theme="1"/>
        <sz val="10.0"/>
      </rPr>
      <t xml:space="preserve">Bottle Tag
</t>
    </r>
    <r>
      <rPr>
        <rFont val="Arial"/>
        <color rgb="FFFF0000"/>
        <sz val="10.0"/>
      </rPr>
      <t>Frequency</t>
    </r>
    <r>
      <rPr>
        <rFont val="Arial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Color:Black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Dimension:Ø50MM
Lanyard length :20CM
Packing :500pcs/ctn
Ctn Size:48X32X33CM
G.W:12.5kgs/ctn
</t>
    </r>
    <r>
      <rPr>
        <rFont val="Arial"/>
        <color rgb="FFFF0000"/>
        <sz val="10.0"/>
      </rPr>
      <t>MOQ:500 pcs</t>
    </r>
  </si>
  <si>
    <t>EAS-H23</t>
  </si>
  <si>
    <r>
      <rPr>
        <rFont val="Arial"/>
        <color theme="1"/>
        <sz val="10.0"/>
      </rPr>
      <t xml:space="preserve">Milk Can Tag
</t>
    </r>
    <r>
      <rPr>
        <rFont val="Arial"/>
        <color rgb="FFFF0000"/>
        <sz val="10.0"/>
      </rPr>
      <t>Frequency</t>
    </r>
    <r>
      <rPr>
        <rFont val="Arial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Color:Black/white/Grey or customize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Dimension:Ø50MM
Lanyard length :48CM
Packing :500pcs/ctn
Ctn Size:50X35X30CM
G.W:16.5kgs/ctn
</t>
    </r>
    <r>
      <rPr>
        <rFont val="Arial"/>
        <color rgb="FFFF0000"/>
        <sz val="10.0"/>
      </rPr>
      <t>MOQ:500 pcs</t>
    </r>
  </si>
  <si>
    <t>EAS-H14A</t>
  </si>
  <si>
    <r>
      <rPr>
        <rFont val="Arial"/>
        <color theme="1"/>
        <sz val="10.0"/>
      </rPr>
      <t xml:space="preserve">Tag with lanyard use for bag ,belt...
</t>
    </r>
    <r>
      <rPr>
        <rFont val="Arial"/>
        <color rgb="FFFF0000"/>
        <sz val="10.0"/>
      </rPr>
      <t>Frequency</t>
    </r>
    <r>
      <rPr>
        <rFont val="Arial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Material:ABS plastic+Magnets Stick
Color:white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Dimension:43X13MM
Lanyard length :10CM
Packing :1000pcs/ctn
Ctn Size:40X30X24CM
G.W:9.5kgs/ctn
</t>
    </r>
    <r>
      <rPr>
        <rFont val="Arial"/>
        <color rgb="FFFF0000"/>
        <sz val="10.0"/>
      </rPr>
      <t>MOQ:1000 pcs</t>
    </r>
  </si>
  <si>
    <t>EAS-301</t>
  </si>
  <si>
    <r>
      <rPr>
        <rFont val="Arial"/>
        <color theme="1"/>
        <sz val="10.0"/>
      </rPr>
      <t xml:space="preserve">Spider Tag
</t>
    </r>
    <r>
      <rPr>
        <rFont val="Arial"/>
        <color rgb="FFFF0000"/>
        <sz val="10.0"/>
      </rPr>
      <t>Frequency</t>
    </r>
    <r>
      <rPr>
        <rFont val="Arial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Color:Black
Dimension:Ø73mm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Length of Lanyard :80cm 
Noise level</t>
    </r>
    <r>
      <rPr>
        <rFont val="Arial"/>
        <color theme="1"/>
        <sz val="10.0"/>
      </rPr>
      <t>：</t>
    </r>
    <r>
      <rPr>
        <rFont val="Arial"/>
        <color theme="1"/>
        <sz val="10.0"/>
      </rPr>
      <t>95dB
Battery durability</t>
    </r>
    <r>
      <rPr>
        <rFont val="Arial"/>
        <color theme="1"/>
        <sz val="10.0"/>
      </rPr>
      <t>：</t>
    </r>
    <r>
      <rPr>
        <rFont val="Arial"/>
        <color theme="1"/>
        <sz val="10.0"/>
      </rPr>
      <t xml:space="preserve">&gt;3 years
Packing :100pcs/ctn
Ctn Size:60X42X18.5cm
G.W:12kgs/ctn
</t>
    </r>
    <r>
      <rPr>
        <rFont val="Arial"/>
        <color rgb="FFFF0000"/>
        <sz val="10.0"/>
      </rPr>
      <t>MOQ:100 pcs</t>
    </r>
  </si>
  <si>
    <t>AM Soft Tag</t>
  </si>
  <si>
    <t>EAS-CDR</t>
  </si>
  <si>
    <r>
      <rPr>
        <rFont val="Arial"/>
        <color theme="1"/>
        <sz val="10.0"/>
      </rPr>
      <t xml:space="preserve">AM Soft Tag
</t>
    </r>
    <r>
      <rPr>
        <rFont val="Arial"/>
        <color rgb="FFFF0000"/>
        <sz val="10.0"/>
      </rPr>
      <t>Frequency:58Khz</t>
    </r>
    <r>
      <rPr>
        <rFont val="Arial"/>
        <color theme="1"/>
        <sz val="10.0"/>
      </rPr>
      <t xml:space="preserve">
Color:White
Material:PVC+Chip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Dimension:45X11MM
Packing:5000pcs/box,4boxs/ctn
Ctn Size:54X30X23CM
G.W:13kgs/ctn
</t>
    </r>
    <r>
      <rPr>
        <rFont val="Arial"/>
        <color rgb="FFFF0000"/>
        <sz val="10.0"/>
      </rPr>
      <t>MOQ:5000 pcs</t>
    </r>
  </si>
  <si>
    <t>AM Hard Tag</t>
  </si>
  <si>
    <t>EAS-H30</t>
  </si>
  <si>
    <r>
      <rPr>
        <rFont val="Arial"/>
        <color theme="1"/>
        <sz val="10.0"/>
      </rPr>
      <t xml:space="preserve">Small Pencil
</t>
    </r>
    <r>
      <rPr>
        <rFont val="Arial"/>
        <color rgb="FFFF0000"/>
        <sz val="10.0"/>
      </rPr>
      <t>Frequency:58Khz</t>
    </r>
    <r>
      <rPr>
        <rFont val="Arial"/>
        <color theme="1"/>
        <sz val="10.0"/>
      </rPr>
      <t xml:space="preserve">
Color:White
Material:ABS+Magnetic bar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Dimension:46X13MM
Packing:1000pcs/ctn
Ctn Size:40X30X13CM
G.W:8kgs/ctn
</t>
    </r>
    <r>
      <rPr>
        <rFont val="Arial"/>
        <color rgb="FFFF0000"/>
        <sz val="10.0"/>
      </rPr>
      <t>MOQ:1000 pcs</t>
    </r>
  </si>
  <si>
    <t>EAS-H32C</t>
  </si>
  <si>
    <r>
      <rPr>
        <rFont val="Arial"/>
        <color theme="1"/>
        <sz val="10.0"/>
      </rPr>
      <t xml:space="preserve">Big Flat Pencil
</t>
    </r>
    <r>
      <rPr>
        <rFont val="Arial"/>
        <color rgb="FFFF0000"/>
        <sz val="10.0"/>
      </rPr>
      <t>Frequency:58Khz</t>
    </r>
    <r>
      <rPr>
        <rFont val="Arial"/>
        <color theme="1"/>
        <sz val="10.0"/>
      </rPr>
      <t xml:space="preserve">
Color:White
Material:ABS+Magnetic bar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Dimension:73X16mm
Packing:1000pcs/ctn
Ctn Size:45X30X20CM
G.W:15kgs/ctn
</t>
    </r>
    <r>
      <rPr>
        <rFont val="Arial"/>
        <color rgb="FFFF0000"/>
        <sz val="10.0"/>
      </rPr>
      <t>MOQ:1000 pcs</t>
    </r>
  </si>
  <si>
    <r>
      <rPr>
        <rFont val="Arial"/>
        <color theme="1"/>
        <sz val="10.0"/>
      </rPr>
      <t xml:space="preserve">Tag with lanyard use for bag ,belt...
</t>
    </r>
    <r>
      <rPr>
        <rFont val="Arial"/>
        <color rgb="FFFF0000"/>
        <sz val="10.0"/>
      </rPr>
      <t>Frequency</t>
    </r>
    <r>
      <rPr>
        <rFont val="Arial"/>
        <color rgb="FFFF0000"/>
        <sz val="10.0"/>
      </rPr>
      <t>：</t>
    </r>
    <r>
      <rPr>
        <rFont val="Arial"/>
        <color rgb="FFFF0000"/>
        <sz val="10.0"/>
      </rPr>
      <t>58Khz</t>
    </r>
    <r>
      <rPr>
        <rFont val="Arial"/>
        <color theme="1"/>
        <sz val="10.0"/>
      </rPr>
      <t xml:space="preserve">
Material:ABS plastic+Magnets Stick
Color:white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Dimension:43X13MM
Lanyard length :10CM
Packing :1000pcs/ctn
Ctn Size:40X30X24CM
G.W:9.5kgs/ctn
</t>
    </r>
    <r>
      <rPr>
        <rFont val="Arial"/>
        <color rgb="FFFF0000"/>
        <sz val="10.0"/>
      </rPr>
      <t>MOQ:1000 pcs</t>
    </r>
  </si>
  <si>
    <r>
      <rPr>
        <rFont val="Arial"/>
        <color theme="1"/>
        <sz val="10.0"/>
      </rPr>
      <t xml:space="preserve">Spider Tag
</t>
    </r>
    <r>
      <rPr>
        <rFont val="Arial"/>
        <color rgb="FFFF0000"/>
        <sz val="10.0"/>
      </rPr>
      <t>Frequency</t>
    </r>
    <r>
      <rPr>
        <rFont val="Arial"/>
        <color rgb="FFFF0000"/>
        <sz val="10.0"/>
      </rPr>
      <t>：</t>
    </r>
    <r>
      <rPr>
        <rFont val="Arial"/>
        <color rgb="FFFF0000"/>
        <sz val="10.0"/>
      </rPr>
      <t>58Khz</t>
    </r>
    <r>
      <rPr>
        <rFont val="Arial"/>
        <color theme="1"/>
        <sz val="10.0"/>
      </rPr>
      <t xml:space="preserve">
Color:Black
Dimension:Ø73mm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Length of Lanyard :80cm 
Noise level</t>
    </r>
    <r>
      <rPr>
        <rFont val="Arial"/>
        <color theme="1"/>
        <sz val="10.0"/>
      </rPr>
      <t>：</t>
    </r>
    <r>
      <rPr>
        <rFont val="Arial"/>
        <color theme="1"/>
        <sz val="10.0"/>
      </rPr>
      <t>95dB
Battery durability</t>
    </r>
    <r>
      <rPr>
        <rFont val="Arial"/>
        <color theme="1"/>
        <sz val="10.0"/>
      </rPr>
      <t>：</t>
    </r>
    <r>
      <rPr>
        <rFont val="Arial"/>
        <color theme="1"/>
        <sz val="10.0"/>
      </rPr>
      <t xml:space="preserve">&gt;3 years
Packing :100pcs/ctn
Ctn Size:60X42X18.5cm
G.W:12kgs/ctn
</t>
    </r>
    <r>
      <rPr>
        <rFont val="Arial"/>
        <color rgb="FFFF0000"/>
        <sz val="10.0"/>
      </rPr>
      <t>MOQ:100 pcs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</si>
</sst>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₱]#,##0.00"/>
  </numFmts>
  <fonts count="7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theme="1"/>
      <name val="Arial"/>
    </font>
    <font>
      <color theme="1"/>
      <name val="Arial"/>
      <scheme val="minor"/>
    </font>
    <font>
      <sz val="10.0"/>
      <color rgb="FFFF0000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4" fillId="0" fontId="6" numFmtId="164" xfId="0" applyAlignment="1" applyBorder="1" applyFont="1" applyNumberFormat="1">
      <alignment horizontal="right" shrinkToFit="0" vertical="center" wrapText="1"/>
    </xf>
    <xf borderId="0" fillId="0" fontId="4" numFmtId="164" xfId="0" applyAlignment="1" applyFont="1" applyNumberForma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3"/>
      <c r="J1" s="1" t="s">
        <v>2</v>
      </c>
      <c r="K1" s="3"/>
      <c r="L1" s="1" t="s">
        <v>3</v>
      </c>
      <c r="M1" s="3"/>
    </row>
    <row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</row>
    <row r="3">
      <c r="A3" s="5" t="s">
        <v>17</v>
      </c>
      <c r="B3" s="5" t="s">
        <v>18</v>
      </c>
      <c r="C3" s="5" t="s">
        <v>19</v>
      </c>
      <c r="D3" s="5" t="s">
        <v>20</v>
      </c>
      <c r="E3" s="6" t="s">
        <v>21</v>
      </c>
      <c r="F3" s="7"/>
      <c r="G3" s="8">
        <v>13500.0</v>
      </c>
      <c r="H3" s="9">
        <f t="shared" ref="H3:H25" si="1">G3*1.5</f>
        <v>20250</v>
      </c>
      <c r="I3" s="9">
        <f t="shared" ref="I3:I25" si="2">G3*1.3</f>
        <v>17550</v>
      </c>
      <c r="J3" s="9">
        <f t="shared" ref="J3:J25" si="3">G3*1.3</f>
        <v>17550</v>
      </c>
      <c r="K3" s="9">
        <f t="shared" ref="K3:K25" si="4">G3*1.2</f>
        <v>16200</v>
      </c>
      <c r="L3" s="9">
        <f t="shared" ref="L3:L25" si="5">G3*1.15</f>
        <v>15525</v>
      </c>
      <c r="M3" s="9">
        <f t="shared" ref="M3:M25" si="6">G3*1.1</f>
        <v>14850</v>
      </c>
    </row>
    <row r="4">
      <c r="A4" s="5" t="s">
        <v>17</v>
      </c>
      <c r="B4" s="5" t="s">
        <v>18</v>
      </c>
      <c r="C4" s="5" t="s">
        <v>19</v>
      </c>
      <c r="D4" s="5" t="s">
        <v>22</v>
      </c>
      <c r="E4" s="6" t="s">
        <v>23</v>
      </c>
      <c r="F4" s="7"/>
      <c r="G4" s="8">
        <v>18800.0</v>
      </c>
      <c r="H4" s="9">
        <f t="shared" si="1"/>
        <v>28200</v>
      </c>
      <c r="I4" s="9">
        <f t="shared" si="2"/>
        <v>24440</v>
      </c>
      <c r="J4" s="9">
        <f t="shared" si="3"/>
        <v>24440</v>
      </c>
      <c r="K4" s="9">
        <f t="shared" si="4"/>
        <v>22560</v>
      </c>
      <c r="L4" s="9">
        <f t="shared" si="5"/>
        <v>21620</v>
      </c>
      <c r="M4" s="9">
        <f t="shared" si="6"/>
        <v>20680</v>
      </c>
    </row>
    <row r="5">
      <c r="A5" s="5" t="s">
        <v>17</v>
      </c>
      <c r="B5" s="5" t="s">
        <v>18</v>
      </c>
      <c r="C5" s="5" t="s">
        <v>24</v>
      </c>
      <c r="D5" s="5" t="s">
        <v>25</v>
      </c>
      <c r="E5" s="6" t="s">
        <v>26</v>
      </c>
      <c r="F5" s="7"/>
      <c r="G5" s="8">
        <v>45500.0</v>
      </c>
      <c r="H5" s="9">
        <f t="shared" si="1"/>
        <v>68250</v>
      </c>
      <c r="I5" s="9">
        <f t="shared" si="2"/>
        <v>59150</v>
      </c>
      <c r="J5" s="9">
        <f t="shared" si="3"/>
        <v>59150</v>
      </c>
      <c r="K5" s="9">
        <f t="shared" si="4"/>
        <v>54600</v>
      </c>
      <c r="L5" s="9">
        <f t="shared" si="5"/>
        <v>52325</v>
      </c>
      <c r="M5" s="9">
        <f t="shared" si="6"/>
        <v>50050</v>
      </c>
    </row>
    <row r="6">
      <c r="A6" s="5" t="s">
        <v>17</v>
      </c>
      <c r="B6" s="5" t="s">
        <v>18</v>
      </c>
      <c r="C6" s="5" t="s">
        <v>24</v>
      </c>
      <c r="D6" s="5" t="s">
        <v>27</v>
      </c>
      <c r="E6" s="6" t="s">
        <v>28</v>
      </c>
      <c r="F6" s="7"/>
      <c r="G6" s="8">
        <v>31200.0</v>
      </c>
      <c r="H6" s="9">
        <f t="shared" si="1"/>
        <v>46800</v>
      </c>
      <c r="I6" s="9">
        <f t="shared" si="2"/>
        <v>40560</v>
      </c>
      <c r="J6" s="9">
        <f t="shared" si="3"/>
        <v>40560</v>
      </c>
      <c r="K6" s="9">
        <f t="shared" si="4"/>
        <v>37440</v>
      </c>
      <c r="L6" s="9">
        <f t="shared" si="5"/>
        <v>35880</v>
      </c>
      <c r="M6" s="9">
        <f t="shared" si="6"/>
        <v>34320</v>
      </c>
    </row>
    <row r="7">
      <c r="A7" s="5" t="s">
        <v>17</v>
      </c>
      <c r="B7" s="5" t="s">
        <v>18</v>
      </c>
      <c r="C7" s="5" t="s">
        <v>24</v>
      </c>
      <c r="D7" s="5" t="s">
        <v>29</v>
      </c>
      <c r="E7" s="10" t="s">
        <v>30</v>
      </c>
      <c r="F7" s="7"/>
      <c r="G7" s="8">
        <v>14000.0</v>
      </c>
      <c r="H7" s="9">
        <f t="shared" si="1"/>
        <v>21000</v>
      </c>
      <c r="I7" s="9">
        <f t="shared" si="2"/>
        <v>18200</v>
      </c>
      <c r="J7" s="9">
        <f t="shared" si="3"/>
        <v>18200</v>
      </c>
      <c r="K7" s="9">
        <f t="shared" si="4"/>
        <v>16800</v>
      </c>
      <c r="L7" s="9">
        <f t="shared" si="5"/>
        <v>16100</v>
      </c>
      <c r="M7" s="9">
        <f t="shared" si="6"/>
        <v>15400</v>
      </c>
    </row>
    <row r="8">
      <c r="A8" s="5" t="s">
        <v>17</v>
      </c>
      <c r="B8" s="5" t="s">
        <v>18</v>
      </c>
      <c r="C8" s="5" t="s">
        <v>24</v>
      </c>
      <c r="D8" s="5" t="s">
        <v>31</v>
      </c>
      <c r="E8" s="6" t="s">
        <v>32</v>
      </c>
      <c r="F8" s="7"/>
      <c r="G8" s="8">
        <v>45200.0</v>
      </c>
      <c r="H8" s="9">
        <f t="shared" si="1"/>
        <v>67800</v>
      </c>
      <c r="I8" s="9">
        <f t="shared" si="2"/>
        <v>58760</v>
      </c>
      <c r="J8" s="9">
        <f t="shared" si="3"/>
        <v>58760</v>
      </c>
      <c r="K8" s="9">
        <f t="shared" si="4"/>
        <v>54240</v>
      </c>
      <c r="L8" s="9">
        <f t="shared" si="5"/>
        <v>51980</v>
      </c>
      <c r="M8" s="9">
        <f t="shared" si="6"/>
        <v>49720</v>
      </c>
    </row>
    <row r="9">
      <c r="A9" s="5" t="s">
        <v>17</v>
      </c>
      <c r="B9" s="5" t="s">
        <v>18</v>
      </c>
      <c r="C9" s="5" t="s">
        <v>24</v>
      </c>
      <c r="D9" s="5" t="s">
        <v>33</v>
      </c>
      <c r="E9" s="6" t="s">
        <v>34</v>
      </c>
      <c r="F9" s="7"/>
      <c r="G9" s="8">
        <v>25000.0</v>
      </c>
      <c r="H9" s="9">
        <f t="shared" si="1"/>
        <v>37500</v>
      </c>
      <c r="I9" s="9">
        <f t="shared" si="2"/>
        <v>32500</v>
      </c>
      <c r="J9" s="9">
        <f t="shared" si="3"/>
        <v>32500</v>
      </c>
      <c r="K9" s="9">
        <f t="shared" si="4"/>
        <v>30000</v>
      </c>
      <c r="L9" s="9">
        <f t="shared" si="5"/>
        <v>28750</v>
      </c>
      <c r="M9" s="9">
        <f t="shared" si="6"/>
        <v>27500</v>
      </c>
    </row>
    <row r="10">
      <c r="A10" s="5" t="s">
        <v>17</v>
      </c>
      <c r="B10" s="5" t="s">
        <v>18</v>
      </c>
      <c r="C10" s="5" t="s">
        <v>35</v>
      </c>
      <c r="D10" s="5" t="s">
        <v>36</v>
      </c>
      <c r="E10" s="11" t="s">
        <v>37</v>
      </c>
      <c r="F10" s="7"/>
      <c r="G10" s="8">
        <v>4500.0</v>
      </c>
      <c r="H10" s="9">
        <f t="shared" si="1"/>
        <v>6750</v>
      </c>
      <c r="I10" s="9">
        <f t="shared" si="2"/>
        <v>5850</v>
      </c>
      <c r="J10" s="9">
        <f t="shared" si="3"/>
        <v>5850</v>
      </c>
      <c r="K10" s="9">
        <f t="shared" si="4"/>
        <v>5400</v>
      </c>
      <c r="L10" s="9">
        <f t="shared" si="5"/>
        <v>5175</v>
      </c>
      <c r="M10" s="9">
        <f t="shared" si="6"/>
        <v>4950</v>
      </c>
    </row>
    <row r="11">
      <c r="A11" s="5" t="s">
        <v>17</v>
      </c>
      <c r="B11" s="5" t="s">
        <v>18</v>
      </c>
      <c r="C11" s="5" t="s">
        <v>38</v>
      </c>
      <c r="D11" s="5" t="s">
        <v>39</v>
      </c>
      <c r="E11" s="11" t="s">
        <v>40</v>
      </c>
      <c r="F11" s="7"/>
      <c r="G11" s="8">
        <v>6500.0</v>
      </c>
      <c r="H11" s="9">
        <f t="shared" si="1"/>
        <v>9750</v>
      </c>
      <c r="I11" s="9">
        <f t="shared" si="2"/>
        <v>8450</v>
      </c>
      <c r="J11" s="9">
        <f t="shared" si="3"/>
        <v>8450</v>
      </c>
      <c r="K11" s="9">
        <f t="shared" si="4"/>
        <v>7800</v>
      </c>
      <c r="L11" s="9">
        <f t="shared" si="5"/>
        <v>7475</v>
      </c>
      <c r="M11" s="9">
        <f t="shared" si="6"/>
        <v>7150</v>
      </c>
    </row>
    <row r="12">
      <c r="A12" s="5" t="s">
        <v>17</v>
      </c>
      <c r="B12" s="5" t="s">
        <v>18</v>
      </c>
      <c r="C12" s="5" t="s">
        <v>41</v>
      </c>
      <c r="D12" s="5" t="s">
        <v>42</v>
      </c>
      <c r="E12" s="12" t="s">
        <v>43</v>
      </c>
      <c r="F12" s="7"/>
      <c r="G12" s="8">
        <v>500.0</v>
      </c>
      <c r="H12" s="9">
        <f t="shared" si="1"/>
        <v>750</v>
      </c>
      <c r="I12" s="9">
        <f t="shared" si="2"/>
        <v>650</v>
      </c>
      <c r="J12" s="9">
        <f t="shared" si="3"/>
        <v>650</v>
      </c>
      <c r="K12" s="9">
        <f t="shared" si="4"/>
        <v>600</v>
      </c>
      <c r="L12" s="9">
        <f t="shared" si="5"/>
        <v>575</v>
      </c>
      <c r="M12" s="9">
        <f t="shared" si="6"/>
        <v>550</v>
      </c>
    </row>
    <row r="13">
      <c r="A13" s="5" t="s">
        <v>17</v>
      </c>
      <c r="B13" s="5" t="s">
        <v>18</v>
      </c>
      <c r="C13" s="5" t="s">
        <v>41</v>
      </c>
      <c r="D13" s="5" t="s">
        <v>44</v>
      </c>
      <c r="E13" s="12" t="s">
        <v>45</v>
      </c>
      <c r="F13" s="7"/>
      <c r="G13" s="8">
        <v>1300.0</v>
      </c>
      <c r="H13" s="9">
        <f t="shared" si="1"/>
        <v>1950</v>
      </c>
      <c r="I13" s="9">
        <f t="shared" si="2"/>
        <v>1690</v>
      </c>
      <c r="J13" s="9">
        <f t="shared" si="3"/>
        <v>1690</v>
      </c>
      <c r="K13" s="9">
        <f t="shared" si="4"/>
        <v>1560</v>
      </c>
      <c r="L13" s="9">
        <f t="shared" si="5"/>
        <v>1495</v>
      </c>
      <c r="M13" s="9">
        <f t="shared" si="6"/>
        <v>1430</v>
      </c>
    </row>
    <row r="14">
      <c r="A14" s="5" t="s">
        <v>17</v>
      </c>
      <c r="B14" s="5" t="s">
        <v>18</v>
      </c>
      <c r="C14" s="5" t="s">
        <v>46</v>
      </c>
      <c r="D14" s="5" t="s">
        <v>47</v>
      </c>
      <c r="E14" s="12" t="s">
        <v>48</v>
      </c>
      <c r="F14" s="7"/>
      <c r="G14" s="8">
        <v>2.0</v>
      </c>
      <c r="H14" s="9">
        <f t="shared" si="1"/>
        <v>3</v>
      </c>
      <c r="I14" s="9">
        <f t="shared" si="2"/>
        <v>2.6</v>
      </c>
      <c r="J14" s="9">
        <f t="shared" si="3"/>
        <v>2.6</v>
      </c>
      <c r="K14" s="9">
        <f t="shared" si="4"/>
        <v>2.4</v>
      </c>
      <c r="L14" s="9">
        <f t="shared" si="5"/>
        <v>2.3</v>
      </c>
      <c r="M14" s="9">
        <f t="shared" si="6"/>
        <v>2.2</v>
      </c>
    </row>
    <row r="15">
      <c r="A15" s="5" t="s">
        <v>17</v>
      </c>
      <c r="B15" s="5" t="s">
        <v>18</v>
      </c>
      <c r="C15" s="5" t="s">
        <v>49</v>
      </c>
      <c r="D15" s="5" t="s">
        <v>50</v>
      </c>
      <c r="E15" s="12" t="s">
        <v>51</v>
      </c>
      <c r="F15" s="7"/>
      <c r="G15" s="8">
        <v>10.0</v>
      </c>
      <c r="H15" s="9">
        <f t="shared" si="1"/>
        <v>15</v>
      </c>
      <c r="I15" s="9">
        <f t="shared" si="2"/>
        <v>13</v>
      </c>
      <c r="J15" s="9">
        <f t="shared" si="3"/>
        <v>13</v>
      </c>
      <c r="K15" s="9">
        <f t="shared" si="4"/>
        <v>12</v>
      </c>
      <c r="L15" s="9">
        <f t="shared" si="5"/>
        <v>11.5</v>
      </c>
      <c r="M15" s="9">
        <f t="shared" si="6"/>
        <v>11</v>
      </c>
    </row>
    <row r="16">
      <c r="A16" s="5" t="s">
        <v>17</v>
      </c>
      <c r="B16" s="5" t="s">
        <v>18</v>
      </c>
      <c r="C16" s="5" t="s">
        <v>49</v>
      </c>
      <c r="D16" s="5" t="s">
        <v>52</v>
      </c>
      <c r="E16" s="12" t="s">
        <v>53</v>
      </c>
      <c r="F16" s="7"/>
      <c r="G16" s="8">
        <v>10.0</v>
      </c>
      <c r="H16" s="9">
        <f t="shared" si="1"/>
        <v>15</v>
      </c>
      <c r="I16" s="9">
        <f t="shared" si="2"/>
        <v>13</v>
      </c>
      <c r="J16" s="9">
        <f t="shared" si="3"/>
        <v>13</v>
      </c>
      <c r="K16" s="9">
        <f t="shared" si="4"/>
        <v>12</v>
      </c>
      <c r="L16" s="9">
        <f t="shared" si="5"/>
        <v>11.5</v>
      </c>
      <c r="M16" s="9">
        <f t="shared" si="6"/>
        <v>11</v>
      </c>
    </row>
    <row r="17">
      <c r="A17" s="5" t="s">
        <v>17</v>
      </c>
      <c r="B17" s="5" t="s">
        <v>18</v>
      </c>
      <c r="C17" s="5" t="s">
        <v>49</v>
      </c>
      <c r="D17" s="5" t="s">
        <v>54</v>
      </c>
      <c r="E17" s="12" t="s">
        <v>55</v>
      </c>
      <c r="F17" s="7"/>
      <c r="G17" s="8">
        <v>20.0</v>
      </c>
      <c r="H17" s="9">
        <f t="shared" si="1"/>
        <v>30</v>
      </c>
      <c r="I17" s="9">
        <f t="shared" si="2"/>
        <v>26</v>
      </c>
      <c r="J17" s="9">
        <f t="shared" si="3"/>
        <v>26</v>
      </c>
      <c r="K17" s="9">
        <f t="shared" si="4"/>
        <v>24</v>
      </c>
      <c r="L17" s="9">
        <f t="shared" si="5"/>
        <v>23</v>
      </c>
      <c r="M17" s="9">
        <f t="shared" si="6"/>
        <v>22</v>
      </c>
    </row>
    <row r="18">
      <c r="A18" s="5" t="s">
        <v>17</v>
      </c>
      <c r="B18" s="5" t="s">
        <v>18</v>
      </c>
      <c r="C18" s="5" t="s">
        <v>49</v>
      </c>
      <c r="D18" s="5" t="s">
        <v>56</v>
      </c>
      <c r="E18" s="12" t="s">
        <v>57</v>
      </c>
      <c r="F18" s="7"/>
      <c r="G18" s="8">
        <v>30.0</v>
      </c>
      <c r="H18" s="9">
        <f t="shared" si="1"/>
        <v>45</v>
      </c>
      <c r="I18" s="9">
        <f t="shared" si="2"/>
        <v>39</v>
      </c>
      <c r="J18" s="9">
        <f t="shared" si="3"/>
        <v>39</v>
      </c>
      <c r="K18" s="9">
        <f t="shared" si="4"/>
        <v>36</v>
      </c>
      <c r="L18" s="9">
        <f t="shared" si="5"/>
        <v>34.5</v>
      </c>
      <c r="M18" s="9">
        <f t="shared" si="6"/>
        <v>33</v>
      </c>
    </row>
    <row r="19">
      <c r="A19" s="5" t="s">
        <v>17</v>
      </c>
      <c r="B19" s="5" t="s">
        <v>18</v>
      </c>
      <c r="C19" s="5" t="s">
        <v>49</v>
      </c>
      <c r="D19" s="5" t="s">
        <v>58</v>
      </c>
      <c r="E19" s="12" t="s">
        <v>59</v>
      </c>
      <c r="F19" s="7"/>
      <c r="G19" s="8">
        <v>15.0</v>
      </c>
      <c r="H19" s="9">
        <f t="shared" si="1"/>
        <v>22.5</v>
      </c>
      <c r="I19" s="9">
        <f t="shared" si="2"/>
        <v>19.5</v>
      </c>
      <c r="J19" s="9">
        <f t="shared" si="3"/>
        <v>19.5</v>
      </c>
      <c r="K19" s="9">
        <f t="shared" si="4"/>
        <v>18</v>
      </c>
      <c r="L19" s="9">
        <f t="shared" si="5"/>
        <v>17.25</v>
      </c>
      <c r="M19" s="9">
        <f t="shared" si="6"/>
        <v>16.5</v>
      </c>
    </row>
    <row r="20">
      <c r="A20" s="5" t="s">
        <v>17</v>
      </c>
      <c r="B20" s="5" t="s">
        <v>18</v>
      </c>
      <c r="C20" s="5" t="s">
        <v>49</v>
      </c>
      <c r="D20" s="5" t="s">
        <v>60</v>
      </c>
      <c r="E20" s="12" t="s">
        <v>61</v>
      </c>
      <c r="F20" s="7"/>
      <c r="G20" s="8">
        <v>350.0</v>
      </c>
      <c r="H20" s="9">
        <f t="shared" si="1"/>
        <v>525</v>
      </c>
      <c r="I20" s="9">
        <f t="shared" si="2"/>
        <v>455</v>
      </c>
      <c r="J20" s="9">
        <f t="shared" si="3"/>
        <v>455</v>
      </c>
      <c r="K20" s="9">
        <f t="shared" si="4"/>
        <v>420</v>
      </c>
      <c r="L20" s="9">
        <f t="shared" si="5"/>
        <v>402.5</v>
      </c>
      <c r="M20" s="9">
        <f t="shared" si="6"/>
        <v>385</v>
      </c>
    </row>
    <row r="21">
      <c r="A21" s="5" t="s">
        <v>17</v>
      </c>
      <c r="B21" s="5" t="s">
        <v>18</v>
      </c>
      <c r="C21" s="5" t="s">
        <v>62</v>
      </c>
      <c r="D21" s="5" t="s">
        <v>63</v>
      </c>
      <c r="E21" s="12" t="s">
        <v>64</v>
      </c>
      <c r="F21" s="7"/>
      <c r="G21" s="8">
        <v>2.0</v>
      </c>
      <c r="H21" s="9">
        <f t="shared" si="1"/>
        <v>3</v>
      </c>
      <c r="I21" s="9">
        <f t="shared" si="2"/>
        <v>2.6</v>
      </c>
      <c r="J21" s="9">
        <f t="shared" si="3"/>
        <v>2.6</v>
      </c>
      <c r="K21" s="9">
        <f t="shared" si="4"/>
        <v>2.4</v>
      </c>
      <c r="L21" s="9">
        <f t="shared" si="5"/>
        <v>2.3</v>
      </c>
      <c r="M21" s="9">
        <f t="shared" si="6"/>
        <v>2.2</v>
      </c>
    </row>
    <row r="22">
      <c r="A22" s="5" t="s">
        <v>17</v>
      </c>
      <c r="B22" s="5" t="s">
        <v>18</v>
      </c>
      <c r="C22" s="5" t="s">
        <v>65</v>
      </c>
      <c r="D22" s="5" t="s">
        <v>66</v>
      </c>
      <c r="E22" s="12" t="s">
        <v>67</v>
      </c>
      <c r="F22" s="7"/>
      <c r="G22" s="8">
        <v>10.0</v>
      </c>
      <c r="H22" s="9">
        <f t="shared" si="1"/>
        <v>15</v>
      </c>
      <c r="I22" s="9">
        <f t="shared" si="2"/>
        <v>13</v>
      </c>
      <c r="J22" s="9">
        <f t="shared" si="3"/>
        <v>13</v>
      </c>
      <c r="K22" s="9">
        <f t="shared" si="4"/>
        <v>12</v>
      </c>
      <c r="L22" s="9">
        <f t="shared" si="5"/>
        <v>11.5</v>
      </c>
      <c r="M22" s="9">
        <f t="shared" si="6"/>
        <v>11</v>
      </c>
    </row>
    <row r="23">
      <c r="A23" s="5" t="s">
        <v>17</v>
      </c>
      <c r="B23" s="5" t="s">
        <v>18</v>
      </c>
      <c r="C23" s="5" t="s">
        <v>65</v>
      </c>
      <c r="D23" s="5" t="s">
        <v>68</v>
      </c>
      <c r="E23" s="12" t="s">
        <v>69</v>
      </c>
      <c r="F23" s="7"/>
      <c r="G23" s="8">
        <v>10.0</v>
      </c>
      <c r="H23" s="9">
        <f t="shared" si="1"/>
        <v>15</v>
      </c>
      <c r="I23" s="9">
        <f t="shared" si="2"/>
        <v>13</v>
      </c>
      <c r="J23" s="9">
        <f t="shared" si="3"/>
        <v>13</v>
      </c>
      <c r="K23" s="9">
        <f t="shared" si="4"/>
        <v>12</v>
      </c>
      <c r="L23" s="9">
        <f t="shared" si="5"/>
        <v>11.5</v>
      </c>
      <c r="M23" s="9">
        <f t="shared" si="6"/>
        <v>11</v>
      </c>
    </row>
    <row r="24">
      <c r="A24" s="5" t="s">
        <v>17</v>
      </c>
      <c r="B24" s="5" t="s">
        <v>18</v>
      </c>
      <c r="C24" s="5" t="s">
        <v>65</v>
      </c>
      <c r="D24" s="5" t="s">
        <v>58</v>
      </c>
      <c r="E24" s="12" t="s">
        <v>70</v>
      </c>
      <c r="F24" s="7"/>
      <c r="G24" s="8">
        <v>15.0</v>
      </c>
      <c r="H24" s="9">
        <f t="shared" si="1"/>
        <v>22.5</v>
      </c>
      <c r="I24" s="9">
        <f t="shared" si="2"/>
        <v>19.5</v>
      </c>
      <c r="J24" s="9">
        <f t="shared" si="3"/>
        <v>19.5</v>
      </c>
      <c r="K24" s="9">
        <f t="shared" si="4"/>
        <v>18</v>
      </c>
      <c r="L24" s="9">
        <f t="shared" si="5"/>
        <v>17.25</v>
      </c>
      <c r="M24" s="9">
        <f t="shared" si="6"/>
        <v>16.5</v>
      </c>
    </row>
    <row r="25">
      <c r="A25" s="5" t="s">
        <v>17</v>
      </c>
      <c r="B25" s="5" t="s">
        <v>18</v>
      </c>
      <c r="C25" s="5" t="s">
        <v>65</v>
      </c>
      <c r="D25" s="5" t="s">
        <v>60</v>
      </c>
      <c r="E25" s="12" t="s">
        <v>71</v>
      </c>
      <c r="F25" s="7"/>
      <c r="G25" s="8">
        <v>350.0</v>
      </c>
      <c r="H25" s="9">
        <f t="shared" si="1"/>
        <v>525</v>
      </c>
      <c r="I25" s="9">
        <f t="shared" si="2"/>
        <v>455</v>
      </c>
      <c r="J25" s="9">
        <f t="shared" si="3"/>
        <v>455</v>
      </c>
      <c r="K25" s="9">
        <f t="shared" si="4"/>
        <v>420</v>
      </c>
      <c r="L25" s="9">
        <f t="shared" si="5"/>
        <v>402.5</v>
      </c>
      <c r="M25" s="9">
        <f t="shared" si="6"/>
        <v>385</v>
      </c>
    </row>
  </sheetData>
  <autoFilter ref="$A$2:$M$25"/>
  <mergeCells count="4">
    <mergeCell ref="A1:G1"/>
    <mergeCell ref="H1:I1"/>
    <mergeCell ref="J1:K1"/>
    <mergeCell ref="L1:M1"/>
  </mergeCells>
  <drawing r:id="rId1"/>
</worksheet>
</file>