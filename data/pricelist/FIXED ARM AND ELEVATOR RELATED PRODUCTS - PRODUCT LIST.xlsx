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" sheetId="1" r:id="rId5"/>
  </sheets>
  <definedNames>
    <definedName hidden="1" localSheetId="0" name="_xlnm._FilterDatabase">PRICELIST!$A$2:$N$126</definedName>
  </definedNames>
  <calcPr/>
</workbook>
</file>

<file path=xl/sharedStrings.xml><?xml version="1.0" encoding="utf-8"?>
<sst xmlns="http://schemas.openxmlformats.org/spreadsheetml/2006/main" count="744" uniqueCount="301">
  <si>
    <t>PRODUCT INFORMATION</t>
  </si>
  <si>
    <t>SRP (End-User)</t>
  </si>
  <si>
    <t>DEALER's PRICE</t>
  </si>
  <si>
    <t>CONTRACTOR's PRICE</t>
  </si>
  <si>
    <t>BRAND</t>
  </si>
  <si>
    <t>CATEGORY</t>
  </si>
  <si>
    <t>SUB-CATEGORY</t>
  </si>
  <si>
    <t>TYPE</t>
  </si>
  <si>
    <t>MODEL</t>
  </si>
  <si>
    <t>ITEM DESCRIPTION</t>
  </si>
  <si>
    <t>OTHER DESCRIPTION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</si>
  <si>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</si>
  <si>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</si>
  <si>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</si>
  <si>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</si>
  <si>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</si>
  <si>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</si>
  <si>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</si>
  <si>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ZKTECO</t>
  </si>
  <si>
    <t>ELEVATOR</t>
  </si>
  <si>
    <t>Networked Control Panel</t>
  </si>
  <si>
    <t>None</t>
  </si>
  <si>
    <t>C5S110</t>
  </si>
  <si>
    <t>One-door Two-way ControllerCPU:1.2GHzRAM:128M bitsFlash Memory:256M bits</t>
  </si>
  <si>
    <t>C5S120</t>
  </si>
  <si>
    <t>Two-door Two-way ControllerCPU:1.2GHzRAM:128M bitsFlash Memory:256M bits</t>
  </si>
  <si>
    <t>C5S140</t>
  </si>
  <si>
    <t>Four-door Two-way/Two-door Two-way Controller(USing RS485 reader can support Four-door Four-way)CPU:1.2GHzRAM:128M bitsFlash Memory:256M bits</t>
  </si>
  <si>
    <t>C5S110 Package A</t>
  </si>
  <si>
    <t>A package of C5S110 including Metal box and PSU(Power Supply Unit)</t>
  </si>
  <si>
    <t>C5S120 Package A</t>
  </si>
  <si>
    <t>A package of C5S120 including Metal box and PSU(Power Supply Unit)</t>
  </si>
  <si>
    <t>C5S140 Package A</t>
  </si>
  <si>
    <t>A package of C5S140 including Metal box and PSU(Power Supply Unit)</t>
  </si>
  <si>
    <t>LPRS2000</t>
  </si>
  <si>
    <t>Reader</t>
  </si>
  <si>
    <t>RS485 Fingerprint Reader</t>
  </si>
  <si>
    <t>FR1500</t>
  </si>
  <si>
    <t>RS485 Fingerprint Reader, Single gang.Standard: ID card.Optional: Mifare, HID, iclass card.</t>
  </si>
  <si>
    <t>FR1500-WP</t>
  </si>
  <si>
    <t>RS485 Fingerprint Reader, Single gang, IP65 water proof.Standard: ID card, BioID Sensor.Optional: Mifare, HID, iclass card.</t>
  </si>
  <si>
    <t>Access Control Products</t>
  </si>
  <si>
    <t>RFID Reader</t>
  </si>
  <si>
    <t>UHF1-5E/UHF1-5F/UHF2-5E/UHF2-5F</t>
  </si>
  <si>
    <t>* 6 meters Wiegand reader* Wiegand26/34 250*250*72mm * Line Lenth:1.5m+USB)</t>
  </si>
  <si>
    <t>1: means encrypted2: means unencryptedE: means EU standard (865MHz-868MHz)F: means American standard (902MHz-928MHz)</t>
  </si>
  <si>
    <t>UHF1-10E/UHF1-10F/UHF2-10E/UHF2-10F</t>
  </si>
  <si>
    <t>* 12 meters Wiegand reader* Wiegand26/34 445*445*90mm * Line Lenth:1.5m+USB)</t>
  </si>
  <si>
    <t>UHF1-6</t>
  </si>
  <si>
    <t>6 meters Wiegand reader</t>
  </si>
  <si>
    <t>UHF1-12</t>
  </si>
  <si>
    <t>12 meters Wiegand reader</t>
  </si>
  <si>
    <t>Standalone device</t>
  </si>
  <si>
    <t>UHF reader</t>
  </si>
  <si>
    <t>UHF 6E Pro</t>
  </si>
  <si>
    <t>*Ultra-long range RFID UHF readerReading distance:0-18m(Recommend distance:0-12m)</t>
  </si>
  <si>
    <t>Stronger penetration ability for general metal explosion-proof film;ZKTeco Logo；Black；Unencrypted；Adopt Impinj Indy R2000 chip；865MHz ~868MHz</t>
  </si>
  <si>
    <t>UHF 6F Pro</t>
  </si>
  <si>
    <t>Base on UHF 6E pro specifications, only frequecey different920MHz ~ 928MHz</t>
  </si>
  <si>
    <t>UR10R-1F</t>
  </si>
  <si>
    <t>UHF card issuerFrequency: 902-928MHz( American standard)Read only, EncryptedZKTeco Logo</t>
  </si>
  <si>
    <t>UR10</t>
  </si>
  <si>
    <t>USB card issuer(107mm×107mm×23mm)UHF 915MHZ card issuer</t>
  </si>
  <si>
    <t>KR702E/</t>
  </si>
  <si>
    <t>KR702E (Wiegand 26) / KR702M (Wiegand 34)</t>
  </si>
  <si>
    <t>IP65 waterproof (No Certification)Touch KeypadCE FCC(KR702E)</t>
  </si>
  <si>
    <t>KR702M</t>
  </si>
  <si>
    <t>Fingerprint A&amp;C Device</t>
  </si>
  <si>
    <t>X8-BT</t>
  </si>
  <si>
    <t>Simple access control function, Bluetooth communication, touch keypad, door bell.</t>
  </si>
  <si>
    <t>Fingerprint Capacity: 500 Templates (SilkID Sensor)Card Capacity: 500Transaction Capacity: N/AAlgorithm Version: ZKFinger VX10.0Access Control Interface: 3rd Party Electric Lock, Door Sensor, Exit Button, Alarm, Doorbell.Standard Function: Simple access control function, ID cardOptional Function: Mifare CardAPP: ZKBioBT</t>
  </si>
  <si>
    <t>X8s</t>
  </si>
  <si>
    <t>Simple access control function, no communication, touch keypad, door bell</t>
  </si>
  <si>
    <t>2.4-inch TFT color screen</t>
  </si>
  <si>
    <t>F21</t>
  </si>
  <si>
    <t>2.4-inch TFT color screen, keypad, 3000FP, 100000 record, ZMM220 coreboardSilkID fingerprint reader with living object detecting functionMultiple Verification Modes: Multi-verification methods (card is optional) providing user various choices</t>
  </si>
  <si>
    <t>Full Access Control Features: Anti-passback, access control interface for 3rd party electric lock, door sensor, exit button, alarm and doorbellCamera Function: record photo, photo ID (optional)Built-in auxiliary input with enhanced flexibility to link with wired detector or emergency switch</t>
  </si>
  <si>
    <t>Standalone Device</t>
  </si>
  <si>
    <t>2.4" Color Display</t>
  </si>
  <si>
    <t>F22</t>
  </si>
  <si>
    <t>Fingerprint Capacity: 3000Card Capacity(Optional): 5000Record Capacity: 30, 000 Communication: Wi-Fi, TCP/IP, USB host, RS232/485</t>
  </si>
  <si>
    <t>Standard Functions: BioID, DST, Require Query, 14 Digit User ID, Automatic Status Switch, Schedule-bell, T9 Input, Advance access control function, Anti-passback, External RS485 fingerprint reader , Touch KeypadOptional: Printer, ADMS, ID, Mifare card.</t>
  </si>
  <si>
    <t>Fingerprint and finger vein</t>
  </si>
  <si>
    <t>FV350</t>
  </si>
  <si>
    <t>2.8-inch touch screen Fingerprint Capacity: 1,000Finger Vein Capacity:1,000Card Capacity(Optional):2,000 Log Capacity: 100,000 Communication:TCP/IP,RS485,USB Host</t>
  </si>
  <si>
    <t>Access Control Interface for electric lock, door sensor,alarm,exit button and door bell. Wiegand input&amp;output 1 ea Aux. input for linkage functionThe power supply included, DC 12V 3A.</t>
  </si>
  <si>
    <t>Fingerprint</t>
  </si>
  <si>
    <t>SF100</t>
  </si>
  <si>
    <t>2.4-inch TFT-LCD screen Fingerprint Capacity: 1,500 Log Capacity: 80,000 Communication:TCP/IP,RS485,USB Host</t>
  </si>
  <si>
    <t>Access Control Interface for electric lock, door sensor,alarm,exit button and door bell. Wiegand input&amp;output 1 ea Aux. input for linkage function</t>
  </si>
  <si>
    <t>SF200F7-C</t>
  </si>
  <si>
    <t>2-inch TFT-LCD screenFingerprint Capacity: 1,500Log Capacity: 80,000 Communication:TCP/IP,RS485</t>
  </si>
  <si>
    <t>Access Control Interface for electric lock,door sensor,alarm,exit button and door bell.Wiegand output (optional wiegand input)1 ea Aux. input for linkage function</t>
  </si>
  <si>
    <t>SF300</t>
  </si>
  <si>
    <t>2.8-inch Color Display and Touch ScreenFingerprint Capacity: 1,500Log Capacity: 80,000Communication:TCP/IP,RS485,USB Host</t>
  </si>
  <si>
    <t>Access Control Interface for electric lock,door sensor,alarm,exit button and door bell.Wiegand input&amp;output1 ea Aux. input for linkage function</t>
  </si>
  <si>
    <t>F16</t>
  </si>
  <si>
    <t>PULL SDK firmware IP65 waterproof and dustproof</t>
  </si>
  <si>
    <t>RFID</t>
  </si>
  <si>
    <t>SC700</t>
  </si>
  <si>
    <t>PULL SDK firmware3" TFT Color Display and Touch ScreenRFID Identification</t>
  </si>
  <si>
    <t>Multi-Biometric</t>
  </si>
  <si>
    <t>MultiBIO700</t>
  </si>
  <si>
    <t>Multi-Biometric Identification</t>
  </si>
  <si>
    <t>FV18</t>
  </si>
  <si>
    <t>2.4-inch color screenFingerprint Capacity: 1, 000Finger Vein Capacity: 1, 000Card Capacity(Optional): 5, 000 (optional)Log Capacity: 100, 000</t>
  </si>
  <si>
    <t>Communication: TCP/IP, USB Host, WIFI(Optional) Access Control Interface for electric lock, door sensor, alarm, exit button and door bell.Wiegand input&amp;output , SRB</t>
  </si>
  <si>
    <t>MB20</t>
  </si>
  <si>
    <t>Face Capacity: 200Fingerprint Capacity: 500ID Card Capacity: 1000 (Optional)Record Capacity: 50,000Communication: TCP/IP, USB-host</t>
  </si>
  <si>
    <t>Standard Functions: Automatic Status Switch, Self-Service Query, DST, T9 Input, 9 Digit User ID, Scheduled Bell, Photo ID, Lock, sensor, Exit button.Optional: ID/Mifare Cards</t>
  </si>
  <si>
    <t>MultiBio800-H</t>
  </si>
  <si>
    <t xml:space="preserve">Display: 2.8 inch TFT LCD Color Screen (keypad) </t>
  </si>
  <si>
    <t>Face A&amp;C Device</t>
  </si>
  <si>
    <t>MultiBio 800</t>
  </si>
  <si>
    <t>Display: 2.8 inch TFT LCD Color Screen (keypad)</t>
  </si>
  <si>
    <t>F19</t>
  </si>
  <si>
    <t>2.4 inch TFT-LCD screenFingerprint IdentificationFingerprint Capacity: 3,000User/Card Capacity (Optional): 30,000Log Capacity: 100,000</t>
  </si>
  <si>
    <t>Communication:TCP/IP,RS232/485,USB HostAccess Control Interface for electric lock,door sensor,alarm,exit button and door bell.Wiegand input&amp;output</t>
  </si>
  <si>
    <t>MA500</t>
  </si>
  <si>
    <t>Fingerprint and RFID IdentificationPULL SDK firmware Metal Casing, IP65 waterproof and dustproof</t>
  </si>
  <si>
    <t>Fingerprint Capacity: 3,000ID card Capacity: 30,000Log Capacity: 100,000Communication: TCP/IP, RS485Access Control Interface for electric lock,door sensor,alarm,exit button.Wiegand input&amp;output</t>
  </si>
  <si>
    <t>MA300-BT</t>
  </si>
  <si>
    <t>Fingerprint and RFID Identification, Metal Casing, IP65 waterproof and dustproof.</t>
  </si>
  <si>
    <t>MA300</t>
  </si>
  <si>
    <t>Fingerprint and RFID IdentificationMetal Casing, IP65 waterproof and dustproof</t>
  </si>
  <si>
    <t>Fingerprint Capacity: 1,500ID card Capacity: 10,000Log Capacity: 100,000Communication: TCP/IP, RS485, USB HostAccess Control Interface for electric lock,door sensor,alarm,exit button.Wiegand Signal: input&amp;output</t>
  </si>
  <si>
    <t>MKW-V/ID</t>
  </si>
  <si>
    <t>MKW-H/ID</t>
  </si>
  <si>
    <t>SF101</t>
  </si>
  <si>
    <t>Metal casingFingerprint IdentificationFingerprint Capacity: 200ID Card Capacity: 100Log Capacity: 30000Communication: RS232/485, USB-client</t>
  </si>
  <si>
    <t>Access Control Interface for electric lock,door sensor,alarm,exit button and door bell.Wiegand output</t>
  </si>
  <si>
    <t>SCR100</t>
  </si>
  <si>
    <t>RFID IdentificationID card Capacity: 30,000Log Capacity: 50,000Communication: TCP/IP, RS232/485, USB Host</t>
  </si>
  <si>
    <t>Access Control Interface for electric lock,door sensor,alarm,exit button.Wiegand input&amp;output</t>
  </si>
  <si>
    <t>SA32</t>
  </si>
  <si>
    <t>RFID and password IdentificationUser Capacity: 1000No CommunicationAccess Control Interface for electric lock,exit button and door bell.</t>
  </si>
  <si>
    <t>SA33</t>
  </si>
  <si>
    <t>RFID and password IdentificationTouch keypadUser Capacity: 1000No CommunicationAccess Control Interface for electric lock,door sensor,alarm,exit button.Wiegand input&amp;output</t>
  </si>
  <si>
    <t>SA521-E</t>
  </si>
  <si>
    <t>RFID and password IdentificationUser Capacity: 2000No CommunicationAccess Control Interface for electric lock,door sensor,alarm,exit button.Wiegand input&amp;output</t>
  </si>
  <si>
    <t>SC105/ID</t>
  </si>
  <si>
    <t>RFID IdentificationID card Capacity: 30,000Log Capacity: 80,000Communication: TCP/IP, RS232/485, USB Host</t>
  </si>
  <si>
    <t>SC405/ID</t>
  </si>
  <si>
    <t>SF400</t>
  </si>
  <si>
    <t>Mini Controller</t>
  </si>
  <si>
    <t>SRB</t>
  </si>
  <si>
    <t>Security Relay Box (SRB)An external relay box to control door lock, exit button and connect with standalone devices by wiegand to enhance higher security.</t>
  </si>
  <si>
    <t>C2 Series</t>
  </si>
  <si>
    <t>C2-260</t>
  </si>
  <si>
    <t>Two-door Two-way ControllerCPU:32-bit 1.0GHzRAM:64M</t>
  </si>
  <si>
    <t>C3 Series Panel</t>
  </si>
  <si>
    <t>C3-100</t>
  </si>
  <si>
    <t>One-door Two-way ControllerCPU:32bit MIPS CPURAM:32M bitsFlash Memory:256M bits</t>
  </si>
  <si>
    <t>C3-200</t>
  </si>
  <si>
    <t>Two-door Two-way ControllerCPU:32bit MIPS CPURAM:32M bitsFlash Memory:256M bits</t>
  </si>
  <si>
    <t>C3-400</t>
  </si>
  <si>
    <t>Four-door One-way ControllerCPU:32bit MIPS CPURAM:32M bitsFlash Memory:256M bits</t>
  </si>
  <si>
    <t>inBio Series</t>
  </si>
  <si>
    <t>inBio160</t>
  </si>
  <si>
    <t>inBio260</t>
  </si>
  <si>
    <t>User:30,000Event Buffer: 100,000Reader Port: 4ea wiegand and RS485 connect 4 FP readerCommunication: RS485, TCP/IP</t>
  </si>
  <si>
    <t>inBio460</t>
  </si>
  <si>
    <t>Four-door Two-way Controller CPU:32bit MIPS CPURAM:32M bitsFlash Memory:256M bits</t>
  </si>
  <si>
    <t>User:30,000Event Buffer: 100,000Reader Port: 4ea wiegand and RS485 connect 8 FP readersCommunication: RS485, TCP/IP</t>
  </si>
  <si>
    <t>C3 Series Package</t>
  </si>
  <si>
    <t>C3-100 Package B</t>
  </si>
  <si>
    <t>A package of C3-100 including Metal box and PSU(Power Supply Unit)</t>
  </si>
  <si>
    <t>C3-200 Package B</t>
  </si>
  <si>
    <t>A package of C3-200 including Metal box and PSU(Power Supply Unit)</t>
  </si>
  <si>
    <t>C3-400 Package B</t>
  </si>
  <si>
    <t>package of C3-400 including Metal box and PSU(Power Supply Unit)</t>
  </si>
  <si>
    <t>C3-400 Package C</t>
  </si>
  <si>
    <t>A package of C3-400 including Metal box and two power supply( 1 ZKPSM030B, 1 ZKPSM050B)</t>
  </si>
  <si>
    <t>inBio Series Package</t>
  </si>
  <si>
    <t>inBIO160 Package B</t>
  </si>
  <si>
    <t>A package of inBIO160 including Metal box and PSU(Power Supply Unit)</t>
  </si>
  <si>
    <t>inBIO260 Package B</t>
  </si>
  <si>
    <t>A package of inBIO260 including Metal box and PSU(Power Supply Unit)</t>
  </si>
  <si>
    <t>inBIO460 Package B</t>
  </si>
  <si>
    <t>A package of inBIO460 including Metal box and PSU(Power Supply Unit)</t>
  </si>
  <si>
    <t>Domo Kit</t>
  </si>
  <si>
    <t>C3-400 Demo Kit</t>
  </si>
  <si>
    <t>C3-400 Demo Kit One C3-400, Two RFID wiegand reader, Power supply, etc.</t>
  </si>
  <si>
    <t>inBIO460 Demo Kit</t>
  </si>
  <si>
    <t>inBIO460 Demo Kit
One inBIO460, Two FR1200, Power supply, etc.</t>
  </si>
  <si>
    <t>Elevator Control System</t>
  </si>
  <si>
    <t>Elevator Control</t>
  </si>
  <si>
    <t>EC10</t>
  </si>
  <si>
    <t>Floor Button Control Relay: 10
Fingerprint: 3000
Card:30,000
Event Capacity:100,000;
Communication to PC: TCP/IP, RS485
Communication to EX16: RS485
Number of supported EX16: 3</t>
  </si>
  <si>
    <t>EC10 Package B</t>
  </si>
  <si>
    <t>A package of EC10 including Metal box and PSU(Power Supply Unit)</t>
  </si>
  <si>
    <t>EX16</t>
  </si>
  <si>
    <t>Floor Button Control Relay: 16
Communication to EC10: RS485
RS485 address: Set by DIP switch
Power Supply: 12V DC 1A</t>
  </si>
  <si>
    <t>EX16 Package A</t>
  </si>
  <si>
    <t>A package including 1 piece EX16, power supply and metal box</t>
  </si>
  <si>
    <t>EX16 Package B</t>
  </si>
  <si>
    <t>A package including 2 pieces EX16, power supply and metal box</t>
  </si>
  <si>
    <t>EX16 Package C</t>
  </si>
  <si>
    <t>A package including 3 pieces EX16, power supply and metal box</t>
  </si>
  <si>
    <t>Elevator Control Demo Kit</t>
  </si>
  <si>
    <t>Elevator Demo Kit including One EC10, One EX16, One FR1200, Power
supply, etc.</t>
  </si>
  <si>
    <t>FR1200</t>
  </si>
  <si>
    <t>Read Fingerprint and Proximity card
Communication: RS485 with inBIO controller or Fingerprint devices
DIP switch for RS485 address</t>
  </si>
  <si>
    <t>FR1300</t>
  </si>
  <si>
    <t>Read Fingerprint, password and Proximity card
Communication: RS485 with inBIO controller or Fingerprint devices
DIP switch for RS485 address</t>
  </si>
  <si>
    <t>KR502E-RS</t>
  </si>
  <si>
    <t>Read 125KHz Proximity ID card number or PIN
Communication: RS485
Dimension: 86*86*22.4mm</t>
  </si>
  <si>
    <t>RS485 Card Reader</t>
  </si>
  <si>
    <t>KR502M-RS</t>
  </si>
  <si>
    <t>Read 13.56MHz Mifare card number or PIN
Communication: RS485 Dimension:
86*86*22.4mm</t>
  </si>
  <si>
    <t>KR503E-RS</t>
  </si>
  <si>
    <t>Read 125KHz Proximity ID card number
Communication: RS485
Dimension: 75*116*16mm</t>
  </si>
  <si>
    <t>KR503M-RS</t>
  </si>
  <si>
    <t>Read 13.56MHz Mifare card number
Communication: RS485
Dimension: 75*116*16mm</t>
  </si>
  <si>
    <t>Wiegand RFID Reader</t>
  </si>
  <si>
    <t>KR1000</t>
  </si>
  <si>
    <t>Read 125KHz Proximity ID card number
Wiegand output 26bit
Reader range: 50cm to 90 cm depends on different cards
Dimension: 233*238*35mm</t>
  </si>
  <si>
    <t>KR500E</t>
  </si>
  <si>
    <t>Read 125KHz Proximity ID card number Wiegand
output 26bit
Dimension: 44*78*16mm</t>
  </si>
  <si>
    <t>KR500M</t>
  </si>
  <si>
    <t>Read 13.56MHz Mifare card number
Wiegand output 34bit
Dimension: 44*78*16mm</t>
  </si>
  <si>
    <t>KR501E</t>
  </si>
  <si>
    <t>Read 125KHz Proximity ID card number
Wiegand output 26bit
Dimension: 86*86*16.8mm</t>
  </si>
  <si>
    <t>KR501M</t>
  </si>
  <si>
    <t>Read 13.56MHz Mifare card number
Wiegand output 34bit
Dimension: 86*86*16.8mm</t>
  </si>
  <si>
    <t>KR502H</t>
  </si>
  <si>
    <t>Supported card types: HID 125 kHz &amp; ID Card.
Mounting: Metal or plastic US single-gang wall box, as well as at
surfaces.
LED indicator: red, green, amber and "o" (represent 4 states).</t>
  </si>
  <si>
    <t>KR502E</t>
  </si>
  <si>
    <t>Read 125KHz Proximity ID card number or PIN
Wiegand output 26bit
Dimension: 86*86*22.4mm</t>
  </si>
  <si>
    <t>KR502M</t>
  </si>
  <si>
    <t>Read 13.56MHz Mifare card number or PIN
Wiegand output 34bit
Dimension: 86*86*22.4mm</t>
  </si>
  <si>
    <t>KR503E</t>
  </si>
  <si>
    <t>Read 125KHz Proximity ID card number
Wiegand output 26bit
Dimension: 75*116*16mm</t>
  </si>
  <si>
    <t>KR503M</t>
  </si>
  <si>
    <t>Read 13.56MHz Mifare card number
Wiegand output 34bit
Dimension: 75*116*16mm</t>
  </si>
  <si>
    <t>KR600E</t>
  </si>
  <si>
    <t>KR600M</t>
  </si>
  <si>
    <t>KR601E</t>
  </si>
  <si>
    <t>Read 125KHz Proximity ID card number
Wiegand output 26bit
Dimension: 86*86*16mm</t>
  </si>
  <si>
    <t>KR601M</t>
  </si>
  <si>
    <t>Read 13.56MHz Mifare card number
Wiegand output 34bit
Dimension: 86*86*16mm</t>
  </si>
  <si>
    <t>KR602E</t>
  </si>
  <si>
    <t>KR602M</t>
  </si>
  <si>
    <t>Read 13.56MHz Mifare card number or PIN
Wiegand output 34bit
Dimension: 86*86*20mm</t>
  </si>
  <si>
    <t>KR100E</t>
  </si>
  <si>
    <t>Read 125KHz Proximity ID card number
Wiegand output 26bit
Dimension: 116*75*17.3mm</t>
  </si>
  <si>
    <t>KR100M</t>
  </si>
  <si>
    <t>Read 13.56MHz Mifare card number
Wiegand output 34bit
Dimension: 116*75*17.3mm</t>
  </si>
  <si>
    <t>KR101E</t>
  </si>
  <si>
    <t>Read 125KHz Proximity ID card number
Wiegand output 26bit
Dimension: 77.5*42.8*16.5mm</t>
  </si>
  <si>
    <t>KR101M</t>
  </si>
  <si>
    <t>Read 13.56MHz Mifare card number
Wiegand output 34bit
Dimension: 77.5*42.8*16.5mm</t>
  </si>
  <si>
    <t>KR102E</t>
  </si>
  <si>
    <t>Read 125KHz Proximity ID card number or PIN
Wiegand output 26bit
Dimension: 86*86*16.3mm</t>
  </si>
  <si>
    <t>KR102M</t>
  </si>
  <si>
    <t>Read 13.56MHz Mifare card number or PIN
Wiegand output 34bit
Dimension: 86*86*16.3mm</t>
  </si>
  <si>
    <t>KR200E</t>
  </si>
  <si>
    <t>Read 125KHz Proximity ID card number Wiegand output 26bit Dimension: 86*86*16.8mm</t>
  </si>
  <si>
    <t>KR200M</t>
  </si>
  <si>
    <t>Read 13.56MHz Mifare card numberWiegand output 34bitDimension: 86*86*16.8mm</t>
  </si>
  <si>
    <t>KR201E</t>
  </si>
  <si>
    <t>Read 125KHz Proximity ID card numberWiegand output 26bitDimension: 84.5*44*16.8mm</t>
  </si>
  <si>
    <t>KR201M</t>
  </si>
  <si>
    <t>Read 13.56MHz Mifare card numberWiegand output 34bitDimension: 84.5*44*16.8mm</t>
  </si>
  <si>
    <t>KR202E</t>
  </si>
  <si>
    <t>Read 125KHz Proximity ID card number or PINWiegand output 26bitDimension: 86*86*22.4mm</t>
  </si>
  <si>
    <t>KR202M</t>
  </si>
  <si>
    <t>Read 13.56MHz Mifare card number or PIN Wiegand output 34bit Dimension: 86*86*22.4mm</t>
  </si>
  <si>
    <t>PA10</t>
  </si>
  <si>
    <t>Fingerprint Capacity: 3,000Palm: 800Card Capacity(Optional): 3,000Record Capacity: 150,000</t>
  </si>
  <si>
    <t>Communication: TCP/IP, USB host, RS485, WIFI(Optional) Standard Functions: BioID, DST, Require Query, Automatic Status Switch, Schedule-bell, T9 Input, Advance access control function, Anti-passback, External RS485 fingerprint reader ,</t>
  </si>
  <si>
    <t>SF400 KIT /EL</t>
  </si>
  <si>
    <t>1*SF400/ID1*AL100/electronic lock1*PS902: Power Supply1*K2: non-touch exit button10pcs ID cardZKTeco brand</t>
  </si>
  <si>
    <t>SF400 KIT /ML</t>
  </si>
  <si>
    <t>1*SF400/ID1*AL280/magnetic lock1*PS902: Power Supply1*K2: non-touch exit button10pcs ID cardZKTeco brand</t>
  </si>
  <si>
    <t>F18</t>
  </si>
  <si>
    <t>2.4 inch TFT-LCD screenFingerprint IdentificationFingerprint Capacity: 3, 000Card Capacity(Optional): 5000Log Capacity: 30, 000</t>
  </si>
  <si>
    <t>Communication:TCP/IP, RS232/485, USB HostAccess Control Interface for electric lock, door sensor, alarm, exit button and door bell</t>
  </si>
  <si>
    <t>Readers</t>
  </si>
  <si>
    <t>MR100</t>
  </si>
  <si>
    <t>Metal case,antil-vandal;Waterproof,conforms to IP66;Card Type:125K EM Card;Wiegand 26~37 bits output(default:26bits);External LEDD &amp;BuZZer Control;</t>
  </si>
  <si>
    <t>MR101</t>
  </si>
  <si>
    <t>FIXED ARM</t>
  </si>
  <si>
    <t>not available fixed arm</t>
  </si>
  <si>
    <t>TS1000S</t>
  </si>
  <si>
    <t>Standard(Fixed Arm)（contain Driver control board，power supply）</t>
  </si>
  <si>
    <t>TS1011S</t>
  </si>
  <si>
    <t>RFID(Fixed Arm)（Comes with 2 RFID card readers and 1 C3-200）</t>
  </si>
  <si>
    <t>TS1022S</t>
  </si>
  <si>
    <t>RFID+FP(Fixed Arm)（Comes with 2 FR1200 and 1 inBIO260 pro）</t>
  </si>
  <si>
    <t>TS2000S</t>
  </si>
  <si>
    <t>TS2011S</t>
  </si>
  <si>
    <t>TS2022S</t>
  </si>
  <si>
    <t>TS2100S</t>
  </si>
  <si>
    <t>TS2111S</t>
  </si>
  <si>
    <t>TS2122S</t>
  </si>
  <si>
    <t>TS2033S</t>
  </si>
  <si>
    <t>Face (Comes with Turnstile and Face reader installation module, without face device)</t>
  </si>
  <si>
    <t>TS2133S</t>
  </si>
  <si>
    <t>TS1000 PRO</t>
  </si>
  <si>
    <t>Standard (contain Driver control board, AC Adapter)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</si>
</sst>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₱]#,##0.00"/>
    <numFmt numFmtId="165" formatCode="_(* #,##0.00_);_(* \(#,##0.00\);_(* &quot;-&quot;??_);_(@_)"/>
  </numFmts>
  <fonts count="14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sz val="11.0"/>
      <color theme="1"/>
      <name val="Calibri"/>
    </font>
    <font>
      <sz val="9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7.0"/>
      <color theme="1"/>
      <name val="Arial Narrow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5" numFmtId="164" xfId="0" applyAlignment="1" applyBorder="1" applyFont="1" applyNumberFormat="1">
      <alignment horizontal="right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0" fontId="7" numFmtId="165" xfId="0" applyAlignment="1" applyBorder="1" applyFont="1" applyNumberFormat="1">
      <alignment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12" numFmtId="165" xfId="0" applyAlignment="1" applyBorder="1" applyFont="1" applyNumberFormat="1">
      <alignment shrinkToFit="0" vertical="center" wrapText="1"/>
    </xf>
    <xf borderId="4" fillId="0" fontId="12" numFmtId="165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t="45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/>
      <c r="K1" s="4" t="s">
        <v>2</v>
      </c>
      <c r="L1" s="3"/>
      <c r="M1" s="4" t="s">
        <v>3</v>
      </c>
      <c r="N1" s="3"/>
    </row>
    <row r="2">
      <c r="A2" s="5" t="s">
        <v>4</v>
      </c>
      <c r="B2" s="6" t="s">
        <v>5</v>
      </c>
      <c r="C2" s="6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</row>
    <row r="3">
      <c r="A3" s="8" t="s">
        <v>18</v>
      </c>
      <c r="B3" s="9" t="s">
        <v>19</v>
      </c>
      <c r="C3" s="10" t="s">
        <v>20</v>
      </c>
      <c r="D3" s="11" t="s">
        <v>21</v>
      </c>
      <c r="E3" s="12" t="s">
        <v>22</v>
      </c>
      <c r="F3" s="13" t="s">
        <v>23</v>
      </c>
      <c r="G3" s="12"/>
      <c r="H3" s="14">
        <v>7416.0</v>
      </c>
      <c r="I3" s="15">
        <f t="shared" ref="I3:I126" si="1">H3*1.5</f>
        <v>11124</v>
      </c>
      <c r="J3" s="15">
        <f t="shared" ref="J3:J126" si="2">H3*1.3</f>
        <v>9640.8</v>
      </c>
      <c r="K3" s="15">
        <f t="shared" ref="K3:K126" si="3">H3*1.3</f>
        <v>9640.8</v>
      </c>
      <c r="L3" s="15">
        <f t="shared" ref="L3:L126" si="4">H3*1.2</f>
        <v>8899.2</v>
      </c>
      <c r="M3" s="15">
        <f t="shared" ref="M3:M126" si="5">H3*1.15</f>
        <v>8528.4</v>
      </c>
      <c r="N3" s="15">
        <f t="shared" ref="N3:N126" si="6">I3*1.1</f>
        <v>12236.4</v>
      </c>
    </row>
    <row r="4">
      <c r="A4" s="8" t="s">
        <v>18</v>
      </c>
      <c r="B4" s="9" t="s">
        <v>19</v>
      </c>
      <c r="C4" s="10" t="s">
        <v>20</v>
      </c>
      <c r="D4" s="11" t="s">
        <v>21</v>
      </c>
      <c r="E4" s="12" t="s">
        <v>24</v>
      </c>
      <c r="F4" s="13" t="s">
        <v>25</v>
      </c>
      <c r="G4" s="12"/>
      <c r="H4" s="14">
        <v>9270.0</v>
      </c>
      <c r="I4" s="15">
        <f t="shared" si="1"/>
        <v>13905</v>
      </c>
      <c r="J4" s="15">
        <f t="shared" si="2"/>
        <v>12051</v>
      </c>
      <c r="K4" s="15">
        <f t="shared" si="3"/>
        <v>12051</v>
      </c>
      <c r="L4" s="15">
        <f t="shared" si="4"/>
        <v>11124</v>
      </c>
      <c r="M4" s="15">
        <f t="shared" si="5"/>
        <v>10660.5</v>
      </c>
      <c r="N4" s="15">
        <f t="shared" si="6"/>
        <v>15295.5</v>
      </c>
    </row>
    <row r="5">
      <c r="A5" s="8" t="s">
        <v>18</v>
      </c>
      <c r="B5" s="9" t="s">
        <v>19</v>
      </c>
      <c r="C5" s="10" t="s">
        <v>20</v>
      </c>
      <c r="D5" s="11" t="s">
        <v>21</v>
      </c>
      <c r="E5" s="12" t="s">
        <v>26</v>
      </c>
      <c r="F5" s="13" t="s">
        <v>27</v>
      </c>
      <c r="G5" s="12"/>
      <c r="H5" s="14">
        <v>11124.0</v>
      </c>
      <c r="I5" s="15">
        <f t="shared" si="1"/>
        <v>16686</v>
      </c>
      <c r="J5" s="15">
        <f t="shared" si="2"/>
        <v>14461.2</v>
      </c>
      <c r="K5" s="15">
        <f t="shared" si="3"/>
        <v>14461.2</v>
      </c>
      <c r="L5" s="15">
        <f t="shared" si="4"/>
        <v>13348.8</v>
      </c>
      <c r="M5" s="15">
        <f t="shared" si="5"/>
        <v>12792.6</v>
      </c>
      <c r="N5" s="15">
        <f t="shared" si="6"/>
        <v>18354.6</v>
      </c>
    </row>
    <row r="6">
      <c r="A6" s="8" t="s">
        <v>18</v>
      </c>
      <c r="B6" s="9" t="s">
        <v>19</v>
      </c>
      <c r="C6" s="10" t="s">
        <v>20</v>
      </c>
      <c r="D6" s="11" t="s">
        <v>21</v>
      </c>
      <c r="E6" s="12" t="s">
        <v>28</v>
      </c>
      <c r="F6" s="16" t="s">
        <v>29</v>
      </c>
      <c r="G6" s="12"/>
      <c r="H6" s="14">
        <v>11124.0</v>
      </c>
      <c r="I6" s="15">
        <f t="shared" si="1"/>
        <v>16686</v>
      </c>
      <c r="J6" s="15">
        <f t="shared" si="2"/>
        <v>14461.2</v>
      </c>
      <c r="K6" s="15">
        <f t="shared" si="3"/>
        <v>14461.2</v>
      </c>
      <c r="L6" s="15">
        <f t="shared" si="4"/>
        <v>13348.8</v>
      </c>
      <c r="M6" s="15">
        <f t="shared" si="5"/>
        <v>12792.6</v>
      </c>
      <c r="N6" s="15">
        <f t="shared" si="6"/>
        <v>18354.6</v>
      </c>
    </row>
    <row r="7">
      <c r="A7" s="8" t="s">
        <v>18</v>
      </c>
      <c r="B7" s="9" t="s">
        <v>19</v>
      </c>
      <c r="C7" s="10" t="s">
        <v>20</v>
      </c>
      <c r="D7" s="11" t="s">
        <v>21</v>
      </c>
      <c r="E7" s="12" t="s">
        <v>30</v>
      </c>
      <c r="F7" s="13" t="s">
        <v>31</v>
      </c>
      <c r="G7" s="17"/>
      <c r="H7" s="18">
        <v>12978.0</v>
      </c>
      <c r="I7" s="15">
        <f t="shared" si="1"/>
        <v>19467</v>
      </c>
      <c r="J7" s="15">
        <f t="shared" si="2"/>
        <v>16871.4</v>
      </c>
      <c r="K7" s="15">
        <f t="shared" si="3"/>
        <v>16871.4</v>
      </c>
      <c r="L7" s="15">
        <f t="shared" si="4"/>
        <v>15573.6</v>
      </c>
      <c r="M7" s="15">
        <f t="shared" si="5"/>
        <v>14924.7</v>
      </c>
      <c r="N7" s="15">
        <f t="shared" si="6"/>
        <v>21413.7</v>
      </c>
    </row>
    <row r="8">
      <c r="A8" s="8" t="s">
        <v>18</v>
      </c>
      <c r="B8" s="9" t="s">
        <v>19</v>
      </c>
      <c r="C8" s="10" t="s">
        <v>20</v>
      </c>
      <c r="D8" s="11" t="s">
        <v>21</v>
      </c>
      <c r="E8" s="12" t="s">
        <v>32</v>
      </c>
      <c r="F8" s="13" t="s">
        <v>33</v>
      </c>
      <c r="G8" s="17"/>
      <c r="H8" s="18">
        <v>13905.0</v>
      </c>
      <c r="I8" s="15">
        <f t="shared" si="1"/>
        <v>20857.5</v>
      </c>
      <c r="J8" s="15">
        <f t="shared" si="2"/>
        <v>18076.5</v>
      </c>
      <c r="K8" s="15">
        <f t="shared" si="3"/>
        <v>18076.5</v>
      </c>
      <c r="L8" s="15">
        <f t="shared" si="4"/>
        <v>16686</v>
      </c>
      <c r="M8" s="15">
        <f t="shared" si="5"/>
        <v>15990.75</v>
      </c>
      <c r="N8" s="15">
        <f t="shared" si="6"/>
        <v>22943.25</v>
      </c>
    </row>
    <row r="9">
      <c r="A9" s="8" t="s">
        <v>18</v>
      </c>
      <c r="B9" s="9" t="s">
        <v>19</v>
      </c>
      <c r="C9" s="12"/>
      <c r="D9" s="12"/>
      <c r="E9" s="12" t="s">
        <v>34</v>
      </c>
      <c r="F9" s="12"/>
      <c r="G9" s="17"/>
      <c r="H9" s="18">
        <v>159588.0</v>
      </c>
      <c r="I9" s="15">
        <f t="shared" si="1"/>
        <v>239382</v>
      </c>
      <c r="J9" s="15">
        <f t="shared" si="2"/>
        <v>207464.4</v>
      </c>
      <c r="K9" s="15">
        <f t="shared" si="3"/>
        <v>207464.4</v>
      </c>
      <c r="L9" s="15">
        <f t="shared" si="4"/>
        <v>191505.6</v>
      </c>
      <c r="M9" s="15">
        <f t="shared" si="5"/>
        <v>183526.2</v>
      </c>
      <c r="N9" s="15">
        <f t="shared" si="6"/>
        <v>263320.2</v>
      </c>
    </row>
    <row r="10">
      <c r="A10" s="8" t="s">
        <v>18</v>
      </c>
      <c r="B10" s="9" t="s">
        <v>19</v>
      </c>
      <c r="C10" s="10" t="s">
        <v>35</v>
      </c>
      <c r="D10" s="11" t="s">
        <v>36</v>
      </c>
      <c r="E10" s="12" t="s">
        <v>37</v>
      </c>
      <c r="F10" s="13" t="s">
        <v>38</v>
      </c>
      <c r="G10" s="17"/>
      <c r="H10" s="18" t="e">
        <v>#VALUE!</v>
      </c>
      <c r="I10" s="15" t="str">
        <f t="shared" si="1"/>
        <v>#VALUE!</v>
      </c>
      <c r="J10" s="15" t="str">
        <f t="shared" si="2"/>
        <v>#VALUE!</v>
      </c>
      <c r="K10" s="15" t="str">
        <f t="shared" si="3"/>
        <v>#VALUE!</v>
      </c>
      <c r="L10" s="15" t="str">
        <f t="shared" si="4"/>
        <v>#VALUE!</v>
      </c>
      <c r="M10" s="15" t="str">
        <f t="shared" si="5"/>
        <v>#VALUE!</v>
      </c>
      <c r="N10" s="15" t="str">
        <f t="shared" si="6"/>
        <v>#VALUE!</v>
      </c>
    </row>
    <row r="11">
      <c r="A11" s="8" t="s">
        <v>18</v>
      </c>
      <c r="B11" s="9" t="s">
        <v>19</v>
      </c>
      <c r="C11" s="10" t="s">
        <v>35</v>
      </c>
      <c r="D11" s="11" t="s">
        <v>36</v>
      </c>
      <c r="E11" s="12" t="s">
        <v>39</v>
      </c>
      <c r="F11" s="13" t="s">
        <v>40</v>
      </c>
      <c r="G11" s="17"/>
      <c r="H11" s="18">
        <v>3996.0</v>
      </c>
      <c r="I11" s="15">
        <f t="shared" si="1"/>
        <v>5994</v>
      </c>
      <c r="J11" s="15">
        <f t="shared" si="2"/>
        <v>5194.8</v>
      </c>
      <c r="K11" s="15">
        <f t="shared" si="3"/>
        <v>5194.8</v>
      </c>
      <c r="L11" s="15">
        <f t="shared" si="4"/>
        <v>4795.2</v>
      </c>
      <c r="M11" s="15">
        <f t="shared" si="5"/>
        <v>4595.4</v>
      </c>
      <c r="N11" s="15">
        <f t="shared" si="6"/>
        <v>6593.4</v>
      </c>
    </row>
    <row r="12">
      <c r="A12" s="8" t="s">
        <v>18</v>
      </c>
      <c r="B12" s="9" t="s">
        <v>19</v>
      </c>
      <c r="C12" s="10" t="s">
        <v>41</v>
      </c>
      <c r="D12" s="11" t="s">
        <v>42</v>
      </c>
      <c r="E12" s="19" t="s">
        <v>43</v>
      </c>
      <c r="F12" s="20" t="s">
        <v>44</v>
      </c>
      <c r="G12" s="21" t="s">
        <v>45</v>
      </c>
      <c r="H12" s="18">
        <v>14832.0</v>
      </c>
      <c r="I12" s="15">
        <f t="shared" si="1"/>
        <v>22248</v>
      </c>
      <c r="J12" s="15">
        <f t="shared" si="2"/>
        <v>19281.6</v>
      </c>
      <c r="K12" s="15">
        <f t="shared" si="3"/>
        <v>19281.6</v>
      </c>
      <c r="L12" s="15">
        <f t="shared" si="4"/>
        <v>17798.4</v>
      </c>
      <c r="M12" s="15">
        <f t="shared" si="5"/>
        <v>17056.8</v>
      </c>
      <c r="N12" s="15">
        <f t="shared" si="6"/>
        <v>24472.8</v>
      </c>
    </row>
    <row r="13">
      <c r="A13" s="8" t="s">
        <v>18</v>
      </c>
      <c r="B13" s="9" t="s">
        <v>19</v>
      </c>
      <c r="C13" s="10" t="s">
        <v>41</v>
      </c>
      <c r="D13" s="11" t="s">
        <v>42</v>
      </c>
      <c r="E13" s="12" t="s">
        <v>46</v>
      </c>
      <c r="F13" s="13" t="s">
        <v>47</v>
      </c>
      <c r="G13" s="21" t="s">
        <v>45</v>
      </c>
      <c r="H13" s="18">
        <v>16686.0</v>
      </c>
      <c r="I13" s="15">
        <f t="shared" si="1"/>
        <v>25029</v>
      </c>
      <c r="J13" s="15">
        <f t="shared" si="2"/>
        <v>21691.8</v>
      </c>
      <c r="K13" s="15">
        <f t="shared" si="3"/>
        <v>21691.8</v>
      </c>
      <c r="L13" s="15">
        <f t="shared" si="4"/>
        <v>20023.2</v>
      </c>
      <c r="M13" s="15">
        <f t="shared" si="5"/>
        <v>19188.9</v>
      </c>
      <c r="N13" s="15">
        <f t="shared" si="6"/>
        <v>27531.9</v>
      </c>
    </row>
    <row r="14">
      <c r="A14" s="8" t="s">
        <v>18</v>
      </c>
      <c r="B14" s="9" t="s">
        <v>19</v>
      </c>
      <c r="C14" s="10" t="s">
        <v>41</v>
      </c>
      <c r="D14" s="11" t="s">
        <v>42</v>
      </c>
      <c r="E14" s="12" t="s">
        <v>48</v>
      </c>
      <c r="F14" s="13" t="s">
        <v>49</v>
      </c>
      <c r="G14" s="17"/>
      <c r="H14" s="18">
        <v>20394.0</v>
      </c>
      <c r="I14" s="15">
        <f t="shared" si="1"/>
        <v>30591</v>
      </c>
      <c r="J14" s="15">
        <f t="shared" si="2"/>
        <v>26512.2</v>
      </c>
      <c r="K14" s="15">
        <f t="shared" si="3"/>
        <v>26512.2</v>
      </c>
      <c r="L14" s="15">
        <f t="shared" si="4"/>
        <v>24472.8</v>
      </c>
      <c r="M14" s="15">
        <f t="shared" si="5"/>
        <v>23453.1</v>
      </c>
      <c r="N14" s="15">
        <f t="shared" si="6"/>
        <v>33650.1</v>
      </c>
    </row>
    <row r="15">
      <c r="A15" s="8" t="s">
        <v>18</v>
      </c>
      <c r="B15" s="9" t="s">
        <v>19</v>
      </c>
      <c r="C15" s="10" t="s">
        <v>41</v>
      </c>
      <c r="D15" s="11" t="s">
        <v>42</v>
      </c>
      <c r="E15" s="12" t="s">
        <v>50</v>
      </c>
      <c r="F15" s="13" t="s">
        <v>51</v>
      </c>
      <c r="G15" s="17"/>
      <c r="H15" s="18">
        <v>22248.0</v>
      </c>
      <c r="I15" s="15">
        <f t="shared" si="1"/>
        <v>33372</v>
      </c>
      <c r="J15" s="15">
        <f t="shared" si="2"/>
        <v>28922.4</v>
      </c>
      <c r="K15" s="15">
        <f t="shared" si="3"/>
        <v>28922.4</v>
      </c>
      <c r="L15" s="15">
        <f t="shared" si="4"/>
        <v>26697.6</v>
      </c>
      <c r="M15" s="15">
        <f t="shared" si="5"/>
        <v>25585.2</v>
      </c>
      <c r="N15" s="15">
        <f t="shared" si="6"/>
        <v>36709.2</v>
      </c>
    </row>
    <row r="16">
      <c r="A16" s="8" t="s">
        <v>18</v>
      </c>
      <c r="B16" s="9" t="s">
        <v>19</v>
      </c>
      <c r="C16" s="10" t="s">
        <v>52</v>
      </c>
      <c r="D16" s="16" t="s">
        <v>53</v>
      </c>
      <c r="E16" s="12" t="s">
        <v>54</v>
      </c>
      <c r="F16" s="13" t="s">
        <v>55</v>
      </c>
      <c r="G16" s="21" t="s">
        <v>56</v>
      </c>
      <c r="H16" s="18">
        <v>29211.0</v>
      </c>
      <c r="I16" s="15">
        <f t="shared" si="1"/>
        <v>43816.5</v>
      </c>
      <c r="J16" s="15">
        <f t="shared" si="2"/>
        <v>37974.3</v>
      </c>
      <c r="K16" s="15">
        <f t="shared" si="3"/>
        <v>37974.3</v>
      </c>
      <c r="L16" s="15">
        <f t="shared" si="4"/>
        <v>35053.2</v>
      </c>
      <c r="M16" s="15">
        <f t="shared" si="5"/>
        <v>33592.65</v>
      </c>
      <c r="N16" s="15">
        <f t="shared" si="6"/>
        <v>48198.15</v>
      </c>
    </row>
    <row r="17">
      <c r="A17" s="8" t="s">
        <v>18</v>
      </c>
      <c r="B17" s="9" t="s">
        <v>19</v>
      </c>
      <c r="C17" s="10" t="s">
        <v>52</v>
      </c>
      <c r="D17" s="16" t="s">
        <v>53</v>
      </c>
      <c r="E17" s="12" t="s">
        <v>57</v>
      </c>
      <c r="F17" s="13" t="s">
        <v>58</v>
      </c>
      <c r="G17" s="17"/>
      <c r="H17" s="18">
        <v>29211.0</v>
      </c>
      <c r="I17" s="15">
        <f t="shared" si="1"/>
        <v>43816.5</v>
      </c>
      <c r="J17" s="15">
        <f t="shared" si="2"/>
        <v>37974.3</v>
      </c>
      <c r="K17" s="15">
        <f t="shared" si="3"/>
        <v>37974.3</v>
      </c>
      <c r="L17" s="15">
        <f t="shared" si="4"/>
        <v>35053.2</v>
      </c>
      <c r="M17" s="15">
        <f t="shared" si="5"/>
        <v>33592.65</v>
      </c>
      <c r="N17" s="15">
        <f t="shared" si="6"/>
        <v>48198.15</v>
      </c>
    </row>
    <row r="18">
      <c r="A18" s="8" t="s">
        <v>18</v>
      </c>
      <c r="B18" s="9" t="s">
        <v>19</v>
      </c>
      <c r="C18" s="10" t="s">
        <v>41</v>
      </c>
      <c r="D18" s="16" t="s">
        <v>42</v>
      </c>
      <c r="E18" s="12" t="s">
        <v>59</v>
      </c>
      <c r="F18" s="13" t="s">
        <v>60</v>
      </c>
      <c r="G18" s="17"/>
      <c r="H18" s="18">
        <v>11124.0</v>
      </c>
      <c r="I18" s="15">
        <f t="shared" si="1"/>
        <v>16686</v>
      </c>
      <c r="J18" s="15">
        <f t="shared" si="2"/>
        <v>14461.2</v>
      </c>
      <c r="K18" s="15">
        <f t="shared" si="3"/>
        <v>14461.2</v>
      </c>
      <c r="L18" s="15">
        <f t="shared" si="4"/>
        <v>13348.8</v>
      </c>
      <c r="M18" s="15">
        <f t="shared" si="5"/>
        <v>12792.6</v>
      </c>
      <c r="N18" s="15">
        <f t="shared" si="6"/>
        <v>18354.6</v>
      </c>
    </row>
    <row r="19">
      <c r="A19" s="8" t="s">
        <v>18</v>
      </c>
      <c r="B19" s="9" t="s">
        <v>19</v>
      </c>
      <c r="C19" s="10" t="s">
        <v>41</v>
      </c>
      <c r="D19" s="16" t="s">
        <v>42</v>
      </c>
      <c r="E19" s="12" t="s">
        <v>61</v>
      </c>
      <c r="F19" s="13" t="s">
        <v>62</v>
      </c>
      <c r="G19" s="17"/>
      <c r="H19" s="18">
        <v>10197.0</v>
      </c>
      <c r="I19" s="15">
        <f t="shared" si="1"/>
        <v>15295.5</v>
      </c>
      <c r="J19" s="15">
        <f t="shared" si="2"/>
        <v>13256.1</v>
      </c>
      <c r="K19" s="15">
        <f t="shared" si="3"/>
        <v>13256.1</v>
      </c>
      <c r="L19" s="15">
        <f t="shared" si="4"/>
        <v>12236.4</v>
      </c>
      <c r="M19" s="15">
        <f t="shared" si="5"/>
        <v>11726.55</v>
      </c>
      <c r="N19" s="15">
        <f t="shared" si="6"/>
        <v>16825.05</v>
      </c>
    </row>
    <row r="20">
      <c r="A20" s="8" t="s">
        <v>18</v>
      </c>
      <c r="B20" s="9" t="s">
        <v>19</v>
      </c>
      <c r="C20" s="10" t="s">
        <v>35</v>
      </c>
      <c r="D20" s="16" t="s">
        <v>21</v>
      </c>
      <c r="E20" s="12" t="s">
        <v>63</v>
      </c>
      <c r="F20" s="13" t="s">
        <v>64</v>
      </c>
      <c r="G20" s="21" t="s">
        <v>65</v>
      </c>
      <c r="H20" s="18">
        <v>1112.0</v>
      </c>
      <c r="I20" s="15">
        <f t="shared" si="1"/>
        <v>1668</v>
      </c>
      <c r="J20" s="15">
        <f t="shared" si="2"/>
        <v>1445.6</v>
      </c>
      <c r="K20" s="15">
        <f t="shared" si="3"/>
        <v>1445.6</v>
      </c>
      <c r="L20" s="15">
        <f t="shared" si="4"/>
        <v>1334.4</v>
      </c>
      <c r="M20" s="15">
        <f t="shared" si="5"/>
        <v>1278.8</v>
      </c>
      <c r="N20" s="15">
        <f t="shared" si="6"/>
        <v>1834.8</v>
      </c>
    </row>
    <row r="21">
      <c r="A21" s="8" t="s">
        <v>18</v>
      </c>
      <c r="B21" s="9" t="s">
        <v>19</v>
      </c>
      <c r="C21" s="12"/>
      <c r="D21" s="12"/>
      <c r="E21" s="12" t="s">
        <v>66</v>
      </c>
      <c r="F21" s="12"/>
      <c r="G21" s="17"/>
      <c r="H21" s="18">
        <v>1298.0</v>
      </c>
      <c r="I21" s="15">
        <f t="shared" si="1"/>
        <v>1947</v>
      </c>
      <c r="J21" s="15">
        <f t="shared" si="2"/>
        <v>1687.4</v>
      </c>
      <c r="K21" s="15">
        <f t="shared" si="3"/>
        <v>1687.4</v>
      </c>
      <c r="L21" s="15">
        <f t="shared" si="4"/>
        <v>1557.6</v>
      </c>
      <c r="M21" s="15">
        <f t="shared" si="5"/>
        <v>1492.7</v>
      </c>
      <c r="N21" s="15">
        <f t="shared" si="6"/>
        <v>2141.7</v>
      </c>
    </row>
    <row r="22">
      <c r="A22" s="8" t="s">
        <v>18</v>
      </c>
      <c r="B22" s="9" t="s">
        <v>19</v>
      </c>
      <c r="C22" s="10" t="s">
        <v>41</v>
      </c>
      <c r="D22" s="16" t="s">
        <v>67</v>
      </c>
      <c r="E22" s="12" t="s">
        <v>68</v>
      </c>
      <c r="F22" s="13" t="s">
        <v>69</v>
      </c>
      <c r="G22" s="21" t="s">
        <v>70</v>
      </c>
      <c r="H22" s="18" t="e">
        <v>#VALUE!</v>
      </c>
      <c r="I22" s="15" t="str">
        <f t="shared" si="1"/>
        <v>#VALUE!</v>
      </c>
      <c r="J22" s="15" t="str">
        <f t="shared" si="2"/>
        <v>#VALUE!</v>
      </c>
      <c r="K22" s="15" t="str">
        <f t="shared" si="3"/>
        <v>#VALUE!</v>
      </c>
      <c r="L22" s="15" t="str">
        <f t="shared" si="4"/>
        <v>#VALUE!</v>
      </c>
      <c r="M22" s="15" t="str">
        <f t="shared" si="5"/>
        <v>#VALUE!</v>
      </c>
      <c r="N22" s="15" t="str">
        <f t="shared" si="6"/>
        <v>#VALUE!</v>
      </c>
    </row>
    <row r="23">
      <c r="A23" s="8" t="s">
        <v>18</v>
      </c>
      <c r="B23" s="9" t="s">
        <v>19</v>
      </c>
      <c r="C23" s="10" t="s">
        <v>41</v>
      </c>
      <c r="D23" s="16" t="s">
        <v>67</v>
      </c>
      <c r="E23" s="12" t="s">
        <v>71</v>
      </c>
      <c r="F23" s="16" t="s">
        <v>72</v>
      </c>
      <c r="G23" s="17"/>
      <c r="H23" s="18">
        <v>2596.0</v>
      </c>
      <c r="I23" s="15">
        <f t="shared" si="1"/>
        <v>3894</v>
      </c>
      <c r="J23" s="15">
        <f t="shared" si="2"/>
        <v>3374.8</v>
      </c>
      <c r="K23" s="15">
        <f t="shared" si="3"/>
        <v>3374.8</v>
      </c>
      <c r="L23" s="15">
        <f t="shared" si="4"/>
        <v>3115.2</v>
      </c>
      <c r="M23" s="15">
        <f t="shared" si="5"/>
        <v>2985.4</v>
      </c>
      <c r="N23" s="15">
        <f t="shared" si="6"/>
        <v>4283.4</v>
      </c>
    </row>
    <row r="24">
      <c r="A24" s="8" t="s">
        <v>18</v>
      </c>
      <c r="B24" s="9" t="s">
        <v>19</v>
      </c>
      <c r="C24" s="10" t="s">
        <v>41</v>
      </c>
      <c r="D24" s="16" t="s">
        <v>73</v>
      </c>
      <c r="E24" s="12" t="s">
        <v>74</v>
      </c>
      <c r="F24" s="13" t="s">
        <v>75</v>
      </c>
      <c r="G24" s="21" t="s">
        <v>76</v>
      </c>
      <c r="H24" s="18">
        <v>12978.0</v>
      </c>
      <c r="I24" s="15">
        <f t="shared" si="1"/>
        <v>19467</v>
      </c>
      <c r="J24" s="15">
        <f t="shared" si="2"/>
        <v>16871.4</v>
      </c>
      <c r="K24" s="15">
        <f t="shared" si="3"/>
        <v>16871.4</v>
      </c>
      <c r="L24" s="15">
        <f t="shared" si="4"/>
        <v>15573.6</v>
      </c>
      <c r="M24" s="15">
        <f t="shared" si="5"/>
        <v>14924.7</v>
      </c>
      <c r="N24" s="15">
        <f t="shared" si="6"/>
        <v>21413.7</v>
      </c>
    </row>
    <row r="25">
      <c r="A25" s="8" t="s">
        <v>18</v>
      </c>
      <c r="B25" s="9" t="s">
        <v>19</v>
      </c>
      <c r="C25" s="10" t="s">
        <v>77</v>
      </c>
      <c r="D25" s="16" t="s">
        <v>78</v>
      </c>
      <c r="E25" s="12" t="s">
        <v>79</v>
      </c>
      <c r="F25" s="13" t="s">
        <v>80</v>
      </c>
      <c r="G25" s="21" t="s">
        <v>81</v>
      </c>
      <c r="H25" s="18">
        <v>9270.0</v>
      </c>
      <c r="I25" s="15">
        <f t="shared" si="1"/>
        <v>13905</v>
      </c>
      <c r="J25" s="15">
        <f t="shared" si="2"/>
        <v>12051</v>
      </c>
      <c r="K25" s="15">
        <f t="shared" si="3"/>
        <v>12051</v>
      </c>
      <c r="L25" s="15">
        <f t="shared" si="4"/>
        <v>11124</v>
      </c>
      <c r="M25" s="15">
        <f t="shared" si="5"/>
        <v>10660.5</v>
      </c>
      <c r="N25" s="15">
        <f t="shared" si="6"/>
        <v>15295.5</v>
      </c>
    </row>
    <row r="26">
      <c r="A26" s="8" t="s">
        <v>18</v>
      </c>
      <c r="B26" s="9" t="s">
        <v>19</v>
      </c>
      <c r="C26" s="10" t="s">
        <v>77</v>
      </c>
      <c r="D26" s="16" t="s">
        <v>82</v>
      </c>
      <c r="E26" s="12" t="s">
        <v>83</v>
      </c>
      <c r="F26" s="13" t="s">
        <v>84</v>
      </c>
      <c r="G26" s="21" t="s">
        <v>85</v>
      </c>
      <c r="H26" s="18">
        <v>15306.0</v>
      </c>
      <c r="I26" s="15">
        <f t="shared" si="1"/>
        <v>22959</v>
      </c>
      <c r="J26" s="15">
        <f t="shared" si="2"/>
        <v>19897.8</v>
      </c>
      <c r="K26" s="15">
        <f t="shared" si="3"/>
        <v>19897.8</v>
      </c>
      <c r="L26" s="15">
        <f t="shared" si="4"/>
        <v>18367.2</v>
      </c>
      <c r="M26" s="15">
        <f t="shared" si="5"/>
        <v>17601.9</v>
      </c>
      <c r="N26" s="15">
        <f t="shared" si="6"/>
        <v>25254.9</v>
      </c>
    </row>
    <row r="27">
      <c r="A27" s="8" t="s">
        <v>18</v>
      </c>
      <c r="B27" s="9" t="s">
        <v>19</v>
      </c>
      <c r="C27" s="10" t="s">
        <v>77</v>
      </c>
      <c r="D27" s="16" t="s">
        <v>86</v>
      </c>
      <c r="E27" s="12" t="s">
        <v>87</v>
      </c>
      <c r="F27" s="13" t="s">
        <v>88</v>
      </c>
      <c r="G27" s="21" t="s">
        <v>89</v>
      </c>
      <c r="H27" s="18">
        <v>4182.0</v>
      </c>
      <c r="I27" s="15">
        <f t="shared" si="1"/>
        <v>6273</v>
      </c>
      <c r="J27" s="15">
        <f t="shared" si="2"/>
        <v>5436.6</v>
      </c>
      <c r="K27" s="15">
        <f t="shared" si="3"/>
        <v>5436.6</v>
      </c>
      <c r="L27" s="15">
        <f t="shared" si="4"/>
        <v>5018.4</v>
      </c>
      <c r="M27" s="15">
        <f t="shared" si="5"/>
        <v>4809.3</v>
      </c>
      <c r="N27" s="15">
        <f t="shared" si="6"/>
        <v>6900.3</v>
      </c>
    </row>
    <row r="28">
      <c r="A28" s="8" t="s">
        <v>18</v>
      </c>
      <c r="B28" s="9" t="s">
        <v>19</v>
      </c>
      <c r="C28" s="10" t="s">
        <v>77</v>
      </c>
      <c r="D28" s="16" t="s">
        <v>86</v>
      </c>
      <c r="E28" s="12" t="s">
        <v>90</v>
      </c>
      <c r="F28" s="13" t="s">
        <v>91</v>
      </c>
      <c r="G28" s="21" t="s">
        <v>92</v>
      </c>
      <c r="H28" s="18">
        <v>5109.0</v>
      </c>
      <c r="I28" s="15">
        <f t="shared" si="1"/>
        <v>7663.5</v>
      </c>
      <c r="J28" s="15">
        <f t="shared" si="2"/>
        <v>6641.7</v>
      </c>
      <c r="K28" s="15">
        <f t="shared" si="3"/>
        <v>6641.7</v>
      </c>
      <c r="L28" s="15">
        <f t="shared" si="4"/>
        <v>6130.8</v>
      </c>
      <c r="M28" s="15">
        <f t="shared" si="5"/>
        <v>5875.35</v>
      </c>
      <c r="N28" s="15">
        <f t="shared" si="6"/>
        <v>8429.85</v>
      </c>
    </row>
    <row r="29">
      <c r="A29" s="8" t="s">
        <v>18</v>
      </c>
      <c r="B29" s="9" t="s">
        <v>19</v>
      </c>
      <c r="C29" s="10" t="s">
        <v>77</v>
      </c>
      <c r="D29" s="16" t="s">
        <v>86</v>
      </c>
      <c r="E29" s="12" t="s">
        <v>93</v>
      </c>
      <c r="F29" s="13" t="s">
        <v>94</v>
      </c>
      <c r="G29" s="21" t="s">
        <v>95</v>
      </c>
      <c r="H29" s="18">
        <v>5109.0</v>
      </c>
      <c r="I29" s="15">
        <f t="shared" si="1"/>
        <v>7663.5</v>
      </c>
      <c r="J29" s="15">
        <f t="shared" si="2"/>
        <v>6641.7</v>
      </c>
      <c r="K29" s="15">
        <f t="shared" si="3"/>
        <v>6641.7</v>
      </c>
      <c r="L29" s="15">
        <f t="shared" si="4"/>
        <v>6130.8</v>
      </c>
      <c r="M29" s="15">
        <f t="shared" si="5"/>
        <v>5875.35</v>
      </c>
      <c r="N29" s="15">
        <f t="shared" si="6"/>
        <v>8429.85</v>
      </c>
    </row>
    <row r="30">
      <c r="A30" s="8" t="s">
        <v>18</v>
      </c>
      <c r="B30" s="9" t="s">
        <v>19</v>
      </c>
      <c r="C30" s="10" t="s">
        <v>77</v>
      </c>
      <c r="D30" s="16" t="s">
        <v>86</v>
      </c>
      <c r="E30" s="12" t="s">
        <v>96</v>
      </c>
      <c r="F30" s="16" t="s">
        <v>97</v>
      </c>
      <c r="G30" s="17"/>
      <c r="H30" s="18">
        <v>4635.0</v>
      </c>
      <c r="I30" s="15">
        <f t="shared" si="1"/>
        <v>6952.5</v>
      </c>
      <c r="J30" s="15">
        <f t="shared" si="2"/>
        <v>6025.5</v>
      </c>
      <c r="K30" s="15">
        <f t="shared" si="3"/>
        <v>6025.5</v>
      </c>
      <c r="L30" s="15">
        <f t="shared" si="4"/>
        <v>5562</v>
      </c>
      <c r="M30" s="15">
        <f t="shared" si="5"/>
        <v>5330.25</v>
      </c>
      <c r="N30" s="15">
        <f t="shared" si="6"/>
        <v>7647.75</v>
      </c>
    </row>
    <row r="31">
      <c r="A31" s="8" t="s">
        <v>18</v>
      </c>
      <c r="B31" s="9" t="s">
        <v>19</v>
      </c>
      <c r="C31" s="10" t="s">
        <v>77</v>
      </c>
      <c r="D31" s="16" t="s">
        <v>98</v>
      </c>
      <c r="E31" s="12" t="s">
        <v>99</v>
      </c>
      <c r="F31" s="13" t="s">
        <v>100</v>
      </c>
      <c r="G31" s="17"/>
      <c r="H31" s="18">
        <v>5109.0</v>
      </c>
      <c r="I31" s="15">
        <f t="shared" si="1"/>
        <v>7663.5</v>
      </c>
      <c r="J31" s="15">
        <f t="shared" si="2"/>
        <v>6641.7</v>
      </c>
      <c r="K31" s="15">
        <f t="shared" si="3"/>
        <v>6641.7</v>
      </c>
      <c r="L31" s="15">
        <f t="shared" si="4"/>
        <v>6130.8</v>
      </c>
      <c r="M31" s="15">
        <f t="shared" si="5"/>
        <v>5875.35</v>
      </c>
      <c r="N31" s="15">
        <f t="shared" si="6"/>
        <v>8429.85</v>
      </c>
    </row>
    <row r="32">
      <c r="A32" s="8" t="s">
        <v>18</v>
      </c>
      <c r="B32" s="9" t="s">
        <v>19</v>
      </c>
      <c r="C32" s="10" t="s">
        <v>77</v>
      </c>
      <c r="D32" s="16" t="s">
        <v>101</v>
      </c>
      <c r="E32" s="12" t="s">
        <v>102</v>
      </c>
      <c r="F32" s="13" t="s">
        <v>103</v>
      </c>
      <c r="G32" s="17"/>
      <c r="H32" s="18">
        <v>16686.0</v>
      </c>
      <c r="I32" s="15">
        <f t="shared" si="1"/>
        <v>25029</v>
      </c>
      <c r="J32" s="15">
        <f t="shared" si="2"/>
        <v>21691.8</v>
      </c>
      <c r="K32" s="15">
        <f t="shared" si="3"/>
        <v>21691.8</v>
      </c>
      <c r="L32" s="15">
        <f t="shared" si="4"/>
        <v>20023.2</v>
      </c>
      <c r="M32" s="15">
        <f t="shared" si="5"/>
        <v>19188.9</v>
      </c>
      <c r="N32" s="15">
        <f t="shared" si="6"/>
        <v>27531.9</v>
      </c>
    </row>
    <row r="33">
      <c r="A33" s="8" t="s">
        <v>18</v>
      </c>
      <c r="B33" s="9" t="s">
        <v>19</v>
      </c>
      <c r="C33" s="12"/>
      <c r="D33" s="12"/>
      <c r="E33" s="12" t="s">
        <v>104</v>
      </c>
      <c r="F33" s="13" t="s">
        <v>105</v>
      </c>
      <c r="G33" s="21" t="s">
        <v>106</v>
      </c>
      <c r="H33" s="18">
        <v>10197.0</v>
      </c>
      <c r="I33" s="15">
        <f t="shared" si="1"/>
        <v>15295.5</v>
      </c>
      <c r="J33" s="15">
        <f t="shared" si="2"/>
        <v>13256.1</v>
      </c>
      <c r="K33" s="15">
        <f t="shared" si="3"/>
        <v>13256.1</v>
      </c>
      <c r="L33" s="15">
        <f t="shared" si="4"/>
        <v>12236.4</v>
      </c>
      <c r="M33" s="15">
        <f t="shared" si="5"/>
        <v>11726.55</v>
      </c>
      <c r="N33" s="15">
        <f t="shared" si="6"/>
        <v>16825.05</v>
      </c>
    </row>
    <row r="34">
      <c r="A34" s="8" t="s">
        <v>18</v>
      </c>
      <c r="B34" s="9" t="s">
        <v>19</v>
      </c>
      <c r="C34" s="12"/>
      <c r="D34" s="12"/>
      <c r="E34" s="12" t="s">
        <v>107</v>
      </c>
      <c r="F34" s="13" t="s">
        <v>108</v>
      </c>
      <c r="G34" s="13" t="s">
        <v>109</v>
      </c>
      <c r="H34" s="18">
        <v>6036.0</v>
      </c>
      <c r="I34" s="15">
        <f t="shared" si="1"/>
        <v>9054</v>
      </c>
      <c r="J34" s="15">
        <f t="shared" si="2"/>
        <v>7846.8</v>
      </c>
      <c r="K34" s="15">
        <f t="shared" si="3"/>
        <v>7846.8</v>
      </c>
      <c r="L34" s="15">
        <f t="shared" si="4"/>
        <v>7243.2</v>
      </c>
      <c r="M34" s="15">
        <f t="shared" si="5"/>
        <v>6941.4</v>
      </c>
      <c r="N34" s="15">
        <f t="shared" si="6"/>
        <v>9959.4</v>
      </c>
    </row>
    <row r="35">
      <c r="A35" s="8" t="s">
        <v>18</v>
      </c>
      <c r="B35" s="9" t="s">
        <v>19</v>
      </c>
      <c r="C35" s="12"/>
      <c r="D35" s="12"/>
      <c r="E35" s="12" t="s">
        <v>110</v>
      </c>
      <c r="F35" s="13" t="s">
        <v>111</v>
      </c>
      <c r="G35" s="12"/>
      <c r="H35" s="18">
        <v>12051.0</v>
      </c>
      <c r="I35" s="15">
        <f t="shared" si="1"/>
        <v>18076.5</v>
      </c>
      <c r="J35" s="15">
        <f t="shared" si="2"/>
        <v>15666.3</v>
      </c>
      <c r="K35" s="15">
        <f t="shared" si="3"/>
        <v>15666.3</v>
      </c>
      <c r="L35" s="15">
        <f t="shared" si="4"/>
        <v>14461.2</v>
      </c>
      <c r="M35" s="15">
        <f t="shared" si="5"/>
        <v>13858.65</v>
      </c>
      <c r="N35" s="15">
        <f t="shared" si="6"/>
        <v>19884.15</v>
      </c>
    </row>
    <row r="36">
      <c r="A36" s="8" t="s">
        <v>18</v>
      </c>
      <c r="B36" s="9" t="s">
        <v>19</v>
      </c>
      <c r="C36" s="10" t="s">
        <v>77</v>
      </c>
      <c r="D36" s="16" t="s">
        <v>112</v>
      </c>
      <c r="E36" s="12" t="s">
        <v>113</v>
      </c>
      <c r="F36" s="13" t="s">
        <v>114</v>
      </c>
      <c r="G36" s="12"/>
      <c r="H36" s="18">
        <v>8343.0</v>
      </c>
      <c r="I36" s="15">
        <f t="shared" si="1"/>
        <v>12514.5</v>
      </c>
      <c r="J36" s="15">
        <f t="shared" si="2"/>
        <v>10845.9</v>
      </c>
      <c r="K36" s="15">
        <f t="shared" si="3"/>
        <v>10845.9</v>
      </c>
      <c r="L36" s="15">
        <f t="shared" si="4"/>
        <v>10011.6</v>
      </c>
      <c r="M36" s="15">
        <f t="shared" si="5"/>
        <v>9594.45</v>
      </c>
      <c r="N36" s="15">
        <f t="shared" si="6"/>
        <v>13765.95</v>
      </c>
    </row>
    <row r="37">
      <c r="A37" s="8" t="s">
        <v>18</v>
      </c>
      <c r="B37" s="9" t="s">
        <v>19</v>
      </c>
      <c r="C37" s="10" t="s">
        <v>77</v>
      </c>
      <c r="D37" s="16" t="s">
        <v>86</v>
      </c>
      <c r="E37" s="12" t="s">
        <v>115</v>
      </c>
      <c r="F37" s="13" t="s">
        <v>116</v>
      </c>
      <c r="G37" s="13" t="s">
        <v>117</v>
      </c>
      <c r="H37" s="18">
        <v>9270.0</v>
      </c>
      <c r="I37" s="15">
        <f t="shared" si="1"/>
        <v>13905</v>
      </c>
      <c r="J37" s="15">
        <f t="shared" si="2"/>
        <v>12051</v>
      </c>
      <c r="K37" s="15">
        <f t="shared" si="3"/>
        <v>12051</v>
      </c>
      <c r="L37" s="15">
        <f t="shared" si="4"/>
        <v>11124</v>
      </c>
      <c r="M37" s="15">
        <f t="shared" si="5"/>
        <v>10660.5</v>
      </c>
      <c r="N37" s="15">
        <f t="shared" si="6"/>
        <v>15295.5</v>
      </c>
    </row>
    <row r="38">
      <c r="A38" s="8" t="s">
        <v>18</v>
      </c>
      <c r="B38" s="9" t="s">
        <v>19</v>
      </c>
      <c r="C38" s="10" t="s">
        <v>77</v>
      </c>
      <c r="D38" s="16" t="s">
        <v>86</v>
      </c>
      <c r="E38" s="12" t="s">
        <v>118</v>
      </c>
      <c r="F38" s="13" t="s">
        <v>119</v>
      </c>
      <c r="G38" s="21" t="s">
        <v>120</v>
      </c>
      <c r="H38" s="18">
        <v>6036.0</v>
      </c>
      <c r="I38" s="15">
        <f t="shared" si="1"/>
        <v>9054</v>
      </c>
      <c r="J38" s="15">
        <f t="shared" si="2"/>
        <v>7846.8</v>
      </c>
      <c r="K38" s="15">
        <f t="shared" si="3"/>
        <v>7846.8</v>
      </c>
      <c r="L38" s="15">
        <f t="shared" si="4"/>
        <v>7243.2</v>
      </c>
      <c r="M38" s="15">
        <f t="shared" si="5"/>
        <v>6941.4</v>
      </c>
      <c r="N38" s="15">
        <f t="shared" si="6"/>
        <v>9959.4</v>
      </c>
    </row>
    <row r="39">
      <c r="A39" s="8" t="s">
        <v>18</v>
      </c>
      <c r="B39" s="9" t="s">
        <v>19</v>
      </c>
      <c r="C39" s="10" t="s">
        <v>77</v>
      </c>
      <c r="D39" s="16" t="s">
        <v>86</v>
      </c>
      <c r="E39" s="12" t="s">
        <v>121</v>
      </c>
      <c r="F39" s="13" t="s">
        <v>122</v>
      </c>
      <c r="G39" s="17"/>
      <c r="H39" s="18" t="e">
        <v>#VALUE!</v>
      </c>
      <c r="I39" s="15" t="str">
        <f t="shared" si="1"/>
        <v>#VALUE!</v>
      </c>
      <c r="J39" s="15" t="str">
        <f t="shared" si="2"/>
        <v>#VALUE!</v>
      </c>
      <c r="K39" s="15" t="str">
        <f t="shared" si="3"/>
        <v>#VALUE!</v>
      </c>
      <c r="L39" s="15" t="str">
        <f t="shared" si="4"/>
        <v>#VALUE!</v>
      </c>
      <c r="M39" s="15" t="str">
        <f t="shared" si="5"/>
        <v>#VALUE!</v>
      </c>
      <c r="N39" s="15" t="str">
        <f t="shared" si="6"/>
        <v>#VALUE!</v>
      </c>
    </row>
    <row r="40">
      <c r="A40" s="8" t="s">
        <v>18</v>
      </c>
      <c r="B40" s="9" t="s">
        <v>19</v>
      </c>
      <c r="C40" s="10" t="s">
        <v>77</v>
      </c>
      <c r="D40" s="16" t="s">
        <v>86</v>
      </c>
      <c r="E40" s="12" t="s">
        <v>123</v>
      </c>
      <c r="F40" s="13" t="s">
        <v>124</v>
      </c>
      <c r="G40" s="21" t="s">
        <v>125</v>
      </c>
      <c r="H40" s="18">
        <v>5377.0</v>
      </c>
      <c r="I40" s="15">
        <f t="shared" si="1"/>
        <v>8065.5</v>
      </c>
      <c r="J40" s="15">
        <f t="shared" si="2"/>
        <v>6990.1</v>
      </c>
      <c r="K40" s="15">
        <f t="shared" si="3"/>
        <v>6990.1</v>
      </c>
      <c r="L40" s="15">
        <f t="shared" si="4"/>
        <v>6452.4</v>
      </c>
      <c r="M40" s="15">
        <f t="shared" si="5"/>
        <v>6183.55</v>
      </c>
      <c r="N40" s="15">
        <f t="shared" si="6"/>
        <v>8872.05</v>
      </c>
    </row>
    <row r="41">
      <c r="A41" s="8" t="s">
        <v>18</v>
      </c>
      <c r="B41" s="9" t="s">
        <v>19</v>
      </c>
      <c r="C41" s="12"/>
      <c r="D41" s="12"/>
      <c r="E41" s="12" t="s">
        <v>126</v>
      </c>
      <c r="F41" s="12"/>
      <c r="G41" s="17"/>
      <c r="H41" s="18">
        <v>2781.0</v>
      </c>
      <c r="I41" s="15">
        <f t="shared" si="1"/>
        <v>4171.5</v>
      </c>
      <c r="J41" s="15">
        <f t="shared" si="2"/>
        <v>3615.3</v>
      </c>
      <c r="K41" s="15">
        <f t="shared" si="3"/>
        <v>3615.3</v>
      </c>
      <c r="L41" s="15">
        <f t="shared" si="4"/>
        <v>3337.2</v>
      </c>
      <c r="M41" s="15">
        <f t="shared" si="5"/>
        <v>3198.15</v>
      </c>
      <c r="N41" s="15">
        <f t="shared" si="6"/>
        <v>4588.65</v>
      </c>
    </row>
    <row r="42">
      <c r="A42" s="8" t="s">
        <v>18</v>
      </c>
      <c r="B42" s="9" t="s">
        <v>19</v>
      </c>
      <c r="C42" s="12"/>
      <c r="D42" s="12"/>
      <c r="E42" s="12" t="s">
        <v>127</v>
      </c>
      <c r="F42" s="12"/>
      <c r="G42" s="17"/>
      <c r="H42" s="18">
        <v>2966.0</v>
      </c>
      <c r="I42" s="15">
        <f t="shared" si="1"/>
        <v>4449</v>
      </c>
      <c r="J42" s="15">
        <f t="shared" si="2"/>
        <v>3855.8</v>
      </c>
      <c r="K42" s="15">
        <f t="shared" si="3"/>
        <v>3855.8</v>
      </c>
      <c r="L42" s="15">
        <f t="shared" si="4"/>
        <v>3559.2</v>
      </c>
      <c r="M42" s="15">
        <f t="shared" si="5"/>
        <v>3410.9</v>
      </c>
      <c r="N42" s="15">
        <f t="shared" si="6"/>
        <v>4893.9</v>
      </c>
    </row>
    <row r="43">
      <c r="A43" s="8" t="s">
        <v>18</v>
      </c>
      <c r="B43" s="9" t="s">
        <v>19</v>
      </c>
      <c r="C43" s="10" t="s">
        <v>77</v>
      </c>
      <c r="D43" s="16" t="s">
        <v>86</v>
      </c>
      <c r="E43" s="12" t="s">
        <v>128</v>
      </c>
      <c r="F43" s="13" t="s">
        <v>129</v>
      </c>
      <c r="G43" s="21" t="s">
        <v>130</v>
      </c>
      <c r="H43" s="18">
        <v>4635.0</v>
      </c>
      <c r="I43" s="15">
        <f t="shared" si="1"/>
        <v>6952.5</v>
      </c>
      <c r="J43" s="15">
        <f t="shared" si="2"/>
        <v>6025.5</v>
      </c>
      <c r="K43" s="15">
        <f t="shared" si="3"/>
        <v>6025.5</v>
      </c>
      <c r="L43" s="15">
        <f t="shared" si="4"/>
        <v>5562</v>
      </c>
      <c r="M43" s="15">
        <f t="shared" si="5"/>
        <v>5330.25</v>
      </c>
      <c r="N43" s="15">
        <f t="shared" si="6"/>
        <v>7647.75</v>
      </c>
    </row>
    <row r="44">
      <c r="A44" s="8" t="s">
        <v>18</v>
      </c>
      <c r="B44" s="9" t="s">
        <v>19</v>
      </c>
      <c r="C44" s="10" t="s">
        <v>77</v>
      </c>
      <c r="D44" s="16" t="s">
        <v>98</v>
      </c>
      <c r="E44" s="12" t="s">
        <v>131</v>
      </c>
      <c r="F44" s="13" t="s">
        <v>132</v>
      </c>
      <c r="G44" s="21" t="s">
        <v>133</v>
      </c>
      <c r="H44" s="18">
        <v>3708.0</v>
      </c>
      <c r="I44" s="15">
        <f t="shared" si="1"/>
        <v>5562</v>
      </c>
      <c r="J44" s="15">
        <f t="shared" si="2"/>
        <v>4820.4</v>
      </c>
      <c r="K44" s="15">
        <f t="shared" si="3"/>
        <v>4820.4</v>
      </c>
      <c r="L44" s="15">
        <f t="shared" si="4"/>
        <v>4449.6</v>
      </c>
      <c r="M44" s="15">
        <f t="shared" si="5"/>
        <v>4264.2</v>
      </c>
      <c r="N44" s="15">
        <f t="shared" si="6"/>
        <v>6118.2</v>
      </c>
    </row>
    <row r="45">
      <c r="A45" s="8" t="s">
        <v>18</v>
      </c>
      <c r="B45" s="9" t="s">
        <v>19</v>
      </c>
      <c r="C45" s="10" t="s">
        <v>77</v>
      </c>
      <c r="D45" s="16" t="s">
        <v>98</v>
      </c>
      <c r="E45" s="19" t="s">
        <v>134</v>
      </c>
      <c r="F45" s="13" t="s">
        <v>135</v>
      </c>
      <c r="G45" s="17"/>
      <c r="H45" s="18">
        <v>742.0</v>
      </c>
      <c r="I45" s="15">
        <f t="shared" si="1"/>
        <v>1113</v>
      </c>
      <c r="J45" s="15">
        <f t="shared" si="2"/>
        <v>964.6</v>
      </c>
      <c r="K45" s="15">
        <f t="shared" si="3"/>
        <v>964.6</v>
      </c>
      <c r="L45" s="15">
        <f t="shared" si="4"/>
        <v>890.4</v>
      </c>
      <c r="M45" s="15">
        <f t="shared" si="5"/>
        <v>853.3</v>
      </c>
      <c r="N45" s="15">
        <f t="shared" si="6"/>
        <v>1224.3</v>
      </c>
    </row>
    <row r="46">
      <c r="A46" s="8" t="s">
        <v>18</v>
      </c>
      <c r="B46" s="9" t="s">
        <v>19</v>
      </c>
      <c r="C46" s="10" t="s">
        <v>77</v>
      </c>
      <c r="D46" s="16" t="s">
        <v>98</v>
      </c>
      <c r="E46" s="19" t="s">
        <v>136</v>
      </c>
      <c r="F46" s="16" t="s">
        <v>137</v>
      </c>
      <c r="G46" s="17"/>
      <c r="H46" s="18">
        <v>1669.0</v>
      </c>
      <c r="I46" s="15">
        <f t="shared" si="1"/>
        <v>2503.5</v>
      </c>
      <c r="J46" s="15">
        <f t="shared" si="2"/>
        <v>2169.7</v>
      </c>
      <c r="K46" s="15">
        <f t="shared" si="3"/>
        <v>2169.7</v>
      </c>
      <c r="L46" s="15">
        <f t="shared" si="4"/>
        <v>2002.8</v>
      </c>
      <c r="M46" s="15">
        <f t="shared" si="5"/>
        <v>1919.35</v>
      </c>
      <c r="N46" s="15">
        <f t="shared" si="6"/>
        <v>2753.85</v>
      </c>
    </row>
    <row r="47">
      <c r="A47" s="8" t="s">
        <v>18</v>
      </c>
      <c r="B47" s="9" t="s">
        <v>19</v>
      </c>
      <c r="C47" s="10" t="s">
        <v>77</v>
      </c>
      <c r="D47" s="16" t="s">
        <v>98</v>
      </c>
      <c r="E47" s="19" t="s">
        <v>138</v>
      </c>
      <c r="F47" s="16" t="s">
        <v>139</v>
      </c>
      <c r="G47" s="17"/>
      <c r="H47" s="18">
        <v>3069.0</v>
      </c>
      <c r="I47" s="15">
        <f t="shared" si="1"/>
        <v>4603.5</v>
      </c>
      <c r="J47" s="15">
        <f t="shared" si="2"/>
        <v>3989.7</v>
      </c>
      <c r="K47" s="15">
        <f t="shared" si="3"/>
        <v>3989.7</v>
      </c>
      <c r="L47" s="15">
        <f t="shared" si="4"/>
        <v>3682.8</v>
      </c>
      <c r="M47" s="15">
        <f t="shared" si="5"/>
        <v>3529.35</v>
      </c>
      <c r="N47" s="15">
        <f t="shared" si="6"/>
        <v>5063.85</v>
      </c>
    </row>
    <row r="48">
      <c r="A48" s="8" t="s">
        <v>18</v>
      </c>
      <c r="B48" s="9" t="s">
        <v>19</v>
      </c>
      <c r="C48" s="10" t="s">
        <v>77</v>
      </c>
      <c r="D48" s="16" t="s">
        <v>98</v>
      </c>
      <c r="E48" s="19" t="s">
        <v>140</v>
      </c>
      <c r="F48" s="16" t="s">
        <v>141</v>
      </c>
      <c r="G48" s="21" t="s">
        <v>95</v>
      </c>
      <c r="H48" s="18">
        <v>4635.0</v>
      </c>
      <c r="I48" s="15">
        <f t="shared" si="1"/>
        <v>6952.5</v>
      </c>
      <c r="J48" s="15">
        <f t="shared" si="2"/>
        <v>6025.5</v>
      </c>
      <c r="K48" s="15">
        <f t="shared" si="3"/>
        <v>6025.5</v>
      </c>
      <c r="L48" s="15">
        <f t="shared" si="4"/>
        <v>5562</v>
      </c>
      <c r="M48" s="15">
        <f t="shared" si="5"/>
        <v>5330.25</v>
      </c>
      <c r="N48" s="15">
        <f t="shared" si="6"/>
        <v>7647.75</v>
      </c>
    </row>
    <row r="49">
      <c r="A49" s="8" t="s">
        <v>18</v>
      </c>
      <c r="B49" s="9" t="s">
        <v>19</v>
      </c>
      <c r="C49" s="10" t="s">
        <v>77</v>
      </c>
      <c r="D49" s="16" t="s">
        <v>98</v>
      </c>
      <c r="E49" s="19" t="s">
        <v>142</v>
      </c>
      <c r="F49" s="16" t="s">
        <v>141</v>
      </c>
      <c r="G49" s="22" t="s">
        <v>95</v>
      </c>
      <c r="H49" s="18">
        <v>4635.0</v>
      </c>
      <c r="I49" s="15">
        <f t="shared" si="1"/>
        <v>6952.5</v>
      </c>
      <c r="J49" s="15">
        <f t="shared" si="2"/>
        <v>6025.5</v>
      </c>
      <c r="K49" s="15">
        <f t="shared" si="3"/>
        <v>6025.5</v>
      </c>
      <c r="L49" s="15">
        <f t="shared" si="4"/>
        <v>5562</v>
      </c>
      <c r="M49" s="15">
        <f t="shared" si="5"/>
        <v>5330.25</v>
      </c>
      <c r="N49" s="15">
        <f t="shared" si="6"/>
        <v>7647.75</v>
      </c>
    </row>
    <row r="50">
      <c r="A50" s="8" t="s">
        <v>18</v>
      </c>
      <c r="B50" s="9" t="s">
        <v>19</v>
      </c>
      <c r="C50" s="10" t="s">
        <v>77</v>
      </c>
      <c r="D50" s="16" t="s">
        <v>86</v>
      </c>
      <c r="E50" s="19" t="s">
        <v>143</v>
      </c>
      <c r="F50" s="16" t="s">
        <v>94</v>
      </c>
      <c r="G50" s="22" t="s">
        <v>95</v>
      </c>
      <c r="H50" s="18">
        <v>5109.0</v>
      </c>
      <c r="I50" s="15">
        <f t="shared" si="1"/>
        <v>7663.5</v>
      </c>
      <c r="J50" s="15">
        <f t="shared" si="2"/>
        <v>6641.7</v>
      </c>
      <c r="K50" s="15">
        <f t="shared" si="3"/>
        <v>6641.7</v>
      </c>
      <c r="L50" s="15">
        <f t="shared" si="4"/>
        <v>6130.8</v>
      </c>
      <c r="M50" s="15">
        <f t="shared" si="5"/>
        <v>5875.35</v>
      </c>
      <c r="N50" s="15">
        <f t="shared" si="6"/>
        <v>8429.85</v>
      </c>
    </row>
    <row r="51">
      <c r="A51" s="8" t="s">
        <v>18</v>
      </c>
      <c r="B51" s="9" t="s">
        <v>19</v>
      </c>
      <c r="C51" s="10" t="s">
        <v>77</v>
      </c>
      <c r="D51" s="16" t="s">
        <v>144</v>
      </c>
      <c r="E51" s="19" t="s">
        <v>145</v>
      </c>
      <c r="F51" s="16" t="s">
        <v>146</v>
      </c>
      <c r="G51" s="17"/>
      <c r="H51" s="18">
        <v>742.0</v>
      </c>
      <c r="I51" s="15">
        <f t="shared" si="1"/>
        <v>1113</v>
      </c>
      <c r="J51" s="15">
        <f t="shared" si="2"/>
        <v>964.6</v>
      </c>
      <c r="K51" s="15">
        <f t="shared" si="3"/>
        <v>964.6</v>
      </c>
      <c r="L51" s="15">
        <f t="shared" si="4"/>
        <v>890.4</v>
      </c>
      <c r="M51" s="15">
        <f t="shared" si="5"/>
        <v>853.3</v>
      </c>
      <c r="N51" s="15">
        <f t="shared" si="6"/>
        <v>1224.3</v>
      </c>
    </row>
    <row r="52">
      <c r="A52" s="8" t="s">
        <v>18</v>
      </c>
      <c r="B52" s="9" t="s">
        <v>19</v>
      </c>
      <c r="C52" s="10" t="s">
        <v>20</v>
      </c>
      <c r="D52" s="16" t="s">
        <v>147</v>
      </c>
      <c r="E52" s="12" t="s">
        <v>148</v>
      </c>
      <c r="F52" s="23" t="s">
        <v>149</v>
      </c>
      <c r="G52" s="17"/>
      <c r="H52" s="18">
        <v>5109.0</v>
      </c>
      <c r="I52" s="15">
        <f t="shared" si="1"/>
        <v>7663.5</v>
      </c>
      <c r="J52" s="15">
        <f t="shared" si="2"/>
        <v>6641.7</v>
      </c>
      <c r="K52" s="15">
        <f t="shared" si="3"/>
        <v>6641.7</v>
      </c>
      <c r="L52" s="15">
        <f t="shared" si="4"/>
        <v>6130.8</v>
      </c>
      <c r="M52" s="15">
        <f t="shared" si="5"/>
        <v>5875.35</v>
      </c>
      <c r="N52" s="15">
        <f t="shared" si="6"/>
        <v>8429.85</v>
      </c>
    </row>
    <row r="53">
      <c r="A53" s="8" t="s">
        <v>18</v>
      </c>
      <c r="B53" s="9" t="s">
        <v>19</v>
      </c>
      <c r="C53" s="10" t="s">
        <v>20</v>
      </c>
      <c r="D53" s="16" t="s">
        <v>150</v>
      </c>
      <c r="E53" s="12" t="s">
        <v>151</v>
      </c>
      <c r="F53" s="23" t="s">
        <v>152</v>
      </c>
      <c r="G53" s="17"/>
      <c r="H53" s="18">
        <v>2781.0</v>
      </c>
      <c r="I53" s="15">
        <f t="shared" si="1"/>
        <v>4171.5</v>
      </c>
      <c r="J53" s="15">
        <f t="shared" si="2"/>
        <v>3615.3</v>
      </c>
      <c r="K53" s="15">
        <f t="shared" si="3"/>
        <v>3615.3</v>
      </c>
      <c r="L53" s="15">
        <f t="shared" si="4"/>
        <v>3337.2</v>
      </c>
      <c r="M53" s="15">
        <f t="shared" si="5"/>
        <v>3198.15</v>
      </c>
      <c r="N53" s="15">
        <f t="shared" si="6"/>
        <v>4588.65</v>
      </c>
    </row>
    <row r="54">
      <c r="A54" s="8" t="s">
        <v>18</v>
      </c>
      <c r="B54" s="9" t="s">
        <v>19</v>
      </c>
      <c r="C54" s="10" t="s">
        <v>20</v>
      </c>
      <c r="D54" s="16" t="s">
        <v>150</v>
      </c>
      <c r="E54" s="12" t="s">
        <v>153</v>
      </c>
      <c r="F54" s="23" t="s">
        <v>154</v>
      </c>
      <c r="G54" s="17"/>
      <c r="H54" s="24">
        <v>4450.0</v>
      </c>
      <c r="I54" s="15">
        <f t="shared" si="1"/>
        <v>6675</v>
      </c>
      <c r="J54" s="15">
        <f t="shared" si="2"/>
        <v>5785</v>
      </c>
      <c r="K54" s="15">
        <f t="shared" si="3"/>
        <v>5785</v>
      </c>
      <c r="L54" s="15">
        <f t="shared" si="4"/>
        <v>5340</v>
      </c>
      <c r="M54" s="15">
        <f t="shared" si="5"/>
        <v>5117.5</v>
      </c>
      <c r="N54" s="15">
        <f t="shared" si="6"/>
        <v>7342.5</v>
      </c>
    </row>
    <row r="55">
      <c r="A55" s="8" t="s">
        <v>18</v>
      </c>
      <c r="B55" s="9" t="s">
        <v>19</v>
      </c>
      <c r="C55" s="10" t="s">
        <v>20</v>
      </c>
      <c r="D55" s="16" t="s">
        <v>150</v>
      </c>
      <c r="E55" s="12" t="s">
        <v>155</v>
      </c>
      <c r="F55" s="23" t="s">
        <v>156</v>
      </c>
      <c r="G55" s="17"/>
      <c r="H55" s="24">
        <v>6036.0</v>
      </c>
      <c r="I55" s="15">
        <f t="shared" si="1"/>
        <v>9054</v>
      </c>
      <c r="J55" s="15">
        <f t="shared" si="2"/>
        <v>7846.8</v>
      </c>
      <c r="K55" s="15">
        <f t="shared" si="3"/>
        <v>7846.8</v>
      </c>
      <c r="L55" s="15">
        <f t="shared" si="4"/>
        <v>7243.2</v>
      </c>
      <c r="M55" s="15">
        <f t="shared" si="5"/>
        <v>6941.4</v>
      </c>
      <c r="N55" s="15">
        <f t="shared" si="6"/>
        <v>9959.4</v>
      </c>
    </row>
    <row r="56">
      <c r="A56" s="8" t="s">
        <v>18</v>
      </c>
      <c r="B56" s="9" t="s">
        <v>19</v>
      </c>
      <c r="C56" s="10" t="s">
        <v>20</v>
      </c>
      <c r="D56" s="16" t="s">
        <v>157</v>
      </c>
      <c r="E56" s="12" t="s">
        <v>158</v>
      </c>
      <c r="F56" s="23" t="s">
        <v>152</v>
      </c>
      <c r="G56" s="17"/>
      <c r="H56" s="24">
        <v>6489.0</v>
      </c>
      <c r="I56" s="15">
        <f t="shared" si="1"/>
        <v>9733.5</v>
      </c>
      <c r="J56" s="15">
        <f t="shared" si="2"/>
        <v>8435.7</v>
      </c>
      <c r="K56" s="15">
        <f t="shared" si="3"/>
        <v>8435.7</v>
      </c>
      <c r="L56" s="15">
        <f t="shared" si="4"/>
        <v>7786.8</v>
      </c>
      <c r="M56" s="15">
        <f t="shared" si="5"/>
        <v>7462.35</v>
      </c>
      <c r="N56" s="15">
        <f t="shared" si="6"/>
        <v>10706.85</v>
      </c>
    </row>
    <row r="57">
      <c r="A57" s="8" t="s">
        <v>18</v>
      </c>
      <c r="B57" s="9" t="s">
        <v>19</v>
      </c>
      <c r="C57" s="10" t="s">
        <v>20</v>
      </c>
      <c r="D57" s="16" t="s">
        <v>157</v>
      </c>
      <c r="E57" s="12" t="s">
        <v>159</v>
      </c>
      <c r="F57" s="23" t="s">
        <v>154</v>
      </c>
      <c r="G57" s="21" t="s">
        <v>160</v>
      </c>
      <c r="H57" s="24">
        <v>10197.0</v>
      </c>
      <c r="I57" s="15">
        <f t="shared" si="1"/>
        <v>15295.5</v>
      </c>
      <c r="J57" s="15">
        <f t="shared" si="2"/>
        <v>13256.1</v>
      </c>
      <c r="K57" s="15">
        <f t="shared" si="3"/>
        <v>13256.1</v>
      </c>
      <c r="L57" s="15">
        <f t="shared" si="4"/>
        <v>12236.4</v>
      </c>
      <c r="M57" s="15">
        <f t="shared" si="5"/>
        <v>11726.55</v>
      </c>
      <c r="N57" s="15">
        <f t="shared" si="6"/>
        <v>16825.05</v>
      </c>
    </row>
    <row r="58">
      <c r="A58" s="8" t="s">
        <v>18</v>
      </c>
      <c r="B58" s="9" t="s">
        <v>19</v>
      </c>
      <c r="C58" s="10" t="s">
        <v>20</v>
      </c>
      <c r="D58" s="16" t="s">
        <v>157</v>
      </c>
      <c r="E58" s="12" t="s">
        <v>161</v>
      </c>
      <c r="F58" s="23" t="s">
        <v>162</v>
      </c>
      <c r="G58" s="21" t="s">
        <v>163</v>
      </c>
      <c r="H58" s="24">
        <v>13905.0</v>
      </c>
      <c r="I58" s="15">
        <f t="shared" si="1"/>
        <v>20857.5</v>
      </c>
      <c r="J58" s="15">
        <f t="shared" si="2"/>
        <v>18076.5</v>
      </c>
      <c r="K58" s="15">
        <f t="shared" si="3"/>
        <v>18076.5</v>
      </c>
      <c r="L58" s="15">
        <f t="shared" si="4"/>
        <v>16686</v>
      </c>
      <c r="M58" s="15">
        <f t="shared" si="5"/>
        <v>15990.75</v>
      </c>
      <c r="N58" s="15">
        <f t="shared" si="6"/>
        <v>22943.25</v>
      </c>
    </row>
    <row r="59">
      <c r="A59" s="8" t="s">
        <v>18</v>
      </c>
      <c r="B59" s="9" t="s">
        <v>19</v>
      </c>
      <c r="C59" s="10" t="s">
        <v>20</v>
      </c>
      <c r="D59" s="16" t="s">
        <v>164</v>
      </c>
      <c r="E59" s="12" t="s">
        <v>165</v>
      </c>
      <c r="F59" s="23" t="s">
        <v>166</v>
      </c>
      <c r="G59" s="17"/>
      <c r="H59" s="24">
        <v>5294.0</v>
      </c>
      <c r="I59" s="15">
        <f t="shared" si="1"/>
        <v>7941</v>
      </c>
      <c r="J59" s="15">
        <f t="shared" si="2"/>
        <v>6882.2</v>
      </c>
      <c r="K59" s="15">
        <f t="shared" si="3"/>
        <v>6882.2</v>
      </c>
      <c r="L59" s="15">
        <f t="shared" si="4"/>
        <v>6352.8</v>
      </c>
      <c r="M59" s="15">
        <f t="shared" si="5"/>
        <v>6088.1</v>
      </c>
      <c r="N59" s="15">
        <f t="shared" si="6"/>
        <v>8735.1</v>
      </c>
    </row>
    <row r="60">
      <c r="A60" s="8" t="s">
        <v>18</v>
      </c>
      <c r="B60" s="9" t="s">
        <v>19</v>
      </c>
      <c r="C60" s="10" t="s">
        <v>20</v>
      </c>
      <c r="D60" s="16" t="s">
        <v>164</v>
      </c>
      <c r="E60" s="12" t="s">
        <v>167</v>
      </c>
      <c r="F60" s="23" t="s">
        <v>168</v>
      </c>
      <c r="G60" s="17"/>
      <c r="H60" s="24">
        <v>6963.0</v>
      </c>
      <c r="I60" s="15">
        <f t="shared" si="1"/>
        <v>10444.5</v>
      </c>
      <c r="J60" s="15">
        <f t="shared" si="2"/>
        <v>9051.9</v>
      </c>
      <c r="K60" s="15">
        <f t="shared" si="3"/>
        <v>9051.9</v>
      </c>
      <c r="L60" s="15">
        <f t="shared" si="4"/>
        <v>8355.6</v>
      </c>
      <c r="M60" s="15">
        <f t="shared" si="5"/>
        <v>8007.45</v>
      </c>
      <c r="N60" s="15">
        <f t="shared" si="6"/>
        <v>11488.95</v>
      </c>
    </row>
    <row r="61">
      <c r="A61" s="8" t="s">
        <v>18</v>
      </c>
      <c r="B61" s="9" t="s">
        <v>19</v>
      </c>
      <c r="C61" s="10" t="s">
        <v>20</v>
      </c>
      <c r="D61" s="16" t="s">
        <v>164</v>
      </c>
      <c r="E61" s="12" t="s">
        <v>169</v>
      </c>
      <c r="F61" s="23" t="s">
        <v>170</v>
      </c>
      <c r="G61" s="17"/>
      <c r="H61" s="24">
        <v>8343.0</v>
      </c>
      <c r="I61" s="15">
        <f t="shared" si="1"/>
        <v>12514.5</v>
      </c>
      <c r="J61" s="15">
        <f t="shared" si="2"/>
        <v>10845.9</v>
      </c>
      <c r="K61" s="15">
        <f t="shared" si="3"/>
        <v>10845.9</v>
      </c>
      <c r="L61" s="15">
        <f t="shared" si="4"/>
        <v>10011.6</v>
      </c>
      <c r="M61" s="15">
        <f t="shared" si="5"/>
        <v>9594.45</v>
      </c>
      <c r="N61" s="15">
        <f t="shared" si="6"/>
        <v>13765.95</v>
      </c>
    </row>
    <row r="62">
      <c r="A62" s="8" t="s">
        <v>18</v>
      </c>
      <c r="B62" s="9" t="s">
        <v>19</v>
      </c>
      <c r="C62" s="10" t="s">
        <v>20</v>
      </c>
      <c r="D62" s="16" t="s">
        <v>164</v>
      </c>
      <c r="E62" s="12" t="s">
        <v>171</v>
      </c>
      <c r="F62" s="23" t="s">
        <v>172</v>
      </c>
      <c r="G62" s="17"/>
      <c r="H62" s="24">
        <v>8343.0</v>
      </c>
      <c r="I62" s="15">
        <f t="shared" si="1"/>
        <v>12514.5</v>
      </c>
      <c r="J62" s="15">
        <f t="shared" si="2"/>
        <v>10845.9</v>
      </c>
      <c r="K62" s="15">
        <f t="shared" si="3"/>
        <v>10845.9</v>
      </c>
      <c r="L62" s="15">
        <f t="shared" si="4"/>
        <v>10011.6</v>
      </c>
      <c r="M62" s="15">
        <f t="shared" si="5"/>
        <v>9594.45</v>
      </c>
      <c r="N62" s="15">
        <f t="shared" si="6"/>
        <v>13765.95</v>
      </c>
    </row>
    <row r="63">
      <c r="A63" s="8" t="s">
        <v>18</v>
      </c>
      <c r="B63" s="9" t="s">
        <v>19</v>
      </c>
      <c r="C63" s="10" t="s">
        <v>20</v>
      </c>
      <c r="D63" s="16" t="s">
        <v>173</v>
      </c>
      <c r="E63" s="12" t="s">
        <v>174</v>
      </c>
      <c r="F63" s="23" t="s">
        <v>175</v>
      </c>
      <c r="G63" s="17"/>
      <c r="H63" s="24">
        <v>8817.0</v>
      </c>
      <c r="I63" s="15">
        <f t="shared" si="1"/>
        <v>13225.5</v>
      </c>
      <c r="J63" s="15">
        <f t="shared" si="2"/>
        <v>11462.1</v>
      </c>
      <c r="K63" s="15">
        <f t="shared" si="3"/>
        <v>11462.1</v>
      </c>
      <c r="L63" s="15">
        <f t="shared" si="4"/>
        <v>10580.4</v>
      </c>
      <c r="M63" s="15">
        <f t="shared" si="5"/>
        <v>10139.55</v>
      </c>
      <c r="N63" s="15">
        <f t="shared" si="6"/>
        <v>14548.05</v>
      </c>
    </row>
    <row r="64">
      <c r="A64" s="8" t="s">
        <v>18</v>
      </c>
      <c r="B64" s="9" t="s">
        <v>19</v>
      </c>
      <c r="C64" s="10" t="s">
        <v>20</v>
      </c>
      <c r="D64" s="16" t="s">
        <v>173</v>
      </c>
      <c r="E64" s="12" t="s">
        <v>176</v>
      </c>
      <c r="F64" s="23" t="s">
        <v>177</v>
      </c>
      <c r="G64" s="17"/>
      <c r="H64" s="24">
        <v>12525.0</v>
      </c>
      <c r="I64" s="15">
        <f t="shared" si="1"/>
        <v>18787.5</v>
      </c>
      <c r="J64" s="15">
        <f t="shared" si="2"/>
        <v>16282.5</v>
      </c>
      <c r="K64" s="15">
        <f t="shared" si="3"/>
        <v>16282.5</v>
      </c>
      <c r="L64" s="15">
        <f t="shared" si="4"/>
        <v>15030</v>
      </c>
      <c r="M64" s="15">
        <f t="shared" si="5"/>
        <v>14403.75</v>
      </c>
      <c r="N64" s="15">
        <f t="shared" si="6"/>
        <v>20666.25</v>
      </c>
    </row>
    <row r="65">
      <c r="A65" s="8" t="s">
        <v>18</v>
      </c>
      <c r="B65" s="9" t="s">
        <v>19</v>
      </c>
      <c r="C65" s="10" t="s">
        <v>20</v>
      </c>
      <c r="D65" s="16" t="s">
        <v>173</v>
      </c>
      <c r="E65" s="12" t="s">
        <v>178</v>
      </c>
      <c r="F65" s="23" t="s">
        <v>179</v>
      </c>
      <c r="G65" s="17"/>
      <c r="H65" s="24">
        <v>16233.0</v>
      </c>
      <c r="I65" s="15">
        <f t="shared" si="1"/>
        <v>24349.5</v>
      </c>
      <c r="J65" s="15">
        <f t="shared" si="2"/>
        <v>21102.9</v>
      </c>
      <c r="K65" s="15">
        <f t="shared" si="3"/>
        <v>21102.9</v>
      </c>
      <c r="L65" s="15">
        <f t="shared" si="4"/>
        <v>19479.6</v>
      </c>
      <c r="M65" s="15">
        <f t="shared" si="5"/>
        <v>18667.95</v>
      </c>
      <c r="N65" s="15">
        <f t="shared" si="6"/>
        <v>26784.45</v>
      </c>
    </row>
    <row r="66">
      <c r="A66" s="8" t="s">
        <v>18</v>
      </c>
      <c r="B66" s="9" t="s">
        <v>19</v>
      </c>
      <c r="C66" s="10" t="s">
        <v>20</v>
      </c>
      <c r="D66" s="16" t="s">
        <v>180</v>
      </c>
      <c r="E66" s="12" t="s">
        <v>181</v>
      </c>
      <c r="F66" s="23" t="s">
        <v>182</v>
      </c>
      <c r="G66" s="17"/>
      <c r="H66" s="24">
        <v>24102.0</v>
      </c>
      <c r="I66" s="15">
        <f t="shared" si="1"/>
        <v>36153</v>
      </c>
      <c r="J66" s="15">
        <f t="shared" si="2"/>
        <v>31332.6</v>
      </c>
      <c r="K66" s="15">
        <f t="shared" si="3"/>
        <v>31332.6</v>
      </c>
      <c r="L66" s="15">
        <f t="shared" si="4"/>
        <v>28922.4</v>
      </c>
      <c r="M66" s="15">
        <f t="shared" si="5"/>
        <v>27717.3</v>
      </c>
      <c r="N66" s="15">
        <f t="shared" si="6"/>
        <v>39768.3</v>
      </c>
    </row>
    <row r="67">
      <c r="A67" s="8" t="s">
        <v>18</v>
      </c>
      <c r="B67" s="9" t="s">
        <v>19</v>
      </c>
      <c r="C67" s="10" t="s">
        <v>20</v>
      </c>
      <c r="D67" s="16" t="s">
        <v>180</v>
      </c>
      <c r="E67" s="12" t="s">
        <v>183</v>
      </c>
      <c r="F67" s="23" t="s">
        <v>184</v>
      </c>
      <c r="G67" s="17"/>
      <c r="H67" s="24">
        <v>38934.0</v>
      </c>
      <c r="I67" s="15">
        <f t="shared" si="1"/>
        <v>58401</v>
      </c>
      <c r="J67" s="15">
        <f t="shared" si="2"/>
        <v>50614.2</v>
      </c>
      <c r="K67" s="15">
        <f t="shared" si="3"/>
        <v>50614.2</v>
      </c>
      <c r="L67" s="15">
        <f t="shared" si="4"/>
        <v>46720.8</v>
      </c>
      <c r="M67" s="15">
        <f t="shared" si="5"/>
        <v>44774.1</v>
      </c>
      <c r="N67" s="15">
        <f t="shared" si="6"/>
        <v>64241.1</v>
      </c>
    </row>
    <row r="68">
      <c r="A68" s="8" t="s">
        <v>18</v>
      </c>
      <c r="B68" s="9" t="s">
        <v>19</v>
      </c>
      <c r="C68" s="10" t="s">
        <v>185</v>
      </c>
      <c r="D68" s="16" t="s">
        <v>186</v>
      </c>
      <c r="E68" s="12" t="s">
        <v>187</v>
      </c>
      <c r="F68" s="23" t="s">
        <v>188</v>
      </c>
      <c r="G68" s="17"/>
      <c r="H68" s="24">
        <v>12053.0</v>
      </c>
      <c r="I68" s="15">
        <f t="shared" si="1"/>
        <v>18079.5</v>
      </c>
      <c r="J68" s="15">
        <f t="shared" si="2"/>
        <v>15668.9</v>
      </c>
      <c r="K68" s="15">
        <f t="shared" si="3"/>
        <v>15668.9</v>
      </c>
      <c r="L68" s="15">
        <f t="shared" si="4"/>
        <v>14463.6</v>
      </c>
      <c r="M68" s="15">
        <f t="shared" si="5"/>
        <v>13860.95</v>
      </c>
      <c r="N68" s="15">
        <f t="shared" si="6"/>
        <v>19887.45</v>
      </c>
    </row>
    <row r="69">
      <c r="A69" s="8" t="s">
        <v>18</v>
      </c>
      <c r="B69" s="9" t="s">
        <v>19</v>
      </c>
      <c r="C69" s="10" t="s">
        <v>185</v>
      </c>
      <c r="D69" s="16" t="s">
        <v>186</v>
      </c>
      <c r="E69" s="12" t="s">
        <v>189</v>
      </c>
      <c r="F69" s="23" t="s">
        <v>190</v>
      </c>
      <c r="G69" s="17"/>
      <c r="H69" s="24">
        <v>14834.0</v>
      </c>
      <c r="I69" s="15">
        <f t="shared" si="1"/>
        <v>22251</v>
      </c>
      <c r="J69" s="15">
        <f t="shared" si="2"/>
        <v>19284.2</v>
      </c>
      <c r="K69" s="15">
        <f t="shared" si="3"/>
        <v>19284.2</v>
      </c>
      <c r="L69" s="15">
        <f t="shared" si="4"/>
        <v>17800.8</v>
      </c>
      <c r="M69" s="15">
        <f t="shared" si="5"/>
        <v>17059.1</v>
      </c>
      <c r="N69" s="15">
        <f t="shared" si="6"/>
        <v>24476.1</v>
      </c>
    </row>
    <row r="70">
      <c r="A70" s="8" t="s">
        <v>18</v>
      </c>
      <c r="B70" s="9" t="s">
        <v>19</v>
      </c>
      <c r="C70" s="10" t="s">
        <v>185</v>
      </c>
      <c r="D70" s="16" t="s">
        <v>186</v>
      </c>
      <c r="E70" s="12" t="s">
        <v>191</v>
      </c>
      <c r="F70" s="23" t="s">
        <v>192</v>
      </c>
      <c r="G70" s="17"/>
      <c r="H70" s="24">
        <v>3708.0</v>
      </c>
      <c r="I70" s="15">
        <f t="shared" si="1"/>
        <v>5562</v>
      </c>
      <c r="J70" s="15">
        <f t="shared" si="2"/>
        <v>4820.4</v>
      </c>
      <c r="K70" s="15">
        <f t="shared" si="3"/>
        <v>4820.4</v>
      </c>
      <c r="L70" s="15">
        <f t="shared" si="4"/>
        <v>4449.6</v>
      </c>
      <c r="M70" s="15">
        <f t="shared" si="5"/>
        <v>4264.2</v>
      </c>
      <c r="N70" s="15">
        <f t="shared" si="6"/>
        <v>6118.2</v>
      </c>
    </row>
    <row r="71">
      <c r="A71" s="8" t="s">
        <v>18</v>
      </c>
      <c r="B71" s="9" t="s">
        <v>19</v>
      </c>
      <c r="C71" s="10" t="s">
        <v>185</v>
      </c>
      <c r="D71" s="16" t="s">
        <v>186</v>
      </c>
      <c r="E71" s="12" t="s">
        <v>193</v>
      </c>
      <c r="F71" s="23" t="s">
        <v>194</v>
      </c>
      <c r="G71" s="17"/>
      <c r="H71" s="24">
        <v>6036.0</v>
      </c>
      <c r="I71" s="15">
        <f t="shared" si="1"/>
        <v>9054</v>
      </c>
      <c r="J71" s="15">
        <f t="shared" si="2"/>
        <v>7846.8</v>
      </c>
      <c r="K71" s="15">
        <f t="shared" si="3"/>
        <v>7846.8</v>
      </c>
      <c r="L71" s="15">
        <f t="shared" si="4"/>
        <v>7243.2</v>
      </c>
      <c r="M71" s="15">
        <f t="shared" si="5"/>
        <v>6941.4</v>
      </c>
      <c r="N71" s="15">
        <f t="shared" si="6"/>
        <v>9959.4</v>
      </c>
    </row>
    <row r="72">
      <c r="A72" s="8" t="s">
        <v>18</v>
      </c>
      <c r="B72" s="9" t="s">
        <v>19</v>
      </c>
      <c r="C72" s="10" t="s">
        <v>185</v>
      </c>
      <c r="D72" s="16" t="s">
        <v>186</v>
      </c>
      <c r="E72" s="12" t="s">
        <v>195</v>
      </c>
      <c r="F72" s="23" t="s">
        <v>196</v>
      </c>
      <c r="G72" s="17"/>
      <c r="H72" s="24">
        <v>9744.0</v>
      </c>
      <c r="I72" s="15">
        <f t="shared" si="1"/>
        <v>14616</v>
      </c>
      <c r="J72" s="15">
        <f t="shared" si="2"/>
        <v>12667.2</v>
      </c>
      <c r="K72" s="15">
        <f t="shared" si="3"/>
        <v>12667.2</v>
      </c>
      <c r="L72" s="15">
        <f t="shared" si="4"/>
        <v>11692.8</v>
      </c>
      <c r="M72" s="15">
        <f t="shared" si="5"/>
        <v>11205.6</v>
      </c>
      <c r="N72" s="15">
        <f t="shared" si="6"/>
        <v>16077.6</v>
      </c>
    </row>
    <row r="73">
      <c r="A73" s="8" t="s">
        <v>18</v>
      </c>
      <c r="B73" s="9" t="s">
        <v>19</v>
      </c>
      <c r="C73" s="10" t="s">
        <v>185</v>
      </c>
      <c r="D73" s="16" t="s">
        <v>186</v>
      </c>
      <c r="E73" s="12" t="s">
        <v>197</v>
      </c>
      <c r="F73" s="23" t="s">
        <v>198</v>
      </c>
      <c r="G73" s="17"/>
      <c r="H73" s="24">
        <v>13452.0</v>
      </c>
      <c r="I73" s="15">
        <f t="shared" si="1"/>
        <v>20178</v>
      </c>
      <c r="J73" s="15">
        <f t="shared" si="2"/>
        <v>17487.6</v>
      </c>
      <c r="K73" s="15">
        <f t="shared" si="3"/>
        <v>17487.6</v>
      </c>
      <c r="L73" s="15">
        <f t="shared" si="4"/>
        <v>16142.4</v>
      </c>
      <c r="M73" s="15">
        <f t="shared" si="5"/>
        <v>15469.8</v>
      </c>
      <c r="N73" s="15">
        <f t="shared" si="6"/>
        <v>22195.8</v>
      </c>
    </row>
    <row r="74">
      <c r="A74" s="8" t="s">
        <v>18</v>
      </c>
      <c r="B74" s="9" t="s">
        <v>19</v>
      </c>
      <c r="C74" s="10" t="s">
        <v>185</v>
      </c>
      <c r="D74" s="16" t="s">
        <v>180</v>
      </c>
      <c r="E74" s="12" t="s">
        <v>199</v>
      </c>
      <c r="F74" s="23" t="s">
        <v>200</v>
      </c>
      <c r="G74" s="17"/>
      <c r="H74" s="24">
        <v>32445.0</v>
      </c>
      <c r="I74" s="15">
        <f t="shared" si="1"/>
        <v>48667.5</v>
      </c>
      <c r="J74" s="15">
        <f t="shared" si="2"/>
        <v>42178.5</v>
      </c>
      <c r="K74" s="15">
        <f t="shared" si="3"/>
        <v>42178.5</v>
      </c>
      <c r="L74" s="15">
        <f t="shared" si="4"/>
        <v>38934</v>
      </c>
      <c r="M74" s="15">
        <f t="shared" si="5"/>
        <v>37311.75</v>
      </c>
      <c r="N74" s="15">
        <f t="shared" si="6"/>
        <v>53534.25</v>
      </c>
    </row>
    <row r="75">
      <c r="A75" s="8" t="s">
        <v>18</v>
      </c>
      <c r="B75" s="9" t="s">
        <v>19</v>
      </c>
      <c r="C75" s="10" t="s">
        <v>35</v>
      </c>
      <c r="D75" s="16" t="s">
        <v>36</v>
      </c>
      <c r="E75" s="12" t="s">
        <v>201</v>
      </c>
      <c r="F75" s="23" t="s">
        <v>202</v>
      </c>
      <c r="G75" s="17"/>
      <c r="H75" s="24">
        <v>3708.0</v>
      </c>
      <c r="I75" s="15">
        <f t="shared" si="1"/>
        <v>5562</v>
      </c>
      <c r="J75" s="15">
        <f t="shared" si="2"/>
        <v>4820.4</v>
      </c>
      <c r="K75" s="15">
        <f t="shared" si="3"/>
        <v>4820.4</v>
      </c>
      <c r="L75" s="15">
        <f t="shared" si="4"/>
        <v>4449.6</v>
      </c>
      <c r="M75" s="15">
        <f t="shared" si="5"/>
        <v>4264.2</v>
      </c>
      <c r="N75" s="15">
        <f t="shared" si="6"/>
        <v>6118.2</v>
      </c>
    </row>
    <row r="76">
      <c r="A76" s="8" t="s">
        <v>18</v>
      </c>
      <c r="B76" s="9" t="s">
        <v>19</v>
      </c>
      <c r="C76" s="10" t="s">
        <v>35</v>
      </c>
      <c r="D76" s="16" t="s">
        <v>36</v>
      </c>
      <c r="E76" s="12" t="s">
        <v>203</v>
      </c>
      <c r="F76" s="23" t="s">
        <v>204</v>
      </c>
      <c r="G76" s="17"/>
      <c r="H76" s="24">
        <v>3069.0</v>
      </c>
      <c r="I76" s="15">
        <f t="shared" si="1"/>
        <v>4603.5</v>
      </c>
      <c r="J76" s="15">
        <f t="shared" si="2"/>
        <v>3989.7</v>
      </c>
      <c r="K76" s="15">
        <f t="shared" si="3"/>
        <v>3989.7</v>
      </c>
      <c r="L76" s="15">
        <f t="shared" si="4"/>
        <v>3682.8</v>
      </c>
      <c r="M76" s="15">
        <f t="shared" si="5"/>
        <v>3529.35</v>
      </c>
      <c r="N76" s="15">
        <f t="shared" si="6"/>
        <v>5063.85</v>
      </c>
    </row>
    <row r="77">
      <c r="A77" s="8" t="s">
        <v>18</v>
      </c>
      <c r="B77" s="9" t="s">
        <v>19</v>
      </c>
      <c r="C77" s="10" t="s">
        <v>35</v>
      </c>
      <c r="D77" s="16" t="s">
        <v>36</v>
      </c>
      <c r="E77" s="12" t="s">
        <v>205</v>
      </c>
      <c r="F77" s="23" t="s">
        <v>206</v>
      </c>
      <c r="G77" s="17"/>
      <c r="H77" s="24">
        <v>1483.0</v>
      </c>
      <c r="I77" s="15">
        <f t="shared" si="1"/>
        <v>2224.5</v>
      </c>
      <c r="J77" s="15">
        <f t="shared" si="2"/>
        <v>1927.9</v>
      </c>
      <c r="K77" s="15">
        <f t="shared" si="3"/>
        <v>1927.9</v>
      </c>
      <c r="L77" s="15">
        <f t="shared" si="4"/>
        <v>1779.6</v>
      </c>
      <c r="M77" s="15">
        <f t="shared" si="5"/>
        <v>1705.45</v>
      </c>
      <c r="N77" s="15">
        <f t="shared" si="6"/>
        <v>2446.95</v>
      </c>
    </row>
    <row r="78">
      <c r="A78" s="8" t="s">
        <v>18</v>
      </c>
      <c r="B78" s="9" t="s">
        <v>19</v>
      </c>
      <c r="C78" s="10" t="s">
        <v>35</v>
      </c>
      <c r="D78" s="16" t="s">
        <v>207</v>
      </c>
      <c r="E78" s="12" t="s">
        <v>208</v>
      </c>
      <c r="F78" s="23" t="s">
        <v>209</v>
      </c>
      <c r="G78" s="17"/>
      <c r="H78" s="24">
        <v>1854.0</v>
      </c>
      <c r="I78" s="15">
        <f t="shared" si="1"/>
        <v>2781</v>
      </c>
      <c r="J78" s="15">
        <f t="shared" si="2"/>
        <v>2410.2</v>
      </c>
      <c r="K78" s="15">
        <f t="shared" si="3"/>
        <v>2410.2</v>
      </c>
      <c r="L78" s="15">
        <f t="shared" si="4"/>
        <v>2224.8</v>
      </c>
      <c r="M78" s="15">
        <f t="shared" si="5"/>
        <v>2132.1</v>
      </c>
      <c r="N78" s="15">
        <f t="shared" si="6"/>
        <v>3059.1</v>
      </c>
    </row>
    <row r="79">
      <c r="A79" s="8" t="s">
        <v>18</v>
      </c>
      <c r="B79" s="9" t="s">
        <v>19</v>
      </c>
      <c r="C79" s="10" t="s">
        <v>35</v>
      </c>
      <c r="D79" s="16" t="s">
        <v>207</v>
      </c>
      <c r="E79" s="12" t="s">
        <v>210</v>
      </c>
      <c r="F79" s="23" t="s">
        <v>211</v>
      </c>
      <c r="G79" s="17"/>
      <c r="H79" s="24">
        <v>1030.0</v>
      </c>
      <c r="I79" s="15">
        <f t="shared" si="1"/>
        <v>1545</v>
      </c>
      <c r="J79" s="15">
        <f t="shared" si="2"/>
        <v>1339</v>
      </c>
      <c r="K79" s="15">
        <f t="shared" si="3"/>
        <v>1339</v>
      </c>
      <c r="L79" s="15">
        <f t="shared" si="4"/>
        <v>1236</v>
      </c>
      <c r="M79" s="15">
        <f t="shared" si="5"/>
        <v>1184.5</v>
      </c>
      <c r="N79" s="15">
        <f t="shared" si="6"/>
        <v>1699.5</v>
      </c>
    </row>
    <row r="80">
      <c r="A80" s="8" t="s">
        <v>18</v>
      </c>
      <c r="B80" s="9" t="s">
        <v>19</v>
      </c>
      <c r="C80" s="10" t="s">
        <v>35</v>
      </c>
      <c r="D80" s="16" t="s">
        <v>207</v>
      </c>
      <c r="E80" s="12" t="s">
        <v>212</v>
      </c>
      <c r="F80" s="23" t="s">
        <v>213</v>
      </c>
      <c r="G80" s="17"/>
      <c r="H80" s="24">
        <v>1483.0</v>
      </c>
      <c r="I80" s="15">
        <f t="shared" si="1"/>
        <v>2224.5</v>
      </c>
      <c r="J80" s="15">
        <f t="shared" si="2"/>
        <v>1927.9</v>
      </c>
      <c r="K80" s="15">
        <f t="shared" si="3"/>
        <v>1927.9</v>
      </c>
      <c r="L80" s="15">
        <f t="shared" si="4"/>
        <v>1779.6</v>
      </c>
      <c r="M80" s="15">
        <f t="shared" si="5"/>
        <v>1705.45</v>
      </c>
      <c r="N80" s="15">
        <f t="shared" si="6"/>
        <v>2446.95</v>
      </c>
    </row>
    <row r="81">
      <c r="A81" s="8" t="s">
        <v>18</v>
      </c>
      <c r="B81" s="9" t="s">
        <v>19</v>
      </c>
      <c r="C81" s="10" t="s">
        <v>35</v>
      </c>
      <c r="D81" s="16" t="s">
        <v>214</v>
      </c>
      <c r="E81" s="12" t="s">
        <v>215</v>
      </c>
      <c r="F81" s="23" t="s">
        <v>216</v>
      </c>
      <c r="G81" s="17"/>
      <c r="H81" s="24">
        <v>4635.0</v>
      </c>
      <c r="I81" s="15">
        <f t="shared" si="1"/>
        <v>6952.5</v>
      </c>
      <c r="J81" s="15">
        <f t="shared" si="2"/>
        <v>6025.5</v>
      </c>
      <c r="K81" s="15">
        <f t="shared" si="3"/>
        <v>6025.5</v>
      </c>
      <c r="L81" s="15">
        <f t="shared" si="4"/>
        <v>5562</v>
      </c>
      <c r="M81" s="15">
        <f t="shared" si="5"/>
        <v>5330.25</v>
      </c>
      <c r="N81" s="15">
        <f t="shared" si="6"/>
        <v>7647.75</v>
      </c>
    </row>
    <row r="82">
      <c r="A82" s="8" t="s">
        <v>18</v>
      </c>
      <c r="B82" s="9" t="s">
        <v>19</v>
      </c>
      <c r="C82" s="10" t="s">
        <v>35</v>
      </c>
      <c r="D82" s="16" t="s">
        <v>214</v>
      </c>
      <c r="E82" s="12" t="s">
        <v>217</v>
      </c>
      <c r="F82" s="23" t="s">
        <v>218</v>
      </c>
      <c r="G82" s="17"/>
      <c r="H82" s="24">
        <v>556.0</v>
      </c>
      <c r="I82" s="15">
        <f t="shared" si="1"/>
        <v>834</v>
      </c>
      <c r="J82" s="15">
        <f t="shared" si="2"/>
        <v>722.8</v>
      </c>
      <c r="K82" s="15">
        <f t="shared" si="3"/>
        <v>722.8</v>
      </c>
      <c r="L82" s="15">
        <f t="shared" si="4"/>
        <v>667.2</v>
      </c>
      <c r="M82" s="15">
        <f t="shared" si="5"/>
        <v>639.4</v>
      </c>
      <c r="N82" s="15">
        <f t="shared" si="6"/>
        <v>917.4</v>
      </c>
    </row>
    <row r="83">
      <c r="A83" s="8" t="s">
        <v>18</v>
      </c>
      <c r="B83" s="9" t="s">
        <v>19</v>
      </c>
      <c r="C83" s="10" t="s">
        <v>35</v>
      </c>
      <c r="D83" s="16" t="s">
        <v>214</v>
      </c>
      <c r="E83" s="12" t="s">
        <v>219</v>
      </c>
      <c r="F83" s="23" t="s">
        <v>220</v>
      </c>
      <c r="G83" s="17"/>
      <c r="H83" s="24">
        <v>742.0</v>
      </c>
      <c r="I83" s="15">
        <f t="shared" si="1"/>
        <v>1113</v>
      </c>
      <c r="J83" s="15">
        <f t="shared" si="2"/>
        <v>964.6</v>
      </c>
      <c r="K83" s="15">
        <f t="shared" si="3"/>
        <v>964.6</v>
      </c>
      <c r="L83" s="15">
        <f t="shared" si="4"/>
        <v>890.4</v>
      </c>
      <c r="M83" s="15">
        <f t="shared" si="5"/>
        <v>853.3</v>
      </c>
      <c r="N83" s="15">
        <f t="shared" si="6"/>
        <v>1224.3</v>
      </c>
    </row>
    <row r="84">
      <c r="A84" s="8" t="s">
        <v>18</v>
      </c>
      <c r="B84" s="9" t="s">
        <v>19</v>
      </c>
      <c r="C84" s="10" t="s">
        <v>35</v>
      </c>
      <c r="D84" s="16" t="s">
        <v>214</v>
      </c>
      <c r="E84" s="12" t="s">
        <v>221</v>
      </c>
      <c r="F84" s="23" t="s">
        <v>222</v>
      </c>
      <c r="G84" s="17"/>
      <c r="H84" s="24">
        <v>556.0</v>
      </c>
      <c r="I84" s="15">
        <f t="shared" si="1"/>
        <v>834</v>
      </c>
      <c r="J84" s="15">
        <f t="shared" si="2"/>
        <v>722.8</v>
      </c>
      <c r="K84" s="15">
        <f t="shared" si="3"/>
        <v>722.8</v>
      </c>
      <c r="L84" s="15">
        <f t="shared" si="4"/>
        <v>667.2</v>
      </c>
      <c r="M84" s="15">
        <f t="shared" si="5"/>
        <v>639.4</v>
      </c>
      <c r="N84" s="15">
        <f t="shared" si="6"/>
        <v>917.4</v>
      </c>
    </row>
    <row r="85">
      <c r="A85" s="8" t="s">
        <v>18</v>
      </c>
      <c r="B85" s="9" t="s">
        <v>19</v>
      </c>
      <c r="C85" s="10" t="s">
        <v>35</v>
      </c>
      <c r="D85" s="16" t="s">
        <v>214</v>
      </c>
      <c r="E85" s="12" t="s">
        <v>223</v>
      </c>
      <c r="F85" s="23" t="s">
        <v>224</v>
      </c>
      <c r="G85" s="17"/>
      <c r="H85" s="24">
        <v>742.0</v>
      </c>
      <c r="I85" s="15">
        <f t="shared" si="1"/>
        <v>1113</v>
      </c>
      <c r="J85" s="15">
        <f t="shared" si="2"/>
        <v>964.6</v>
      </c>
      <c r="K85" s="15">
        <f t="shared" si="3"/>
        <v>964.6</v>
      </c>
      <c r="L85" s="15">
        <f t="shared" si="4"/>
        <v>890.4</v>
      </c>
      <c r="M85" s="15">
        <f t="shared" si="5"/>
        <v>853.3</v>
      </c>
      <c r="N85" s="15">
        <f t="shared" si="6"/>
        <v>1224.3</v>
      </c>
    </row>
    <row r="86">
      <c r="A86" s="8" t="s">
        <v>18</v>
      </c>
      <c r="B86" s="9" t="s">
        <v>19</v>
      </c>
      <c r="C86" s="12"/>
      <c r="D86" s="12"/>
      <c r="E86" s="12" t="s">
        <v>225</v>
      </c>
      <c r="F86" s="23" t="s">
        <v>226</v>
      </c>
      <c r="G86" s="17"/>
      <c r="H86" s="24">
        <v>11598.0</v>
      </c>
      <c r="I86" s="15">
        <f t="shared" si="1"/>
        <v>17397</v>
      </c>
      <c r="J86" s="15">
        <f t="shared" si="2"/>
        <v>15077.4</v>
      </c>
      <c r="K86" s="15">
        <f t="shared" si="3"/>
        <v>15077.4</v>
      </c>
      <c r="L86" s="15">
        <f t="shared" si="4"/>
        <v>13917.6</v>
      </c>
      <c r="M86" s="15">
        <f t="shared" si="5"/>
        <v>13337.7</v>
      </c>
      <c r="N86" s="15">
        <f t="shared" si="6"/>
        <v>19136.7</v>
      </c>
    </row>
    <row r="87">
      <c r="A87" s="8" t="s">
        <v>18</v>
      </c>
      <c r="B87" s="9" t="s">
        <v>19</v>
      </c>
      <c r="C87" s="10" t="s">
        <v>35</v>
      </c>
      <c r="D87" s="16" t="s">
        <v>214</v>
      </c>
      <c r="E87" s="12" t="s">
        <v>227</v>
      </c>
      <c r="F87" s="23" t="s">
        <v>228</v>
      </c>
      <c r="G87" s="17"/>
      <c r="H87" s="24">
        <v>659.0</v>
      </c>
      <c r="I87" s="15">
        <f t="shared" si="1"/>
        <v>988.5</v>
      </c>
      <c r="J87" s="15">
        <f t="shared" si="2"/>
        <v>856.7</v>
      </c>
      <c r="K87" s="15">
        <f t="shared" si="3"/>
        <v>856.7</v>
      </c>
      <c r="L87" s="15">
        <f t="shared" si="4"/>
        <v>790.8</v>
      </c>
      <c r="M87" s="15">
        <f t="shared" si="5"/>
        <v>757.85</v>
      </c>
      <c r="N87" s="15">
        <f t="shared" si="6"/>
        <v>1087.35</v>
      </c>
    </row>
    <row r="88">
      <c r="A88" s="8" t="s">
        <v>18</v>
      </c>
      <c r="B88" s="9" t="s">
        <v>19</v>
      </c>
      <c r="C88" s="10" t="s">
        <v>35</v>
      </c>
      <c r="D88" s="16" t="s">
        <v>214</v>
      </c>
      <c r="E88" s="12" t="s">
        <v>229</v>
      </c>
      <c r="F88" s="23" t="s">
        <v>230</v>
      </c>
      <c r="G88" s="17"/>
      <c r="H88" s="24">
        <v>845.0</v>
      </c>
      <c r="I88" s="15">
        <f t="shared" si="1"/>
        <v>1267.5</v>
      </c>
      <c r="J88" s="15">
        <f t="shared" si="2"/>
        <v>1098.5</v>
      </c>
      <c r="K88" s="15">
        <f t="shared" si="3"/>
        <v>1098.5</v>
      </c>
      <c r="L88" s="15">
        <f t="shared" si="4"/>
        <v>1014</v>
      </c>
      <c r="M88" s="15">
        <f t="shared" si="5"/>
        <v>971.75</v>
      </c>
      <c r="N88" s="15">
        <f t="shared" si="6"/>
        <v>1394.25</v>
      </c>
    </row>
    <row r="89">
      <c r="A89" s="8" t="s">
        <v>18</v>
      </c>
      <c r="B89" s="9" t="s">
        <v>19</v>
      </c>
      <c r="C89" s="10" t="s">
        <v>35</v>
      </c>
      <c r="D89" s="16" t="s">
        <v>214</v>
      </c>
      <c r="E89" s="12" t="s">
        <v>231</v>
      </c>
      <c r="F89" s="23" t="s">
        <v>232</v>
      </c>
      <c r="G89" s="17"/>
      <c r="H89" s="24">
        <v>556.0</v>
      </c>
      <c r="I89" s="15">
        <f t="shared" si="1"/>
        <v>834</v>
      </c>
      <c r="J89" s="15">
        <f t="shared" si="2"/>
        <v>722.8</v>
      </c>
      <c r="K89" s="15">
        <f t="shared" si="3"/>
        <v>722.8</v>
      </c>
      <c r="L89" s="15">
        <f t="shared" si="4"/>
        <v>667.2</v>
      </c>
      <c r="M89" s="15">
        <f t="shared" si="5"/>
        <v>639.4</v>
      </c>
      <c r="N89" s="15">
        <f t="shared" si="6"/>
        <v>917.4</v>
      </c>
    </row>
    <row r="90">
      <c r="A90" s="8" t="s">
        <v>18</v>
      </c>
      <c r="B90" s="9" t="s">
        <v>19</v>
      </c>
      <c r="C90" s="10" t="s">
        <v>35</v>
      </c>
      <c r="D90" s="16" t="s">
        <v>214</v>
      </c>
      <c r="E90" s="12" t="s">
        <v>233</v>
      </c>
      <c r="F90" s="23" t="s">
        <v>234</v>
      </c>
      <c r="G90" s="17"/>
      <c r="H90" s="24">
        <v>742.0</v>
      </c>
      <c r="I90" s="15">
        <f t="shared" si="1"/>
        <v>1113</v>
      </c>
      <c r="J90" s="15">
        <f t="shared" si="2"/>
        <v>964.6</v>
      </c>
      <c r="K90" s="15">
        <f t="shared" si="3"/>
        <v>964.6</v>
      </c>
      <c r="L90" s="15">
        <f t="shared" si="4"/>
        <v>890.4</v>
      </c>
      <c r="M90" s="15">
        <f t="shared" si="5"/>
        <v>853.3</v>
      </c>
      <c r="N90" s="15">
        <f t="shared" si="6"/>
        <v>1224.3</v>
      </c>
    </row>
    <row r="91">
      <c r="A91" s="8" t="s">
        <v>18</v>
      </c>
      <c r="B91" s="9" t="s">
        <v>19</v>
      </c>
      <c r="C91" s="10" t="s">
        <v>35</v>
      </c>
      <c r="D91" s="16" t="s">
        <v>214</v>
      </c>
      <c r="E91" s="12" t="s">
        <v>235</v>
      </c>
      <c r="F91" s="23" t="s">
        <v>232</v>
      </c>
      <c r="G91" s="17"/>
      <c r="H91" s="24">
        <v>556.0</v>
      </c>
      <c r="I91" s="15">
        <f t="shared" si="1"/>
        <v>834</v>
      </c>
      <c r="J91" s="15">
        <f t="shared" si="2"/>
        <v>722.8</v>
      </c>
      <c r="K91" s="15">
        <f t="shared" si="3"/>
        <v>722.8</v>
      </c>
      <c r="L91" s="15">
        <f t="shared" si="4"/>
        <v>667.2</v>
      </c>
      <c r="M91" s="15">
        <f t="shared" si="5"/>
        <v>639.4</v>
      </c>
      <c r="N91" s="15">
        <f t="shared" si="6"/>
        <v>917.4</v>
      </c>
    </row>
    <row r="92">
      <c r="A92" s="8" t="s">
        <v>18</v>
      </c>
      <c r="B92" s="9" t="s">
        <v>19</v>
      </c>
      <c r="C92" s="10" t="s">
        <v>35</v>
      </c>
      <c r="D92" s="16" t="s">
        <v>214</v>
      </c>
      <c r="E92" s="12" t="s">
        <v>236</v>
      </c>
      <c r="F92" s="23" t="s">
        <v>234</v>
      </c>
      <c r="G92" s="17"/>
      <c r="H92" s="24">
        <v>742.0</v>
      </c>
      <c r="I92" s="15">
        <f t="shared" si="1"/>
        <v>1113</v>
      </c>
      <c r="J92" s="15">
        <f t="shared" si="2"/>
        <v>964.6</v>
      </c>
      <c r="K92" s="15">
        <f t="shared" si="3"/>
        <v>964.6</v>
      </c>
      <c r="L92" s="15">
        <f t="shared" si="4"/>
        <v>890.4</v>
      </c>
      <c r="M92" s="15">
        <f t="shared" si="5"/>
        <v>853.3</v>
      </c>
      <c r="N92" s="15">
        <f t="shared" si="6"/>
        <v>1224.3</v>
      </c>
    </row>
    <row r="93">
      <c r="A93" s="8" t="s">
        <v>18</v>
      </c>
      <c r="B93" s="9" t="s">
        <v>19</v>
      </c>
      <c r="C93" s="10" t="s">
        <v>35</v>
      </c>
      <c r="D93" s="16" t="s">
        <v>214</v>
      </c>
      <c r="E93" s="12" t="s">
        <v>237</v>
      </c>
      <c r="F93" s="23" t="s">
        <v>238</v>
      </c>
      <c r="G93" s="17"/>
      <c r="H93" s="24">
        <v>556.0</v>
      </c>
      <c r="I93" s="15">
        <f t="shared" si="1"/>
        <v>834</v>
      </c>
      <c r="J93" s="15">
        <f t="shared" si="2"/>
        <v>722.8</v>
      </c>
      <c r="K93" s="15">
        <f t="shared" si="3"/>
        <v>722.8</v>
      </c>
      <c r="L93" s="15">
        <f t="shared" si="4"/>
        <v>667.2</v>
      </c>
      <c r="M93" s="15">
        <f t="shared" si="5"/>
        <v>639.4</v>
      </c>
      <c r="N93" s="15">
        <f t="shared" si="6"/>
        <v>917.4</v>
      </c>
    </row>
    <row r="94">
      <c r="A94" s="8" t="s">
        <v>18</v>
      </c>
      <c r="B94" s="9" t="s">
        <v>19</v>
      </c>
      <c r="C94" s="10" t="s">
        <v>35</v>
      </c>
      <c r="D94" s="16" t="s">
        <v>214</v>
      </c>
      <c r="E94" s="12" t="s">
        <v>239</v>
      </c>
      <c r="F94" s="23" t="s">
        <v>240</v>
      </c>
      <c r="G94" s="17"/>
      <c r="H94" s="24">
        <v>742.0</v>
      </c>
      <c r="I94" s="15">
        <f t="shared" si="1"/>
        <v>1113</v>
      </c>
      <c r="J94" s="15">
        <f t="shared" si="2"/>
        <v>964.6</v>
      </c>
      <c r="K94" s="15">
        <f t="shared" si="3"/>
        <v>964.6</v>
      </c>
      <c r="L94" s="15">
        <f t="shared" si="4"/>
        <v>890.4</v>
      </c>
      <c r="M94" s="15">
        <f t="shared" si="5"/>
        <v>853.3</v>
      </c>
      <c r="N94" s="15">
        <f t="shared" si="6"/>
        <v>1224.3</v>
      </c>
    </row>
    <row r="95">
      <c r="A95" s="8" t="s">
        <v>18</v>
      </c>
      <c r="B95" s="9" t="s">
        <v>19</v>
      </c>
      <c r="C95" s="10" t="s">
        <v>35</v>
      </c>
      <c r="D95" s="16" t="s">
        <v>214</v>
      </c>
      <c r="E95" s="12" t="s">
        <v>241</v>
      </c>
      <c r="F95" s="23" t="s">
        <v>228</v>
      </c>
      <c r="G95" s="17"/>
      <c r="H95" s="24">
        <v>659.0</v>
      </c>
      <c r="I95" s="15">
        <f t="shared" si="1"/>
        <v>988.5</v>
      </c>
      <c r="J95" s="15">
        <f t="shared" si="2"/>
        <v>856.7</v>
      </c>
      <c r="K95" s="15">
        <f t="shared" si="3"/>
        <v>856.7</v>
      </c>
      <c r="L95" s="15">
        <f t="shared" si="4"/>
        <v>790.8</v>
      </c>
      <c r="M95" s="15">
        <f t="shared" si="5"/>
        <v>757.85</v>
      </c>
      <c r="N95" s="15">
        <f t="shared" si="6"/>
        <v>1087.35</v>
      </c>
    </row>
    <row r="96">
      <c r="A96" s="8" t="s">
        <v>18</v>
      </c>
      <c r="B96" s="9" t="s">
        <v>19</v>
      </c>
      <c r="C96" s="10" t="s">
        <v>35</v>
      </c>
      <c r="D96" s="16" t="s">
        <v>214</v>
      </c>
      <c r="E96" s="12" t="s">
        <v>242</v>
      </c>
      <c r="F96" s="23" t="s">
        <v>243</v>
      </c>
      <c r="G96" s="17"/>
      <c r="H96" s="24">
        <v>845.0</v>
      </c>
      <c r="I96" s="15">
        <f t="shared" si="1"/>
        <v>1267.5</v>
      </c>
      <c r="J96" s="15">
        <f t="shared" si="2"/>
        <v>1098.5</v>
      </c>
      <c r="K96" s="15">
        <f t="shared" si="3"/>
        <v>1098.5</v>
      </c>
      <c r="L96" s="15">
        <f t="shared" si="4"/>
        <v>1014</v>
      </c>
      <c r="M96" s="15">
        <f t="shared" si="5"/>
        <v>971.75</v>
      </c>
      <c r="N96" s="15">
        <f t="shared" si="6"/>
        <v>1394.25</v>
      </c>
    </row>
    <row r="97">
      <c r="A97" s="8" t="s">
        <v>18</v>
      </c>
      <c r="B97" s="9" t="s">
        <v>19</v>
      </c>
      <c r="C97" s="10" t="s">
        <v>35</v>
      </c>
      <c r="D97" s="16" t="s">
        <v>214</v>
      </c>
      <c r="E97" s="12" t="s">
        <v>244</v>
      </c>
      <c r="F97" s="23" t="s">
        <v>245</v>
      </c>
      <c r="G97" s="17"/>
      <c r="H97" s="24">
        <v>474.0</v>
      </c>
      <c r="I97" s="15">
        <f t="shared" si="1"/>
        <v>711</v>
      </c>
      <c r="J97" s="15">
        <f t="shared" si="2"/>
        <v>616.2</v>
      </c>
      <c r="K97" s="15">
        <f t="shared" si="3"/>
        <v>616.2</v>
      </c>
      <c r="L97" s="15">
        <f t="shared" si="4"/>
        <v>568.8</v>
      </c>
      <c r="M97" s="15">
        <f t="shared" si="5"/>
        <v>545.1</v>
      </c>
      <c r="N97" s="15">
        <f t="shared" si="6"/>
        <v>782.1</v>
      </c>
    </row>
    <row r="98">
      <c r="A98" s="8" t="s">
        <v>18</v>
      </c>
      <c r="B98" s="9" t="s">
        <v>19</v>
      </c>
      <c r="C98" s="10" t="s">
        <v>35</v>
      </c>
      <c r="D98" s="16" t="s">
        <v>214</v>
      </c>
      <c r="E98" s="12" t="s">
        <v>246</v>
      </c>
      <c r="F98" s="23" t="s">
        <v>247</v>
      </c>
      <c r="G98" s="17"/>
      <c r="H98" s="24">
        <v>659.0</v>
      </c>
      <c r="I98" s="15">
        <f t="shared" si="1"/>
        <v>988.5</v>
      </c>
      <c r="J98" s="15">
        <f t="shared" si="2"/>
        <v>856.7</v>
      </c>
      <c r="K98" s="15">
        <f t="shared" si="3"/>
        <v>856.7</v>
      </c>
      <c r="L98" s="15">
        <f t="shared" si="4"/>
        <v>790.8</v>
      </c>
      <c r="M98" s="15">
        <f t="shared" si="5"/>
        <v>757.85</v>
      </c>
      <c r="N98" s="15">
        <f t="shared" si="6"/>
        <v>1087.35</v>
      </c>
    </row>
    <row r="99">
      <c r="A99" s="8" t="s">
        <v>18</v>
      </c>
      <c r="B99" s="9" t="s">
        <v>19</v>
      </c>
      <c r="C99" s="10" t="s">
        <v>35</v>
      </c>
      <c r="D99" s="16" t="s">
        <v>214</v>
      </c>
      <c r="E99" s="12" t="s">
        <v>248</v>
      </c>
      <c r="F99" s="23" t="s">
        <v>249</v>
      </c>
      <c r="G99" s="17"/>
      <c r="H99" s="24">
        <v>474.0</v>
      </c>
      <c r="I99" s="15">
        <f t="shared" si="1"/>
        <v>711</v>
      </c>
      <c r="J99" s="15">
        <f t="shared" si="2"/>
        <v>616.2</v>
      </c>
      <c r="K99" s="15">
        <f t="shared" si="3"/>
        <v>616.2</v>
      </c>
      <c r="L99" s="15">
        <f t="shared" si="4"/>
        <v>568.8</v>
      </c>
      <c r="M99" s="15">
        <f t="shared" si="5"/>
        <v>545.1</v>
      </c>
      <c r="N99" s="15">
        <f t="shared" si="6"/>
        <v>782.1</v>
      </c>
    </row>
    <row r="100">
      <c r="A100" s="8" t="s">
        <v>18</v>
      </c>
      <c r="B100" s="9" t="s">
        <v>19</v>
      </c>
      <c r="C100" s="10" t="s">
        <v>35</v>
      </c>
      <c r="D100" s="16" t="s">
        <v>214</v>
      </c>
      <c r="E100" s="12" t="s">
        <v>250</v>
      </c>
      <c r="F100" s="23" t="s">
        <v>251</v>
      </c>
      <c r="G100" s="17"/>
      <c r="H100" s="24">
        <v>659.0</v>
      </c>
      <c r="I100" s="15">
        <f t="shared" si="1"/>
        <v>988.5</v>
      </c>
      <c r="J100" s="15">
        <f t="shared" si="2"/>
        <v>856.7</v>
      </c>
      <c r="K100" s="15">
        <f t="shared" si="3"/>
        <v>856.7</v>
      </c>
      <c r="L100" s="15">
        <f t="shared" si="4"/>
        <v>790.8</v>
      </c>
      <c r="M100" s="15">
        <f t="shared" si="5"/>
        <v>757.85</v>
      </c>
      <c r="N100" s="15">
        <f t="shared" si="6"/>
        <v>1087.35</v>
      </c>
    </row>
    <row r="101">
      <c r="A101" s="8" t="s">
        <v>18</v>
      </c>
      <c r="B101" s="9" t="s">
        <v>19</v>
      </c>
      <c r="C101" s="10" t="s">
        <v>35</v>
      </c>
      <c r="D101" s="16" t="s">
        <v>214</v>
      </c>
      <c r="E101" s="12" t="s">
        <v>252</v>
      </c>
      <c r="F101" s="23" t="s">
        <v>253</v>
      </c>
      <c r="G101" s="17"/>
      <c r="H101" s="24">
        <v>556.0</v>
      </c>
      <c r="I101" s="15">
        <f t="shared" si="1"/>
        <v>834</v>
      </c>
      <c r="J101" s="15">
        <f t="shared" si="2"/>
        <v>722.8</v>
      </c>
      <c r="K101" s="15">
        <f t="shared" si="3"/>
        <v>722.8</v>
      </c>
      <c r="L101" s="15">
        <f t="shared" si="4"/>
        <v>667.2</v>
      </c>
      <c r="M101" s="15">
        <f t="shared" si="5"/>
        <v>639.4</v>
      </c>
      <c r="N101" s="15">
        <f t="shared" si="6"/>
        <v>917.4</v>
      </c>
    </row>
    <row r="102">
      <c r="A102" s="8" t="s">
        <v>18</v>
      </c>
      <c r="B102" s="9" t="s">
        <v>19</v>
      </c>
      <c r="C102" s="10" t="s">
        <v>35</v>
      </c>
      <c r="D102" s="16" t="s">
        <v>214</v>
      </c>
      <c r="E102" s="12" t="s">
        <v>254</v>
      </c>
      <c r="F102" s="23" t="s">
        <v>255</v>
      </c>
      <c r="G102" s="17"/>
      <c r="H102" s="24">
        <v>742.0</v>
      </c>
      <c r="I102" s="15">
        <f t="shared" si="1"/>
        <v>1113</v>
      </c>
      <c r="J102" s="15">
        <f t="shared" si="2"/>
        <v>964.6</v>
      </c>
      <c r="K102" s="15">
        <f t="shared" si="3"/>
        <v>964.6</v>
      </c>
      <c r="L102" s="15">
        <f t="shared" si="4"/>
        <v>890.4</v>
      </c>
      <c r="M102" s="15">
        <f t="shared" si="5"/>
        <v>853.3</v>
      </c>
      <c r="N102" s="15">
        <f t="shared" si="6"/>
        <v>1224.3</v>
      </c>
    </row>
    <row r="103">
      <c r="A103" s="8" t="s">
        <v>18</v>
      </c>
      <c r="B103" s="9" t="s">
        <v>19</v>
      </c>
      <c r="C103" s="10" t="s">
        <v>35</v>
      </c>
      <c r="D103" s="16" t="s">
        <v>214</v>
      </c>
      <c r="E103" s="12" t="s">
        <v>256</v>
      </c>
      <c r="F103" s="23" t="s">
        <v>257</v>
      </c>
      <c r="G103" s="17"/>
      <c r="H103" s="24">
        <v>474.0</v>
      </c>
      <c r="I103" s="15">
        <f t="shared" si="1"/>
        <v>711</v>
      </c>
      <c r="J103" s="15">
        <f t="shared" si="2"/>
        <v>616.2</v>
      </c>
      <c r="K103" s="15">
        <f t="shared" si="3"/>
        <v>616.2</v>
      </c>
      <c r="L103" s="15">
        <f t="shared" si="4"/>
        <v>568.8</v>
      </c>
      <c r="M103" s="15">
        <f t="shared" si="5"/>
        <v>545.1</v>
      </c>
      <c r="N103" s="15">
        <f t="shared" si="6"/>
        <v>782.1</v>
      </c>
    </row>
    <row r="104">
      <c r="A104" s="8" t="s">
        <v>18</v>
      </c>
      <c r="B104" s="9" t="s">
        <v>19</v>
      </c>
      <c r="C104" s="10" t="s">
        <v>35</v>
      </c>
      <c r="D104" s="16" t="s">
        <v>214</v>
      </c>
      <c r="E104" s="12" t="s">
        <v>258</v>
      </c>
      <c r="F104" s="23" t="s">
        <v>259</v>
      </c>
      <c r="G104" s="17"/>
      <c r="H104" s="24">
        <v>659.0</v>
      </c>
      <c r="I104" s="15">
        <f t="shared" si="1"/>
        <v>988.5</v>
      </c>
      <c r="J104" s="15">
        <f t="shared" si="2"/>
        <v>856.7</v>
      </c>
      <c r="K104" s="15">
        <f t="shared" si="3"/>
        <v>856.7</v>
      </c>
      <c r="L104" s="15">
        <f t="shared" si="4"/>
        <v>790.8</v>
      </c>
      <c r="M104" s="15">
        <f t="shared" si="5"/>
        <v>757.85</v>
      </c>
      <c r="N104" s="15">
        <f t="shared" si="6"/>
        <v>1087.35</v>
      </c>
    </row>
    <row r="105">
      <c r="A105" s="8" t="s">
        <v>18</v>
      </c>
      <c r="B105" s="9" t="s">
        <v>19</v>
      </c>
      <c r="C105" s="10" t="s">
        <v>35</v>
      </c>
      <c r="D105" s="16" t="s">
        <v>214</v>
      </c>
      <c r="E105" s="12" t="s">
        <v>260</v>
      </c>
      <c r="F105" s="23" t="s">
        <v>261</v>
      </c>
      <c r="G105" s="17"/>
      <c r="H105" s="24">
        <v>474.0</v>
      </c>
      <c r="I105" s="15">
        <f t="shared" si="1"/>
        <v>711</v>
      </c>
      <c r="J105" s="15">
        <f t="shared" si="2"/>
        <v>616.2</v>
      </c>
      <c r="K105" s="15">
        <f t="shared" si="3"/>
        <v>616.2</v>
      </c>
      <c r="L105" s="15">
        <f t="shared" si="4"/>
        <v>568.8</v>
      </c>
      <c r="M105" s="15">
        <f t="shared" si="5"/>
        <v>545.1</v>
      </c>
      <c r="N105" s="15">
        <f t="shared" si="6"/>
        <v>782.1</v>
      </c>
    </row>
    <row r="106">
      <c r="A106" s="8" t="s">
        <v>18</v>
      </c>
      <c r="B106" s="9" t="s">
        <v>19</v>
      </c>
      <c r="C106" s="10" t="s">
        <v>35</v>
      </c>
      <c r="D106" s="16" t="s">
        <v>214</v>
      </c>
      <c r="E106" s="12" t="s">
        <v>262</v>
      </c>
      <c r="F106" s="23" t="s">
        <v>263</v>
      </c>
      <c r="G106" s="17"/>
      <c r="H106" s="24">
        <v>659.0</v>
      </c>
      <c r="I106" s="15">
        <f t="shared" si="1"/>
        <v>988.5</v>
      </c>
      <c r="J106" s="15">
        <f t="shared" si="2"/>
        <v>856.7</v>
      </c>
      <c r="K106" s="15">
        <f t="shared" si="3"/>
        <v>856.7</v>
      </c>
      <c r="L106" s="15">
        <f t="shared" si="4"/>
        <v>790.8</v>
      </c>
      <c r="M106" s="15">
        <f t="shared" si="5"/>
        <v>757.85</v>
      </c>
      <c r="N106" s="15">
        <f t="shared" si="6"/>
        <v>1087.35</v>
      </c>
    </row>
    <row r="107">
      <c r="A107" s="8" t="s">
        <v>18</v>
      </c>
      <c r="B107" s="9" t="s">
        <v>19</v>
      </c>
      <c r="C107" s="10" t="s">
        <v>35</v>
      </c>
      <c r="D107" s="16" t="s">
        <v>214</v>
      </c>
      <c r="E107" s="12" t="s">
        <v>264</v>
      </c>
      <c r="F107" s="23" t="s">
        <v>265</v>
      </c>
      <c r="G107" s="17"/>
      <c r="H107" s="24">
        <v>556.0</v>
      </c>
      <c r="I107" s="15">
        <f t="shared" si="1"/>
        <v>834</v>
      </c>
      <c r="J107" s="15">
        <f t="shared" si="2"/>
        <v>722.8</v>
      </c>
      <c r="K107" s="15">
        <f t="shared" si="3"/>
        <v>722.8</v>
      </c>
      <c r="L107" s="15">
        <f t="shared" si="4"/>
        <v>667.2</v>
      </c>
      <c r="M107" s="15">
        <f t="shared" si="5"/>
        <v>639.4</v>
      </c>
      <c r="N107" s="15">
        <f t="shared" si="6"/>
        <v>917.4</v>
      </c>
    </row>
    <row r="108">
      <c r="A108" s="8" t="s">
        <v>18</v>
      </c>
      <c r="B108" s="9" t="s">
        <v>19</v>
      </c>
      <c r="C108" s="10" t="s">
        <v>35</v>
      </c>
      <c r="D108" s="16" t="s">
        <v>214</v>
      </c>
      <c r="E108" s="12" t="s">
        <v>266</v>
      </c>
      <c r="F108" s="23" t="s">
        <v>267</v>
      </c>
      <c r="G108" s="17"/>
      <c r="H108" s="24">
        <v>742.0</v>
      </c>
      <c r="I108" s="15">
        <f t="shared" si="1"/>
        <v>1113</v>
      </c>
      <c r="J108" s="15">
        <f t="shared" si="2"/>
        <v>964.6</v>
      </c>
      <c r="K108" s="15">
        <f t="shared" si="3"/>
        <v>964.6</v>
      </c>
      <c r="L108" s="15">
        <f t="shared" si="4"/>
        <v>890.4</v>
      </c>
      <c r="M108" s="15">
        <f t="shared" si="5"/>
        <v>853.3</v>
      </c>
      <c r="N108" s="15">
        <f t="shared" si="6"/>
        <v>1224.3</v>
      </c>
    </row>
    <row r="109">
      <c r="A109" s="8" t="s">
        <v>18</v>
      </c>
      <c r="B109" s="9" t="s">
        <v>19</v>
      </c>
      <c r="C109" s="12"/>
      <c r="D109" s="12"/>
      <c r="E109" s="12" t="s">
        <v>268</v>
      </c>
      <c r="F109" s="23" t="s">
        <v>269</v>
      </c>
      <c r="G109" s="21" t="s">
        <v>270</v>
      </c>
      <c r="H109" s="24">
        <v>11124.0</v>
      </c>
      <c r="I109" s="15">
        <f t="shared" si="1"/>
        <v>16686</v>
      </c>
      <c r="J109" s="15">
        <f t="shared" si="2"/>
        <v>14461.2</v>
      </c>
      <c r="K109" s="15">
        <f t="shared" si="3"/>
        <v>14461.2</v>
      </c>
      <c r="L109" s="15">
        <f t="shared" si="4"/>
        <v>13348.8</v>
      </c>
      <c r="M109" s="15">
        <f t="shared" si="5"/>
        <v>12792.6</v>
      </c>
      <c r="N109" s="15">
        <f t="shared" si="6"/>
        <v>18354.6</v>
      </c>
    </row>
    <row r="110">
      <c r="A110" s="8" t="s">
        <v>18</v>
      </c>
      <c r="B110" s="9" t="s">
        <v>19</v>
      </c>
      <c r="C110" s="12"/>
      <c r="D110" s="12"/>
      <c r="E110" s="12" t="s">
        <v>271</v>
      </c>
      <c r="F110" s="23" t="s">
        <v>272</v>
      </c>
      <c r="G110" s="17"/>
      <c r="H110" s="24">
        <v>8343.0</v>
      </c>
      <c r="I110" s="15">
        <f t="shared" si="1"/>
        <v>12514.5</v>
      </c>
      <c r="J110" s="15">
        <f t="shared" si="2"/>
        <v>10845.9</v>
      </c>
      <c r="K110" s="15">
        <f t="shared" si="3"/>
        <v>10845.9</v>
      </c>
      <c r="L110" s="15">
        <f t="shared" si="4"/>
        <v>10011.6</v>
      </c>
      <c r="M110" s="15">
        <f t="shared" si="5"/>
        <v>9594.45</v>
      </c>
      <c r="N110" s="15">
        <f t="shared" si="6"/>
        <v>13765.95</v>
      </c>
    </row>
    <row r="111">
      <c r="A111" s="8" t="s">
        <v>18</v>
      </c>
      <c r="B111" s="9" t="s">
        <v>19</v>
      </c>
      <c r="C111" s="12"/>
      <c r="D111" s="12"/>
      <c r="E111" s="12" t="s">
        <v>273</v>
      </c>
      <c r="F111" s="23" t="s">
        <v>274</v>
      </c>
      <c r="G111" s="17"/>
      <c r="H111" s="24">
        <v>8631.0</v>
      </c>
      <c r="I111" s="15">
        <f t="shared" si="1"/>
        <v>12946.5</v>
      </c>
      <c r="J111" s="15">
        <f t="shared" si="2"/>
        <v>11220.3</v>
      </c>
      <c r="K111" s="15">
        <f t="shared" si="3"/>
        <v>11220.3</v>
      </c>
      <c r="L111" s="15">
        <f t="shared" si="4"/>
        <v>10357.2</v>
      </c>
      <c r="M111" s="15">
        <f t="shared" si="5"/>
        <v>9925.65</v>
      </c>
      <c r="N111" s="15">
        <f t="shared" si="6"/>
        <v>14241.15</v>
      </c>
    </row>
    <row r="112">
      <c r="A112" s="8" t="s">
        <v>18</v>
      </c>
      <c r="B112" s="9" t="s">
        <v>19</v>
      </c>
      <c r="C112" s="12"/>
      <c r="D112" s="12"/>
      <c r="E112" s="12" t="s">
        <v>275</v>
      </c>
      <c r="F112" s="23" t="s">
        <v>276</v>
      </c>
      <c r="G112" s="21" t="s">
        <v>277</v>
      </c>
      <c r="H112" s="24">
        <v>10197.0</v>
      </c>
      <c r="I112" s="15">
        <f t="shared" si="1"/>
        <v>15295.5</v>
      </c>
      <c r="J112" s="15">
        <f t="shared" si="2"/>
        <v>13256.1</v>
      </c>
      <c r="K112" s="15">
        <f t="shared" si="3"/>
        <v>13256.1</v>
      </c>
      <c r="L112" s="15">
        <f t="shared" si="4"/>
        <v>12236.4</v>
      </c>
      <c r="M112" s="15">
        <f t="shared" si="5"/>
        <v>11726.55</v>
      </c>
      <c r="N112" s="15">
        <f t="shared" si="6"/>
        <v>16825.05</v>
      </c>
    </row>
    <row r="113">
      <c r="A113" s="8" t="s">
        <v>18</v>
      </c>
      <c r="B113" s="9" t="s">
        <v>19</v>
      </c>
      <c r="C113" s="16" t="s">
        <v>278</v>
      </c>
      <c r="D113" s="25"/>
      <c r="E113" s="12" t="s">
        <v>279</v>
      </c>
      <c r="F113" s="23" t="s">
        <v>280</v>
      </c>
      <c r="G113" s="17"/>
      <c r="H113" s="24">
        <v>1112.0</v>
      </c>
      <c r="I113" s="15">
        <f t="shared" si="1"/>
        <v>1668</v>
      </c>
      <c r="J113" s="15">
        <f t="shared" si="2"/>
        <v>1445.6</v>
      </c>
      <c r="K113" s="15">
        <f t="shared" si="3"/>
        <v>1445.6</v>
      </c>
      <c r="L113" s="15">
        <f t="shared" si="4"/>
        <v>1334.4</v>
      </c>
      <c r="M113" s="15">
        <f t="shared" si="5"/>
        <v>1278.8</v>
      </c>
      <c r="N113" s="15">
        <f t="shared" si="6"/>
        <v>1834.8</v>
      </c>
    </row>
    <row r="114">
      <c r="A114" s="8" t="s">
        <v>18</v>
      </c>
      <c r="B114" s="9" t="s">
        <v>19</v>
      </c>
      <c r="C114" s="16" t="s">
        <v>278</v>
      </c>
      <c r="D114" s="25"/>
      <c r="E114" s="12" t="s">
        <v>281</v>
      </c>
      <c r="F114" s="23" t="s">
        <v>280</v>
      </c>
      <c r="G114" s="17"/>
      <c r="H114" s="24">
        <v>1298.0</v>
      </c>
      <c r="I114" s="15">
        <f t="shared" si="1"/>
        <v>1947</v>
      </c>
      <c r="J114" s="15">
        <f t="shared" si="2"/>
        <v>1687.4</v>
      </c>
      <c r="K114" s="15">
        <f t="shared" si="3"/>
        <v>1687.4</v>
      </c>
      <c r="L114" s="15">
        <f t="shared" si="4"/>
        <v>1557.6</v>
      </c>
      <c r="M114" s="15">
        <f t="shared" si="5"/>
        <v>1492.7</v>
      </c>
      <c r="N114" s="15">
        <f t="shared" si="6"/>
        <v>2141.7</v>
      </c>
    </row>
    <row r="115">
      <c r="A115" s="8" t="s">
        <v>18</v>
      </c>
      <c r="B115" s="8" t="s">
        <v>282</v>
      </c>
      <c r="C115" s="10" t="s">
        <v>283</v>
      </c>
      <c r="D115" s="25"/>
      <c r="E115" s="12" t="s">
        <v>284</v>
      </c>
      <c r="F115" s="13" t="s">
        <v>285</v>
      </c>
      <c r="G115" s="12"/>
      <c r="H115" s="14">
        <v>34370.0</v>
      </c>
      <c r="I115" s="15">
        <f t="shared" si="1"/>
        <v>51555</v>
      </c>
      <c r="J115" s="15">
        <f t="shared" si="2"/>
        <v>44681</v>
      </c>
      <c r="K115" s="15">
        <f t="shared" si="3"/>
        <v>44681</v>
      </c>
      <c r="L115" s="15">
        <f t="shared" si="4"/>
        <v>41244</v>
      </c>
      <c r="M115" s="15">
        <f t="shared" si="5"/>
        <v>39525.5</v>
      </c>
      <c r="N115" s="15">
        <f t="shared" si="6"/>
        <v>56710.5</v>
      </c>
    </row>
    <row r="116">
      <c r="A116" s="8" t="s">
        <v>18</v>
      </c>
      <c r="B116" s="8" t="s">
        <v>282</v>
      </c>
      <c r="C116" s="10" t="s">
        <v>283</v>
      </c>
      <c r="D116" s="25"/>
      <c r="E116" s="12" t="s">
        <v>286</v>
      </c>
      <c r="F116" s="13" t="s">
        <v>287</v>
      </c>
      <c r="G116" s="12"/>
      <c r="H116" s="14">
        <v>45170.0</v>
      </c>
      <c r="I116" s="15">
        <f t="shared" si="1"/>
        <v>67755</v>
      </c>
      <c r="J116" s="15">
        <f t="shared" si="2"/>
        <v>58721</v>
      </c>
      <c r="K116" s="15">
        <f t="shared" si="3"/>
        <v>58721</v>
      </c>
      <c r="L116" s="15">
        <f t="shared" si="4"/>
        <v>54204</v>
      </c>
      <c r="M116" s="15">
        <f t="shared" si="5"/>
        <v>51945.5</v>
      </c>
      <c r="N116" s="15">
        <f t="shared" si="6"/>
        <v>74530.5</v>
      </c>
    </row>
    <row r="117">
      <c r="A117" s="8" t="s">
        <v>18</v>
      </c>
      <c r="B117" s="8" t="s">
        <v>282</v>
      </c>
      <c r="C117" s="10" t="s">
        <v>283</v>
      </c>
      <c r="D117" s="25"/>
      <c r="E117" s="12" t="s">
        <v>288</v>
      </c>
      <c r="F117" s="13" t="s">
        <v>289</v>
      </c>
      <c r="G117" s="12"/>
      <c r="H117" s="14">
        <v>55970.0</v>
      </c>
      <c r="I117" s="15">
        <f t="shared" si="1"/>
        <v>83955</v>
      </c>
      <c r="J117" s="15">
        <f t="shared" si="2"/>
        <v>72761</v>
      </c>
      <c r="K117" s="15">
        <f t="shared" si="3"/>
        <v>72761</v>
      </c>
      <c r="L117" s="15">
        <f t="shared" si="4"/>
        <v>67164</v>
      </c>
      <c r="M117" s="15">
        <f t="shared" si="5"/>
        <v>64365.5</v>
      </c>
      <c r="N117" s="15">
        <f t="shared" si="6"/>
        <v>92350.5</v>
      </c>
    </row>
    <row r="118">
      <c r="A118" s="8" t="s">
        <v>18</v>
      </c>
      <c r="B118" s="8" t="s">
        <v>282</v>
      </c>
      <c r="C118" s="10" t="s">
        <v>283</v>
      </c>
      <c r="D118" s="25"/>
      <c r="E118" s="12" t="s">
        <v>290</v>
      </c>
      <c r="F118" s="16" t="s">
        <v>285</v>
      </c>
      <c r="G118" s="12"/>
      <c r="H118" s="14">
        <v>43200.0</v>
      </c>
      <c r="I118" s="15">
        <f t="shared" si="1"/>
        <v>64800</v>
      </c>
      <c r="J118" s="15">
        <f t="shared" si="2"/>
        <v>56160</v>
      </c>
      <c r="K118" s="15">
        <f t="shared" si="3"/>
        <v>56160</v>
      </c>
      <c r="L118" s="15">
        <f t="shared" si="4"/>
        <v>51840</v>
      </c>
      <c r="M118" s="15">
        <f t="shared" si="5"/>
        <v>49680</v>
      </c>
      <c r="N118" s="15">
        <f t="shared" si="6"/>
        <v>71280</v>
      </c>
    </row>
    <row r="119">
      <c r="A119" s="8" t="s">
        <v>18</v>
      </c>
      <c r="B119" s="8" t="s">
        <v>282</v>
      </c>
      <c r="C119" s="10" t="s">
        <v>283</v>
      </c>
      <c r="D119" s="25"/>
      <c r="E119" s="12" t="s">
        <v>291</v>
      </c>
      <c r="F119" s="13" t="s">
        <v>287</v>
      </c>
      <c r="G119" s="17"/>
      <c r="H119" s="18">
        <v>54000.0</v>
      </c>
      <c r="I119" s="15">
        <f t="shared" si="1"/>
        <v>81000</v>
      </c>
      <c r="J119" s="15">
        <f t="shared" si="2"/>
        <v>70200</v>
      </c>
      <c r="K119" s="15">
        <f t="shared" si="3"/>
        <v>70200</v>
      </c>
      <c r="L119" s="15">
        <f t="shared" si="4"/>
        <v>64800</v>
      </c>
      <c r="M119" s="15">
        <f t="shared" si="5"/>
        <v>62100</v>
      </c>
      <c r="N119" s="15">
        <f t="shared" si="6"/>
        <v>89100</v>
      </c>
    </row>
    <row r="120">
      <c r="A120" s="8" t="s">
        <v>18</v>
      </c>
      <c r="B120" s="8" t="s">
        <v>282</v>
      </c>
      <c r="C120" s="10" t="s">
        <v>283</v>
      </c>
      <c r="D120" s="25"/>
      <c r="E120" s="12" t="s">
        <v>292</v>
      </c>
      <c r="F120" s="13" t="s">
        <v>289</v>
      </c>
      <c r="G120" s="17"/>
      <c r="H120" s="18">
        <v>64800.0</v>
      </c>
      <c r="I120" s="15">
        <f t="shared" si="1"/>
        <v>97200</v>
      </c>
      <c r="J120" s="15">
        <f t="shared" si="2"/>
        <v>84240</v>
      </c>
      <c r="K120" s="15">
        <f t="shared" si="3"/>
        <v>84240</v>
      </c>
      <c r="L120" s="15">
        <f t="shared" si="4"/>
        <v>77760</v>
      </c>
      <c r="M120" s="15">
        <f t="shared" si="5"/>
        <v>74520</v>
      </c>
      <c r="N120" s="15">
        <f t="shared" si="6"/>
        <v>106920</v>
      </c>
    </row>
    <row r="121">
      <c r="A121" s="8" t="s">
        <v>18</v>
      </c>
      <c r="B121" s="8" t="s">
        <v>282</v>
      </c>
      <c r="C121" s="10" t="s">
        <v>283</v>
      </c>
      <c r="D121" s="25"/>
      <c r="E121" s="12" t="s">
        <v>293</v>
      </c>
      <c r="F121" s="13" t="s">
        <v>285</v>
      </c>
      <c r="G121" s="17"/>
      <c r="H121" s="18">
        <v>73650.0</v>
      </c>
      <c r="I121" s="15">
        <f t="shared" si="1"/>
        <v>110475</v>
      </c>
      <c r="J121" s="15">
        <f t="shared" si="2"/>
        <v>95745</v>
      </c>
      <c r="K121" s="15">
        <f t="shared" si="3"/>
        <v>95745</v>
      </c>
      <c r="L121" s="15">
        <f t="shared" si="4"/>
        <v>88380</v>
      </c>
      <c r="M121" s="15">
        <f t="shared" si="5"/>
        <v>84697.5</v>
      </c>
      <c r="N121" s="15">
        <f t="shared" si="6"/>
        <v>121522.5</v>
      </c>
    </row>
    <row r="122">
      <c r="A122" s="8" t="s">
        <v>18</v>
      </c>
      <c r="B122" s="8" t="s">
        <v>282</v>
      </c>
      <c r="C122" s="10" t="s">
        <v>283</v>
      </c>
      <c r="D122" s="25"/>
      <c r="E122" s="12" t="s">
        <v>294</v>
      </c>
      <c r="F122" s="13" t="s">
        <v>287</v>
      </c>
      <c r="G122" s="17"/>
      <c r="H122" s="18">
        <v>84450.0</v>
      </c>
      <c r="I122" s="15">
        <f t="shared" si="1"/>
        <v>126675</v>
      </c>
      <c r="J122" s="15">
        <f t="shared" si="2"/>
        <v>109785</v>
      </c>
      <c r="K122" s="15">
        <f t="shared" si="3"/>
        <v>109785</v>
      </c>
      <c r="L122" s="15">
        <f t="shared" si="4"/>
        <v>101340</v>
      </c>
      <c r="M122" s="15">
        <f t="shared" si="5"/>
        <v>97117.5</v>
      </c>
      <c r="N122" s="15">
        <f t="shared" si="6"/>
        <v>139342.5</v>
      </c>
    </row>
    <row r="123">
      <c r="A123" s="8" t="s">
        <v>18</v>
      </c>
      <c r="B123" s="8" t="s">
        <v>282</v>
      </c>
      <c r="C123" s="10" t="s">
        <v>283</v>
      </c>
      <c r="D123" s="25"/>
      <c r="E123" s="12" t="s">
        <v>295</v>
      </c>
      <c r="F123" s="13" t="s">
        <v>289</v>
      </c>
      <c r="G123" s="17"/>
      <c r="H123" s="18">
        <v>95250.0</v>
      </c>
      <c r="I123" s="15">
        <f t="shared" si="1"/>
        <v>142875</v>
      </c>
      <c r="J123" s="15">
        <f t="shared" si="2"/>
        <v>123825</v>
      </c>
      <c r="K123" s="15">
        <f t="shared" si="3"/>
        <v>123825</v>
      </c>
      <c r="L123" s="15">
        <f t="shared" si="4"/>
        <v>114300</v>
      </c>
      <c r="M123" s="15">
        <f t="shared" si="5"/>
        <v>109537.5</v>
      </c>
      <c r="N123" s="15">
        <f t="shared" si="6"/>
        <v>157162.5</v>
      </c>
    </row>
    <row r="124">
      <c r="A124" s="8" t="s">
        <v>18</v>
      </c>
      <c r="B124" s="8" t="s">
        <v>282</v>
      </c>
      <c r="C124" s="10" t="s">
        <v>283</v>
      </c>
      <c r="D124" s="25"/>
      <c r="E124" s="19" t="s">
        <v>296</v>
      </c>
      <c r="F124" s="20" t="s">
        <v>297</v>
      </c>
      <c r="G124" s="17"/>
      <c r="H124" s="18">
        <v>45170.0</v>
      </c>
      <c r="I124" s="15">
        <f t="shared" si="1"/>
        <v>67755</v>
      </c>
      <c r="J124" s="15">
        <f t="shared" si="2"/>
        <v>58721</v>
      </c>
      <c r="K124" s="15">
        <f t="shared" si="3"/>
        <v>58721</v>
      </c>
      <c r="L124" s="15">
        <f t="shared" si="4"/>
        <v>54204</v>
      </c>
      <c r="M124" s="15">
        <f t="shared" si="5"/>
        <v>51945.5</v>
      </c>
      <c r="N124" s="15">
        <f t="shared" si="6"/>
        <v>74530.5</v>
      </c>
    </row>
    <row r="125">
      <c r="A125" s="8" t="s">
        <v>18</v>
      </c>
      <c r="B125" s="8" t="s">
        <v>282</v>
      </c>
      <c r="C125" s="10" t="s">
        <v>283</v>
      </c>
      <c r="D125" s="25"/>
      <c r="E125" s="12" t="s">
        <v>298</v>
      </c>
      <c r="F125" s="13" t="s">
        <v>297</v>
      </c>
      <c r="G125" s="17"/>
      <c r="H125" s="18">
        <v>85430.0</v>
      </c>
      <c r="I125" s="15">
        <f t="shared" si="1"/>
        <v>128145</v>
      </c>
      <c r="J125" s="15">
        <f t="shared" si="2"/>
        <v>111059</v>
      </c>
      <c r="K125" s="15">
        <f t="shared" si="3"/>
        <v>111059</v>
      </c>
      <c r="L125" s="15">
        <f t="shared" si="4"/>
        <v>102516</v>
      </c>
      <c r="M125" s="15">
        <f t="shared" si="5"/>
        <v>98244.5</v>
      </c>
      <c r="N125" s="15">
        <f t="shared" si="6"/>
        <v>140959.5</v>
      </c>
    </row>
    <row r="126">
      <c r="A126" s="8" t="s">
        <v>18</v>
      </c>
      <c r="B126" s="8" t="s">
        <v>282</v>
      </c>
      <c r="C126" s="25"/>
      <c r="D126" s="25"/>
      <c r="E126" s="12" t="s">
        <v>299</v>
      </c>
      <c r="F126" s="13" t="s">
        <v>300</v>
      </c>
      <c r="G126" s="17"/>
      <c r="H126" s="18">
        <v>34900.0</v>
      </c>
      <c r="I126" s="15">
        <f t="shared" si="1"/>
        <v>52350</v>
      </c>
      <c r="J126" s="15">
        <f t="shared" si="2"/>
        <v>45370</v>
      </c>
      <c r="K126" s="15">
        <f t="shared" si="3"/>
        <v>45370</v>
      </c>
      <c r="L126" s="15">
        <f t="shared" si="4"/>
        <v>41880</v>
      </c>
      <c r="M126" s="15">
        <f t="shared" si="5"/>
        <v>40135</v>
      </c>
      <c r="N126" s="15">
        <f t="shared" si="6"/>
        <v>57585</v>
      </c>
    </row>
  </sheetData>
  <autoFilter ref="$A$2:$N$126"/>
  <mergeCells count="4">
    <mergeCell ref="A1:H1"/>
    <mergeCell ref="I1:J1"/>
    <mergeCell ref="K1:L1"/>
    <mergeCell ref="M1:N1"/>
  </mergeCells>
  <dataValidations>
    <dataValidation type="custom" allowBlank="1" showErrorMessage="1" sqref="E52:E70">
      <formula1>LTE(LEN(E52),(22))</formula1>
    </dataValidation>
  </dataValidations>
  <drawing r:id="rId1"/>
</worksheet>
</file>