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PRICELIST!$A$2:$N$243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tc={b0126fd4-41ba-4e1d-9140-79ee8fa4b75d}</author>
  </authors>
  <commentList>
    <comment authorId="0" xr:uid="{b0126fd4-41ba-4e1d-9140-79ee8fa4b75d}" ref="B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insert brand and price in column F
</t>
      </text>
    </comment>
  </commentList>
</comments>
</file>

<file path=xl/sharedStrings.xml><?xml version="1.0" encoding="utf-8"?>
<sst xmlns="http://schemas.openxmlformats.org/spreadsheetml/2006/main" count="1178" uniqueCount="497">
  <si>
    <t>PRODUCT INFORMATION</t>
  </si>
  <si>
    <t>SRP (End-User)</t>
  </si>
  <si>
    <t>DEALER's PRICE</t>
  </si>
  <si>
    <t>CONTRACTOR's PRICE</t>
  </si>
  <si>
    <t>BRAND</t>
  </si>
  <si>
    <t>CATEGORY</t>
  </si>
  <si>
    <t>TYPE</t>
  </si>
  <si>
    <t>MODEL</t>
  </si>
  <si>
    <t>ITEM DESCRIPTION</t>
  </si>
  <si>
    <t>OTHER DESCRIPTION / COMPATIBLE DEVICES</t>
  </si>
  <si>
    <t>UPDATED PRICE</t>
  </si>
  <si>
    <t>USD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</si>
  <si>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</si>
  <si>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</si>
  <si>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</si>
  <si>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</si>
  <si>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</si>
  <si>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</si>
  <si>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ZKTECO</t>
  </si>
  <si>
    <t>Parking barrier</t>
  </si>
  <si>
    <t>Standalone device</t>
  </si>
  <si>
    <t>BG1030 (220V)</t>
  </si>
  <si>
    <t>Chassis with LED, straight boom(without led)
AC Adapter: 220V AC(support choose manually adjust 110V input)，
Boom length: 3m
Opening&amp;closing times：1.5S
Spring size:4.5φ
Support change direction ，can adjust speed(1.5s~3s,depend on the boom length 1m~4.5m )
L:Chassis is on left,boom is on right
R:Chassis is on right,boom is on left</t>
  </si>
  <si>
    <t>BG1045(220V)</t>
  </si>
  <si>
    <t>Chassis with LED,telescopic boom(without led)
Power ：220V AC(support choose manually adjust 110V input)，
Boom length: 4.5m (2.5m+2.2m)
Opening&amp;closing times：3S
Spring size:5.5φ
Support change direction ，can adjust speed(3s~6s,depend on the boom length 1m~6m)
L:Chassis is on left,boom is on right
R:Chassis is on right,boom is on left</t>
  </si>
  <si>
    <t>BG1060(220V)</t>
  </si>
  <si>
    <t>Chassis with LED,telescopic boom(without led)
Power ：220V AC(support choose manually adjust 110V input)，
Boom length: 6m(3.2m+3m)
Opening&amp;closing times：5S
Spring size:6.5φ
Support change direction ，can adjust speed(3s~6s,depend on the boom length 1m~6m)
L:Chassis is on left,boom is on right
R:Chassis is on right,boom is on left</t>
  </si>
  <si>
    <t>BG1030 (110V)</t>
  </si>
  <si>
    <t>Chassis with LED, straight boom(without led)
AC Adapter: 110V AC(support choose manually adjust 220V input)，
Boom length: 3m
Opening&amp;closing times：1.5S
Spring size:4.5φ
Support change direction ，can adjust speed(1.5s~3s,depend on the boom length 1m~4.5m )
L:Chassis is on left,boom is on right
R:Chassis is on right,boom is on left</t>
  </si>
  <si>
    <t>BG1045(110V)</t>
  </si>
  <si>
    <t>Chassis with LED,straight boom(without led)
Power ：110V AC(support choose manually adjust 220V input)，
Boom length: 4.5m (2.5m+2.2m)
Opening&amp;closing times：3S
Spring size:5.5φ
Support change direction ，can adjust speed(3s~6s,depend on the boom length 1m~6m)
L:Chassis is on left,boom is on right
R:Chassis is on right,boom is on left</t>
  </si>
  <si>
    <t>BG1060(110V)</t>
  </si>
  <si>
    <t>Chassis with LED,telescopic boom(without led)
Power ：110VAC(support choose manually adjust 220V input)，
Boom length: 6m(3.2m+3m)
Opening&amp;closing times：5S
Spring size:6.5φ
Support change direction ，can adjust speed(3s~6s,depend on the boom length 1m~6m)
L:Chassis is on left,boom is on right
R:Chassis is on right,boom is on left</t>
  </si>
  <si>
    <t>BG1030-LED(220V)</t>
  </si>
  <si>
    <t>Chassis with LED, straight boom(with led)
AC Adapter: 220V AC(support choose manually adjust 110V input)，
Boom length: 3m
Opening&amp;closing times：1.5S
Spring size:4.5φ
Support change direction ，can adjust speed(1.5s~3s,depend on the boom length 1m~4.5m )
L:Chassis is on left,boom is on right
R:Chassis is on right,boom is on left</t>
  </si>
  <si>
    <t>BG1045-LED(220V)</t>
  </si>
  <si>
    <t>Chassis with LED, straight boom(with led)
Power ：220V AC(support choose manually adjust 110V input)，
Boom length: 4.5m (2.5m+2.2m)
Opening&amp;closing times：3S
Spring size:5.5φ
Support change direction ，can adjust speed(3s~6s,depend on the boom length 1m~6m)
L:Chassis is on left,boom is on right
R:Chassis is on right,boom is on left</t>
  </si>
  <si>
    <t>BG1145L-90（220v）</t>
  </si>
  <si>
    <t>DC 24V brushless barrier gate
Chassis with LED,folding boom(without led)
Power ：110V/220V AC(support choose manually adjust 110V input)
Boom  length: 4.5m 
 (standard main boom  is 1.3m , second boom  is 3.5m)
Total height limit: 2.2m
Opening&amp;closing times：3S
Spring size:5.5φ
Main and second boom  lengths can be customization on the order
Support change direction ，can adjust speed(1.5s~3s,depend on the boom  length 1m~4.5m)
L:Chassis is on left,boom  is on right
R:Chassis is on right,boom  is on left</t>
  </si>
  <si>
    <t>BG1145L-90(110V)</t>
  </si>
  <si>
    <t>CMP200</t>
  </si>
  <si>
    <t>chassis with LED, 4.5m telescope boom(without led)
AC Adapter ：220V，
Boom length: 4.5m(2.5m+2.2m，support adjust)
opening&amp;closing times：3S
support change direction 
L:Chassis is on left,boom is on right
R:Chassis is on right,boom is on left</t>
  </si>
  <si>
    <t>chassis with LED,6 m  telescope boom(without led)
AC Adapter ：220V，
Boom length: 6m(3.2m+3m support adjust)
opening&amp;closing times：6S
support change direction 
L:Chassis is on left,boom is on right
R:Chassis is on right,boom is on left</t>
  </si>
  <si>
    <t>chassis with LED, 4.5m telescope boom(without led)
AC Adapter ：110v ，
Boom length: 4.5m(2.5m+2.2m support adjust)
opening&amp;closing times：3S
support change direction 
L:Chassis is on left,boom is on right
R:Chassis is on right,boom is on left</t>
  </si>
  <si>
    <t>chassis with LED, 6m telescope boom(without led)
AC Adapter ：110V，
Boom length: 6m(3.2m+3m  support adjust)
opening&amp;closing times：6S
support change direction 
L:Chassis is on left,boom is on right
R:Chassis is on right,boom is on left</t>
  </si>
  <si>
    <t>CMP200（Yellow chassis）</t>
  </si>
  <si>
    <t>chassis with LED, telescope boom(without led)
AC Adapter ：220V，
Boom length: 4.5m(2.5m+2.2m，support adjust)
opening&amp;closing times：3S
support change direction ，cannot adjust speed
L:Chassis is on left,boom is on right
R:Chassis is on right,boom is on left
MOQ:30PCS</t>
  </si>
  <si>
    <t>chassis with LED, telescope boom(without led)
AC Adapter ：220V，
Boom length: 6m(3.2m+3m support adjust)
opening&amp;closing times：6S
support change direction ，cannot adjust speed
L:Chassis is on left,boom is on right
R:Chassis is on right,boom is on left
MOQ:30PCS</t>
  </si>
  <si>
    <t>Chassis with LED,
Straight boom (with led)
AC Adapter ：220V，
Boom length: 4.5m
opening&amp;closing times：3S
support change direction ，cannot adjust speed
L:Chassis is on left,boom is on right
R:Chassis is on right,boom is on left
MOQ: 20 PCS</t>
  </si>
  <si>
    <t>Chassis with LED,
Straight boom (with led)
AC Adapter ：220V，
Boom length: 4.5m
opening&amp;closing times：3S
support change direction ，cannot adjust speed
L:Chassis is on left,boom is on right
R:Chassis is on right,boom is on left
Yellow chassis
MOQ: 30 pcs</t>
  </si>
  <si>
    <t>Chassis with LED, 90° folding boom(without led)
AC Adapter ：220V，
Boom length: 4m
Height limit : 2.5m
MOQ: 20PCS
pening&amp;closing times：3S
support change direction ，cannot adjust speed
L:Chassis is on left,boom is on right
R:Chassis is on right,boom is on left</t>
  </si>
  <si>
    <t>Yellow Chassis with LED, 90° folding boom(without led)
AC Adapter ：220V，
Boom length: 4m
Height limit : 2.5m
MOQ: 30PCS
pening&amp;closing times：3S
support change direction ，cannot adjust speed
L:Chassis is on left,boom is on right
R:Chassis is on right,boom is on left
Yellow chassis</t>
  </si>
  <si>
    <t>CMP200-W</t>
  </si>
  <si>
    <t>chassis with LED, telescope boom(without led)， backage with wooden box
AC Adapter ：220V，
Boom length: 4.5m(2.5m+2.2m，support adjust)
opening&amp;closing times：3S
support change direction ，cannot adjust speed
L:Chassis is on left,boom is on right
R:Chassis is on right,boom is on left</t>
  </si>
  <si>
    <t>chassis with LED, telescope boom(without led)，backage with wooden box
AC Adapter ：220V，
Boom length: 6m(3.2m+3m support adjust)
opening&amp;closing times：6S
support change direction 
L:Chassis is on left,boom is on right
R:Chassis is on right,boom is on left</t>
  </si>
  <si>
    <t>chassis with LED, telescope boom(without led)，backage with wooden box
AC Adapter ：110v ，
Boom length: 4.5m(2.5m+2.2m support adjust)
opening&amp;closing times：3S
support change direction ，cannot adjust speed
L:Chassis is on left,boom is on right
R:Chassis is on right,boom is on left</t>
  </si>
  <si>
    <t>chassis with LED, telescope boom(without led)，backage with wooden box
AC Adapter ：110V，
Boom length: 6m(3.2m+3m  support adjust)
opening&amp;closing times：6S
support change direction ，cannot adjust speed
L:Chassis is on left,boom is on right
R:Chassis is on right,boom is on left</t>
  </si>
  <si>
    <t>Yellow chassis with LED, telescope boom(without led)，backage with wooden box
AC Adapter ：220V，
Boom length: 4.5m(2.5m+2.2m，support adjust)
opening&amp;closing times：3S
support change direction 
L:Chassis is on left,boom is on right
R:Chassis is on right,boom is on left
MOQ:30PCS</t>
  </si>
  <si>
    <t>chassis with LED, telescope boom(without led)，backage with wooden box
AC Adapter ：220V，
Boom length: 6m(3.2m+3m support adjust)
opening&amp;closing times：6S
support change direction ，cannot adjust speed
L:Chassis is on left,boom is on right
R:Chassis is on right,boom is on left
MOQ30pcs</t>
  </si>
  <si>
    <t>PB4030L/R</t>
  </si>
  <si>
    <t>*Straight Boom Barrier Gate（With Boom）
Only 4m boom,3s opening&amp;closing time
Only 220V
L:Chassis is on left,boom is on right
R:Chassis is on right,boom is on left</t>
  </si>
  <si>
    <t>*Straight Boom Barrier Gate（With Boom）
Only 4m boom,3s opening&amp;closing time
Only 110V
L:Chassis is on left,boom is on right
R:Chassis is on right,boom is on left</t>
  </si>
  <si>
    <t>PB4060L/R</t>
  </si>
  <si>
    <t>*Straight Boom Barrier Gate（With Boom）
Only 6m boom,6s opening&amp;closing time
Only 220V
L:Chassis is on left,boom is on right
R:Chassis is on right,boom is on left</t>
  </si>
  <si>
    <t>*Straight Boom Barrier Gate（With Boom）
Only 6m boom,6s opening&amp;closing time
Only 110V
L:Chassis is on left,boom is on right
R:Chassis is on right,boom is on left</t>
  </si>
  <si>
    <t>PB4030L/R-LED</t>
  </si>
  <si>
    <t>*Straight Boom Barrier Gate（With Boom）
Boom with LED
Only 4m boom,3s opening&amp;closing time
Only 220V
L:Chassis is on left,boom is on right
R:Chassis is on right,boom is on left</t>
  </si>
  <si>
    <t>*Straight Boom Barrier Gate（With Boom）
Boom with LED
Only 4m boom,3s opening&amp;closing time
Only 110V
L:Chassis is on left,boom is on right
R:Chassis is on right,boom is on left</t>
  </si>
  <si>
    <t>PB4130L/R</t>
  </si>
  <si>
    <t>* 90º Folding Boom Barrier Gate（With Boom）
Only 3m(1.7m+1.3m) boom,3s opening time
Only 220V
L:Chassis is on left,boom is on right
R:Chassis is on right,boom is on left</t>
  </si>
  <si>
    <t>* 90º Folding Boom Barrier Gate（With Boom）
Only 3m(1.7m+1.3m) boom,3s opening time
 110V； Limit is 2.5 meters tall
L:Chassis is on left,boom is on right
R:Chassis is on right,boom is on left</t>
  </si>
  <si>
    <t>ProBG2030L/R</t>
  </si>
  <si>
    <t>*Straight Boom Barrier Gate（With Boom）
Chassis without LED
Boom without LED
30:3m boom，45: 4.5m boom，60: 6m boom；
L:Chassis is on left,boom is on right
R:Chassis is on right,boom is on left</t>
  </si>
  <si>
    <t>ProBG2045L/R</t>
  </si>
  <si>
    <t>ProBG2060L/R</t>
  </si>
  <si>
    <t>ProBG2030L/R-LED</t>
  </si>
  <si>
    <t>*Straight Boom Barrier Gate（With Boom）
Chassis without LED
Boom with LED
30:3m boom，45: 4.5m boom，60: 6m boom；
L:Chassis is on left,boom is on right
R:Chassis is on right,boom is on left</t>
  </si>
  <si>
    <t>ProBG2045L/R-LED</t>
  </si>
  <si>
    <t>ProBG2060L/R-LED</t>
  </si>
  <si>
    <t>ProBG2130L/R</t>
  </si>
  <si>
    <t>*90º Folding Barrier Gate(With Boom)
Chassis without LED, Boom without LED
3m folding boom（1.45m+1.55m；Height Limit is 2.2 meters ）
0.9s Opening Time
L:Chassis is on left,boom is on right
R:Chassis is on right,boom is on left
AC Adapter：110V~220V</t>
  </si>
  <si>
    <t>ProBG2130L/R-LED</t>
  </si>
  <si>
    <t>*90º Folding Barrier Gate(With Boom)
Chassis without LED,Boom with LED
3m folding boom（1.45m+1.55m；Limit is 2.2 meters tall）
0.9s Opening Time
L:Chassis is on left,boom is on right
R:Chassis is on right,boom is on left
AC Adapter：110V~220V</t>
  </si>
  <si>
    <t>ProBG3030L/R</t>
  </si>
  <si>
    <t>*Straight Boom Barrier Gate（With Boom）
Chassis with LED,Boom without LED
30:3m boom，45:4.5m boom，60:6m boom
L:Chassis is on left,boom is on right
R:Chassis is on left,boom is on right</t>
  </si>
  <si>
    <t>ProBG3045L/R</t>
  </si>
  <si>
    <t>ProBG3060L/R</t>
  </si>
  <si>
    <t>ProBG3030L/R-LED</t>
  </si>
  <si>
    <t>*Straight Boom Barrier Gate（With Boom）
Chassis with LED,Boom with LED
30:3m boom，45:4.5m boom，60:6m boom
L:Chassis is on left,boom is on right
R:Chassis is on left,boom is on right</t>
  </si>
  <si>
    <t>ProBG3045L/R-LED</t>
  </si>
  <si>
    <t>ProBG3060L/R-LED</t>
  </si>
  <si>
    <t>ProBG3130L/R</t>
  </si>
  <si>
    <t>*90º Folding Boom Barrier Gate(With Boom)
Chassis with LED, Boom without LED
3m  boom（1.45m+1.55m；Limit is 2.2 meters tall）
0.9s Opening Time
L:Chassis is on left,boom is on right
R:Chassis is on right,boom is on left</t>
  </si>
  <si>
    <t>ProBG3130L/R-LED</t>
  </si>
  <si>
    <t>*90º Folding Boom Barrier Gate(With Boom)
Chassis with LED,Boom with LED
3m  boom（1.45m+1.55m；Limit is 2.2 meters tall）
0.9s Opening Time
Height limit 2.2m
L:Chassis is on left,boom is on right
R:Chassis is on left,boom is on right
AC Adapter：110V~220V</t>
  </si>
  <si>
    <t>ProBG2230L/R</t>
  </si>
  <si>
    <t xml:space="preserve"> Fence pole Barrier Gate(Red and White color）
Chassis without LED,Boom without LED
3m  fence boom
2s opening speed
L:Chassis is on left,boom  is on right
R:Chassis is on right,boom  is on left
AC Adapter：110V~220V</t>
  </si>
  <si>
    <t>ProBG2240L/R</t>
  </si>
  <si>
    <t>*Fence pole Barrier Gate(Red and White color）
Chassis without LED,Boom without LED
4m  fence boom
3s opening speed
L:Chassis is on left,boom  is on right
R:Chassis is on right,boom  is on left
AC Adapter：110V~220V</t>
  </si>
  <si>
    <t>ProBG3230L/R</t>
  </si>
  <si>
    <t>Fence pole Barrier Gate(Red and White color）
Chassis with LED,Boom without LED
3m  fence boom
2s opening speed
L:Chassis is on left,boom  is on right
R:Chassis is on right,boom  is on left
AC Adapter：110V~220V</t>
  </si>
  <si>
    <t>ProBG3240L/R</t>
  </si>
  <si>
    <t>Fence pole Barrier Gate(Red and White color）
Chassis with LED,Boom without LED
4m  fence boom
3s opening speed
L:Chassis is on left,boom  is on right
R:Chassis is on right,boom  is on left
AC Adapter：110V~220V</t>
  </si>
  <si>
    <t>ProBG6000L/R</t>
  </si>
  <si>
    <t>High speed barrier (including  boom),
0.6S opening speed, 
only 3m carbon fiber circular straight boom, 
Brand logo
≥ 8 million opening/closing times
Remote control not included,
L:Chassis is on left,boom  is on right
R:Chassis is on right,boom  is on left</t>
  </si>
  <si>
    <t>Parking barrier accessories</t>
  </si>
  <si>
    <t>PSA26</t>
  </si>
  <si>
    <r>
      <rPr>
        <rFont val="Arial"/>
        <color theme="1"/>
        <sz val="9.0"/>
      </rPr>
      <t>Infrared Intrusion Detectors (with bracket</t>
    </r>
    <r>
      <rPr>
        <rFont val="宋体"/>
        <color theme="1"/>
        <sz val="9.0"/>
      </rPr>
      <t>）</t>
    </r>
    <r>
      <rPr>
        <rFont val="Arial"/>
        <color theme="1"/>
        <sz val="9.0"/>
      </rPr>
      <t xml:space="preserve">
one transmitter and one receiver</t>
    </r>
  </si>
  <si>
    <t>All parking barrier</t>
  </si>
  <si>
    <t>UR20RW-F</t>
  </si>
  <si>
    <t>UHF card issuer
Comunication:USB;
*Unencrypted,Blank Logo
RW:means reading&amp;writing EPC
number(Card number)
E: means frequency band(865MHz-868MHz)
F: means frequency band(902MHz-926MHz)</t>
  </si>
  <si>
    <t>UHF
WATERPR
OOF TAG</t>
  </si>
  <si>
    <t>Sticker Type UHF Tag with 860-928MHz
frequency</t>
  </si>
  <si>
    <t>PA-12V
3AMP</t>
  </si>
  <si>
    <t>POWER ADAPTOR 12V 3amp
(iface,f4,iclock2800)</t>
  </si>
  <si>
    <t>ZKBIOCVAC-
P10</t>
  </si>
  <si>
    <t>10 Doors Package Include:
a)10 doors
b)30,000 personnel ,2000 departments
c)Unlimited login accounts</t>
  </si>
  <si>
    <t>UHF1-10F</t>
  </si>
  <si>
    <t>Long distance RFID UHF reader
Reading distance:0-12m(For Hand-held
testing)
Reading distance:0-6m
(For long distance fixed vehicle access
management)
Comunication:Wiegand26/34,USB;
Size: 445*445*90mm
1: means encrypted
2: means unencrypted
E: means EU standard frequency
band(865MHz-868MHz)
F: means American standard frequency
band(902MHz-926MHz)
Application:</t>
  </si>
  <si>
    <t>INBIO-160
PRO</t>
  </si>
  <si>
    <t>DEVICE CONTROLLER</t>
  </si>
  <si>
    <t>VR10</t>
  </si>
  <si>
    <r>
      <rPr>
        <rFont val="Arial"/>
        <color theme="1"/>
        <sz val="9.0"/>
      </rPr>
      <t xml:space="preserve">Vehicle detection radar
smart anti-smash and automatical closing  for barrier gate 
support detect : vehicle , people 
ZKTeco Logo;
Detect distance: 0~6m 
communication: RS485 </t>
    </r>
    <r>
      <rPr>
        <rFont val="宋体"/>
        <color theme="1"/>
        <sz val="9.0"/>
      </rPr>
      <t>，</t>
    </r>
    <r>
      <rPr>
        <rFont val="Arial"/>
        <color theme="1"/>
        <sz val="9.0"/>
      </rPr>
      <t>relay
working frequency</t>
    </r>
    <r>
      <rPr>
        <rFont val="宋体"/>
        <color theme="1"/>
        <sz val="9.0"/>
      </rPr>
      <t>：</t>
    </r>
    <r>
      <rPr>
        <rFont val="Arial"/>
        <color theme="1"/>
        <sz val="9.0"/>
      </rPr>
      <t>79GHz
IP67
AC Adapter:DC12V</t>
    </r>
  </si>
  <si>
    <t>VR10-PRO</t>
  </si>
  <si>
    <t>Vehicle detection radar
smart anti-smash and automatical closing for
barrier gate
support detect : vehicle , people
ZKTeco Logo;
Detect distance: 0~6m
communication: RS485 ，relay
working frequency：79GHz
IP67
AC Adapter:DC12V</t>
  </si>
  <si>
    <t>USB TO RS-485 converter</t>
  </si>
  <si>
    <t>For VR10 radar
Used for connecting software to adjust parameters</t>
  </si>
  <si>
    <t>Parking LED Light</t>
  </si>
  <si>
    <t>Parking Led  light  for    parking barrier
AC Adapter :DC 12V
including holder(hieght :0.5m)
MOQ 10 PCS</t>
  </si>
  <si>
    <t>Parking Warning Light</t>
  </si>
  <si>
    <r>
      <rPr>
        <rFont val="Arial"/>
        <color theme="1"/>
        <sz val="9.0"/>
      </rPr>
      <t xml:space="preserve">Parking Warning Light for    parking barrier
AC Adapter </t>
    </r>
    <r>
      <rPr>
        <rFont val="宋体"/>
        <color theme="1"/>
        <sz val="9.0"/>
      </rPr>
      <t>：</t>
    </r>
    <r>
      <rPr>
        <rFont val="Arial"/>
        <color theme="1"/>
        <sz val="9.0"/>
      </rPr>
      <t>DC 24V
Red, green, double color
With buzzer
MOQ:30PCS</t>
    </r>
  </si>
  <si>
    <t>PAC100</t>
  </si>
  <si>
    <t>Stainless Steel Pole with MA300
Water proof for outdoor installation
RFID and Fingerprint Identification</t>
  </si>
  <si>
    <t>PSA02</t>
  </si>
  <si>
    <t>220V Loop Detector</t>
  </si>
  <si>
    <t>PSA02-B</t>
  </si>
  <si>
    <t>110V Loop Detetor</t>
  </si>
  <si>
    <t>LD01</t>
  </si>
  <si>
    <r>
      <rPr>
        <rFont val="Arial"/>
        <b/>
        <color rgb="FF000000"/>
        <sz val="9.0"/>
      </rPr>
      <t xml:space="preserve">*Loop Detector
</t>
    </r>
    <r>
      <rPr>
        <rFont val="Arial"/>
        <b val="0"/>
        <color rgb="FF000000"/>
        <sz val="9.0"/>
      </rPr>
      <t>Single channel
Support DC24V</t>
    </r>
  </si>
  <si>
    <t>Only Support  ProBG series</t>
  </si>
  <si>
    <t>PSA03</t>
  </si>
  <si>
    <t>100 Meters Loop</t>
  </si>
  <si>
    <t>All loop detector</t>
  </si>
  <si>
    <t>Boom-130</t>
  </si>
  <si>
    <r>
      <rPr>
        <rFont val="Arial"/>
        <color theme="1"/>
        <sz val="9.0"/>
      </rPr>
      <t>*3m Straight Boom
Standard anticollision rubber strip</t>
    </r>
    <r>
      <rPr>
        <rFont val="宋体"/>
        <color theme="1"/>
        <sz val="9.0"/>
      </rPr>
      <t>，</t>
    </r>
    <r>
      <rPr>
        <rFont val="Arial"/>
        <color theme="1"/>
        <sz val="9.0"/>
      </rPr>
      <t>Without LED</t>
    </r>
  </si>
  <si>
    <t>Boom-145</t>
  </si>
  <si>
    <r>
      <rPr>
        <rFont val="Arial"/>
        <color theme="1"/>
        <sz val="9.0"/>
      </rPr>
      <t>*4.5m Straight Boom
Standard anticollision rubber strip</t>
    </r>
    <r>
      <rPr>
        <rFont val="宋体"/>
        <color theme="1"/>
        <sz val="9.0"/>
      </rPr>
      <t>，</t>
    </r>
    <r>
      <rPr>
        <rFont val="Arial"/>
        <color theme="1"/>
        <sz val="9.0"/>
      </rPr>
      <t>Without LED</t>
    </r>
  </si>
  <si>
    <t>Boom-160</t>
  </si>
  <si>
    <r>
      <rPr>
        <rFont val="Arial"/>
        <color theme="1"/>
        <sz val="9.0"/>
      </rPr>
      <t>*6m Straight Boom
Standard anticollision rubber strip</t>
    </r>
    <r>
      <rPr>
        <rFont val="宋体"/>
        <color theme="1"/>
        <sz val="9.0"/>
      </rPr>
      <t>，</t>
    </r>
    <r>
      <rPr>
        <rFont val="Arial"/>
        <color theme="1"/>
        <sz val="9.0"/>
      </rPr>
      <t>Without LED</t>
    </r>
  </si>
  <si>
    <t>Boom-230</t>
  </si>
  <si>
    <r>
      <rPr>
        <rFont val="Arial"/>
        <color theme="1"/>
        <sz val="9.0"/>
      </rPr>
      <t>*3m 90º Folding Boom
Standard anticollision rubber strip</t>
    </r>
    <r>
      <rPr>
        <rFont val="宋体"/>
        <color theme="1"/>
        <sz val="9.0"/>
      </rPr>
      <t>，</t>
    </r>
    <r>
      <rPr>
        <rFont val="Arial"/>
        <color theme="1"/>
        <sz val="9.0"/>
      </rPr>
      <t>Without LED</t>
    </r>
  </si>
  <si>
    <t>Only Support ProBG series</t>
  </si>
  <si>
    <t>Boom-130-LED</t>
  </si>
  <si>
    <r>
      <rPr>
        <rFont val="Arial"/>
        <color rgb="FF000000"/>
        <sz val="9.0"/>
      </rPr>
      <t>*3m Straight Boom
Standard anticollision rubber strip</t>
    </r>
    <r>
      <rPr>
        <rFont val="宋体"/>
        <color rgb="FF000000"/>
        <sz val="9.0"/>
      </rPr>
      <t>，</t>
    </r>
    <r>
      <rPr>
        <rFont val="Arial"/>
        <color rgb="FF000000"/>
        <sz val="9.0"/>
      </rPr>
      <t>With LED</t>
    </r>
  </si>
  <si>
    <t>Boom-145-LED</t>
  </si>
  <si>
    <r>
      <rPr>
        <rFont val="Arial"/>
        <color rgb="FF000000"/>
        <sz val="9.0"/>
      </rPr>
      <t>*4.5m Straight Boom
Standard anticollision rubber strip</t>
    </r>
    <r>
      <rPr>
        <rFont val="宋体"/>
        <color rgb="FF000000"/>
        <sz val="9.0"/>
      </rPr>
      <t>，</t>
    </r>
    <r>
      <rPr>
        <rFont val="Arial"/>
        <color rgb="FF000000"/>
        <sz val="9.0"/>
      </rPr>
      <t>With LED</t>
    </r>
  </si>
  <si>
    <t>Boom-160-LED</t>
  </si>
  <si>
    <r>
      <rPr>
        <rFont val="Arial"/>
        <color rgb="FF000000"/>
        <sz val="9.0"/>
      </rPr>
      <t>*6m Straight Boom
Standard anticollision rubber strip</t>
    </r>
    <r>
      <rPr>
        <rFont val="宋体"/>
        <color rgb="FF000000"/>
        <sz val="9.0"/>
      </rPr>
      <t>，</t>
    </r>
    <r>
      <rPr>
        <rFont val="Arial"/>
        <color rgb="FF000000"/>
        <sz val="9.0"/>
      </rPr>
      <t>With LED</t>
    </r>
  </si>
  <si>
    <r>
      <rPr>
        <rFont val="Arial"/>
        <color theme="1"/>
        <sz val="9.0"/>
      </rPr>
      <t>ProBG</t>
    </r>
    <r>
      <rPr>
        <rFont val="宋体"/>
        <color theme="1"/>
        <sz val="9.0"/>
      </rPr>
      <t>伸缩杆</t>
    </r>
    <r>
      <rPr>
        <rFont val="Arial"/>
        <color theme="1"/>
        <sz val="9.0"/>
      </rPr>
      <t>-LED</t>
    </r>
  </si>
  <si>
    <r>
      <rPr>
        <rFont val="Arial"/>
        <color rgb="FF000000"/>
        <sz val="9.0"/>
      </rPr>
      <t xml:space="preserve">6m telescope  boom </t>
    </r>
    <r>
      <rPr>
        <rFont val="宋体"/>
        <color rgb="FF000000"/>
        <sz val="9.0"/>
      </rPr>
      <t>（</t>
    </r>
    <r>
      <rPr>
        <rFont val="Arial"/>
        <color rgb="FF000000"/>
        <sz val="9.0"/>
      </rPr>
      <t>3m+3.2m</t>
    </r>
    <r>
      <rPr>
        <rFont val="宋体"/>
        <color rgb="FF000000"/>
        <sz val="9.0"/>
      </rPr>
      <t>）</t>
    </r>
    <r>
      <rPr>
        <rFont val="Arial"/>
        <color rgb="FF000000"/>
        <sz val="9.0"/>
      </rPr>
      <t xml:space="preserve">
</t>
    </r>
    <r>
      <rPr>
        <rFont val="Arial"/>
        <color rgb="FFFF0000"/>
        <sz val="9.0"/>
      </rPr>
      <t>Standard anticollision rubber strip</t>
    </r>
    <r>
      <rPr>
        <rFont val="宋体"/>
        <color rgb="FFFF0000"/>
        <sz val="9.0"/>
      </rPr>
      <t>，</t>
    </r>
    <r>
      <rPr>
        <rFont val="Arial"/>
        <color rgb="FFFF0000"/>
        <sz val="9.0"/>
      </rPr>
      <t>Without LED
Only Support ProBG series</t>
    </r>
  </si>
  <si>
    <t>Boom-230-LED</t>
  </si>
  <si>
    <r>
      <rPr>
        <rFont val="Arial"/>
        <color rgb="FF000000"/>
        <sz val="9.0"/>
      </rPr>
      <t>*3m 90º Folding Boom</t>
    </r>
    <r>
      <rPr>
        <rFont val="Arial"/>
        <color rgb="FF000000"/>
        <sz val="9.0"/>
      </rPr>
      <t xml:space="preserve">
Standard anticollision rubber strip</t>
    </r>
    <r>
      <rPr>
        <rFont val="微软雅黑"/>
        <color rgb="FF000000"/>
        <sz val="9.0"/>
      </rPr>
      <t>，</t>
    </r>
    <r>
      <rPr>
        <rFont val="Arial"/>
        <color rgb="FFFF0000"/>
        <sz val="9.0"/>
      </rPr>
      <t>With LED</t>
    </r>
  </si>
  <si>
    <r>
      <rPr>
        <rFont val="Arial"/>
        <color theme="1"/>
        <sz val="9.0"/>
      </rPr>
      <t>PSA55(PROBG</t>
    </r>
    <r>
      <rPr>
        <rFont val="微软雅黑"/>
        <color theme="1"/>
        <sz val="9.0"/>
      </rPr>
      <t>道闸</t>
    </r>
    <r>
      <rPr>
        <rFont val="Arial"/>
        <color theme="1"/>
        <sz val="9.0"/>
      </rPr>
      <t>) 
/ProBG Series Remote Control</t>
    </r>
  </si>
  <si>
    <t>*Remote Control
For ProBG series barrier gate</t>
  </si>
  <si>
    <t>ProBG-PSA66</t>
  </si>
  <si>
    <r>
      <rPr>
        <rFont val="Arial"/>
        <color theme="1"/>
        <sz val="9.0"/>
      </rPr>
      <t>*Dc servo brushless motor 
For ProBG2000+ProBG3000
The rated voltage</t>
    </r>
    <r>
      <rPr>
        <rFont val="宋体"/>
        <color theme="1"/>
        <sz val="9.0"/>
      </rPr>
      <t>：</t>
    </r>
    <r>
      <rPr>
        <rFont val="Arial"/>
        <color theme="1"/>
        <sz val="9.0"/>
      </rPr>
      <t>DC 24V 100W
3000r/min 0.318Nm
MTTR&lt;0.5 hours
MTBF&gt;5 million times</t>
    </r>
  </si>
  <si>
    <t>PSA71</t>
  </si>
  <si>
    <r>
      <rPr>
        <rFont val="Arial"/>
        <color theme="1"/>
        <sz val="9.0"/>
      </rPr>
      <t xml:space="preserve">*Servo motor
</t>
    </r>
    <r>
      <rPr>
        <rFont val="宋体"/>
        <color theme="1"/>
        <sz val="9.0"/>
      </rPr>
      <t>（</t>
    </r>
    <r>
      <rPr>
        <rFont val="Arial"/>
        <color theme="1"/>
        <sz val="9.0"/>
      </rPr>
      <t>not include reducer</t>
    </r>
    <r>
      <rPr>
        <rFont val="宋体"/>
        <color theme="1"/>
        <sz val="9.0"/>
      </rPr>
      <t>）</t>
    </r>
    <r>
      <rPr>
        <rFont val="Arial"/>
        <color theme="1"/>
        <sz val="9.0"/>
      </rPr>
      <t xml:space="preserve">
For ProBG2000+ProBG3000</t>
    </r>
  </si>
  <si>
    <t>ProBG-PSA54</t>
  </si>
  <si>
    <t>*Control Mainboard
For ProBG2000&amp;ProBG3000
AC/DC24V</t>
  </si>
  <si>
    <t>ProBG-PSA57</t>
  </si>
  <si>
    <t>*AC Adapter Suply
For ProBG2000&amp;ProBG3000
Input:110V-220V; Output:DC24V</t>
  </si>
  <si>
    <t>ProBG-PSA59</t>
  </si>
  <si>
    <t>*Balance Spring
For ProBG3000 D=3.5mm</t>
  </si>
  <si>
    <t>Only Support ProBG 3000</t>
  </si>
  <si>
    <t>ProBG-PSA60</t>
  </si>
  <si>
    <t>*Balance Spring
For ProBG3000 D=4.5mm</t>
  </si>
  <si>
    <t>ProBG-PSA61</t>
  </si>
  <si>
    <t>*Balance Spring
For ProBG2000 D=4.5mm L=360mm
Side with a hook</t>
  </si>
  <si>
    <t>Only Support ProBG 2000</t>
  </si>
  <si>
    <t>ProBG-PSA62</t>
  </si>
  <si>
    <t>*Balance Spring
For ProBG2000 D=5.5mm L=360mm
Side with a hook</t>
  </si>
  <si>
    <t>ProBG-PSA56</t>
  </si>
  <si>
    <t>*Parameter debugging board
For ProBG  series</t>
  </si>
  <si>
    <t>ProBG LED lighter-L30</t>
  </si>
  <si>
    <r>
      <rPr>
        <rFont val="Arial"/>
        <color theme="1"/>
        <sz val="9.0"/>
      </rPr>
      <t>For ProBG Series</t>
    </r>
    <r>
      <rPr>
        <rFont val="宋体"/>
        <color theme="1"/>
        <sz val="9.0"/>
      </rPr>
      <t>：</t>
    </r>
    <r>
      <rPr>
        <rFont val="Arial"/>
        <color theme="1"/>
        <sz val="9.0"/>
      </rPr>
      <t xml:space="preserve"> ProBG3030-LED L/R, ProBG2030-LED L/R
led strip   with connector
3m</t>
    </r>
  </si>
  <si>
    <t>ProBG LED lighter-L45</t>
  </si>
  <si>
    <t>For ProBG Series:ProBG3030-LED L/R, ProBG2030-LED L/R
led strip   with connector
4.5m</t>
  </si>
  <si>
    <t>ProBG LED ligher -L60</t>
  </si>
  <si>
    <t>For ProBG Series:ProBG3030-LED L/R, ProBG2030-LED L/R
led strip   with connector
6m</t>
  </si>
  <si>
    <t>ProBG Accessories</t>
  </si>
  <si>
    <t>remote control * 2, 
pressure bar * 2, 
key * 2,
 bursting screw * 4, 
gate screw * 1, 
antenna module * 1</t>
  </si>
  <si>
    <t>ProBG2000  Wooden box</t>
  </si>
  <si>
    <t>L*W*H:    1100*520*410</t>
  </si>
  <si>
    <t>ProBG3000  Wooden box</t>
  </si>
  <si>
    <t>L*W*H:    1100*560*410</t>
  </si>
  <si>
    <t>BG1000 Series accessories</t>
  </si>
  <si>
    <t>BG1000 Chassis Package</t>
  </si>
  <si>
    <r>
      <rPr>
        <rFont val="Arial"/>
        <color theme="1"/>
        <sz val="9.0"/>
      </rPr>
      <t>350mm*305mm*1020mm With chassis body</t>
    </r>
    <r>
      <rPr>
        <rFont val="宋体"/>
        <color theme="1"/>
        <sz val="9.0"/>
      </rPr>
      <t>、</t>
    </r>
    <r>
      <rPr>
        <rFont val="Arial"/>
        <color theme="1"/>
        <sz val="9.0"/>
      </rPr>
      <t>LED door</t>
    </r>
    <r>
      <rPr>
        <rFont val="宋体"/>
        <color theme="1"/>
        <sz val="9.0"/>
      </rPr>
      <t>、</t>
    </r>
    <r>
      <rPr>
        <rFont val="Arial"/>
        <color theme="1"/>
        <sz val="9.0"/>
      </rPr>
      <t>Key</t>
    </r>
    <r>
      <rPr>
        <rFont val="宋体"/>
        <color theme="1"/>
        <sz val="9.0"/>
      </rPr>
      <t>、</t>
    </r>
    <r>
      <rPr>
        <rFont val="Arial"/>
        <color theme="1"/>
        <sz val="9.0"/>
      </rPr>
      <t>package box</t>
    </r>
    <r>
      <rPr>
        <rFont val="宋体"/>
        <color theme="1"/>
        <sz val="9.0"/>
      </rPr>
      <t>、</t>
    </r>
    <r>
      <rPr>
        <rFont val="Arial"/>
        <color theme="1"/>
        <sz val="9.0"/>
      </rPr>
      <t>ZKTeco logo</t>
    </r>
  </si>
  <si>
    <t>Only Support  BG1000</t>
  </si>
  <si>
    <t>BG1000 Chassis</t>
  </si>
  <si>
    <r>
      <rPr>
        <rFont val="Arial"/>
        <color theme="1"/>
        <sz val="9.0"/>
      </rPr>
      <t>350mm*275mm*1020mm
 Only gray chassis body</t>
    </r>
    <r>
      <rPr>
        <rFont val="宋体"/>
        <color theme="1"/>
        <sz val="9.0"/>
      </rPr>
      <t>、</t>
    </r>
    <r>
      <rPr>
        <rFont val="Arial"/>
        <color theme="1"/>
        <sz val="9.0"/>
      </rPr>
      <t>with key, without door</t>
    </r>
  </si>
  <si>
    <t>BG1000 LED Door</t>
  </si>
  <si>
    <t>30*350*1010mm Only LED door</t>
  </si>
  <si>
    <t>BG1000 Transmission Mechanism</t>
  </si>
  <si>
    <r>
      <rPr>
        <rFont val="Arial"/>
        <color rgb="FFFF0000"/>
        <sz val="9.0"/>
      </rPr>
      <t>200mm*230mm*370mm 1.5~3s speed adjustable apply to boom  L &lt;4.5m 
   boom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>with motor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>reducer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>crank connecting link(without spring)</t>
    </r>
  </si>
  <si>
    <r>
      <rPr>
        <rFont val="Arial"/>
        <color rgb="FFFF0000"/>
        <sz val="9.0"/>
      </rPr>
      <t>BG1000 Transmission Mechanism</t>
    </r>
    <r>
      <rPr>
        <rFont val="宋体"/>
        <color rgb="FFFF0000"/>
        <sz val="9.0"/>
      </rPr>
      <t>（</t>
    </r>
    <r>
      <rPr>
        <rFont val="Arial"/>
        <color rgb="FFFF0000"/>
        <sz val="9.0"/>
      </rPr>
      <t>6M</t>
    </r>
    <r>
      <rPr>
        <rFont val="宋体"/>
        <color rgb="FFFF0000"/>
        <sz val="9.0"/>
      </rPr>
      <t>）</t>
    </r>
  </si>
  <si>
    <r>
      <rPr>
        <rFont val="Arial"/>
        <color rgb="FFFF0000"/>
        <sz val="9.0"/>
      </rPr>
      <t>200mm*230mm*370mm 3~6s speed adjustable apply to boom from 4.5~6m boom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>with motor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>reducer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>crank connecting link(without spring)</t>
    </r>
  </si>
  <si>
    <t>BG1000 Boom Support</t>
  </si>
  <si>
    <r>
      <rPr>
        <rFont val="Arial"/>
        <color rgb="FFFF0000"/>
        <sz val="9.0"/>
      </rPr>
      <t>∮</t>
    </r>
    <r>
      <rPr>
        <rFont val="Arial"/>
        <color rgb="FFFF0000"/>
        <sz val="9.0"/>
      </rPr>
      <t>37mm-187mm*86mm*4mm Q235 Surface spray white</t>
    </r>
  </si>
  <si>
    <t>BG1000 Boom Clamp Plate</t>
  </si>
  <si>
    <t>187mm*87mm*4mm Q235 Surface spray white</t>
  </si>
  <si>
    <t>BG1000 Spring(4.5mm)</t>
  </si>
  <si>
    <r>
      <rPr>
        <rFont val="Cambria Math"/>
        <color rgb="FFFF0000"/>
        <sz val="9.0"/>
      </rPr>
      <t>∮</t>
    </r>
    <r>
      <rPr>
        <rFont val="Arial"/>
        <color rgb="FFFF0000"/>
        <sz val="9.0"/>
      </rPr>
      <t>4.5mm*</t>
    </r>
    <r>
      <rPr>
        <rFont val="Cambria Math"/>
        <color rgb="FFFF0000"/>
        <sz val="9.0"/>
      </rPr>
      <t>∮</t>
    </r>
    <r>
      <rPr>
        <rFont val="Arial"/>
        <color rgb="FFFF0000"/>
        <sz val="9.0"/>
      </rPr>
      <t>40mm*440mm 65Mn material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 xml:space="preserve"> Apply to 2.5~4m boom</t>
    </r>
  </si>
  <si>
    <t>BG1000 Spring(5.5mm)</t>
  </si>
  <si>
    <r>
      <rPr>
        <rFont val="宋体"/>
        <color rgb="FFFF0000"/>
        <sz val="9.0"/>
      </rPr>
      <t>∮</t>
    </r>
    <r>
      <rPr>
        <rFont val="Arial"/>
        <color rgb="FFFF0000"/>
        <sz val="9.0"/>
      </rPr>
      <t>4.5mm*</t>
    </r>
    <r>
      <rPr>
        <rFont val="宋体"/>
        <color rgb="FFFF0000"/>
        <sz val="9.0"/>
      </rPr>
      <t>∮</t>
    </r>
    <r>
      <rPr>
        <rFont val="Arial"/>
        <color rgb="FFFF0000"/>
        <sz val="9.0"/>
      </rPr>
      <t>40mm*440mm 65Mn material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 xml:space="preserve"> Apply to 4.5~5m boom</t>
    </r>
  </si>
  <si>
    <t>BG1000 Spring(6.5mm)</t>
  </si>
  <si>
    <r>
      <rPr>
        <rFont val="宋体"/>
        <color rgb="FFFF0000"/>
        <sz val="9.0"/>
      </rPr>
      <t>∮</t>
    </r>
    <r>
      <rPr>
        <rFont val="Arial"/>
        <color rgb="FFFF0000"/>
        <sz val="9.0"/>
      </rPr>
      <t>4.5mm*</t>
    </r>
    <r>
      <rPr>
        <rFont val="宋体"/>
        <color rgb="FFFF0000"/>
        <sz val="9.0"/>
      </rPr>
      <t>∮</t>
    </r>
    <r>
      <rPr>
        <rFont val="Arial"/>
        <color rgb="FFFF0000"/>
        <sz val="9.0"/>
      </rPr>
      <t>40mm*440mm 65Mn material</t>
    </r>
    <r>
      <rPr>
        <rFont val="宋体"/>
        <color rgb="FFFF0000"/>
        <sz val="9.0"/>
      </rPr>
      <t>、</t>
    </r>
    <r>
      <rPr>
        <rFont val="Arial"/>
        <color rgb="FFFF0000"/>
        <sz val="9.0"/>
      </rPr>
      <t xml:space="preserve"> Apply to 4.5~5m boom</t>
    </r>
  </si>
  <si>
    <t>BG1000 Mainboard</t>
  </si>
  <si>
    <t>180mm*120mm*37mm DC24V with protection cover、wiring terminal</t>
  </si>
  <si>
    <t>BG1000 Power Supply</t>
  </si>
  <si>
    <r>
      <rPr>
        <rFont val="Arial"/>
        <color rgb="FFFF0000"/>
        <sz val="9.0"/>
      </rPr>
      <t>195mm*95mm*40mm</t>
    </r>
    <r>
      <rPr>
        <rFont val="宋体"/>
        <color rgb="FFFF0000"/>
        <sz val="9.0"/>
      </rPr>
      <t>，</t>
    </r>
    <r>
      <rPr>
        <rFont val="Arial"/>
        <color rgb="FFFF0000"/>
        <sz val="9.0"/>
      </rPr>
      <t xml:space="preserve"> Input AC220V/110V±15</t>
    </r>
    <r>
      <rPr>
        <rFont val="宋体"/>
        <color rgb="FFFF0000"/>
        <sz val="9.0"/>
      </rPr>
      <t>％</t>
    </r>
    <r>
      <rPr>
        <rFont val="Arial"/>
        <color rgb="FFFF0000"/>
        <sz val="9.0"/>
      </rPr>
      <t xml:space="preserve"> Output DC24V10A</t>
    </r>
  </si>
  <si>
    <t>BG1000 Backup Capacitor</t>
  </si>
  <si>
    <t>115mm*60mm*35mm Input DC24V10A Output DC20V15A</t>
  </si>
  <si>
    <t>BG1000 Remote Receiver</t>
  </si>
  <si>
    <t>70mm*60mm*30mm 433MHz white with cable</t>
  </si>
  <si>
    <t>BG1000 Remote Controller</t>
  </si>
  <si>
    <r>
      <rPr>
        <rFont val="Arial"/>
        <color rgb="FFFF0000"/>
        <sz val="9.0"/>
      </rPr>
      <t>65mm*38mm*10mm</t>
    </r>
    <r>
      <rPr>
        <rFont val="宋体"/>
        <color rgb="FFFF0000"/>
        <sz val="9.0"/>
      </rPr>
      <t>，</t>
    </r>
    <r>
      <rPr>
        <rFont val="Arial"/>
        <color rgb="FFFF0000"/>
        <sz val="9.0"/>
      </rPr>
      <t>433MHz Learn code</t>
    </r>
  </si>
  <si>
    <t>BG1000 Packaging Box</t>
  </si>
  <si>
    <t>1100mm*430mm*375mm with 
sponge mat ZKTeco logo</t>
  </si>
  <si>
    <r>
      <rPr>
        <rFont val="Arial"/>
        <color theme="1"/>
        <sz val="9.0"/>
      </rPr>
      <t>PSA51(PB4060</t>
    </r>
    <r>
      <rPr>
        <rFont val="宋体"/>
        <color theme="1"/>
        <sz val="9.0"/>
      </rPr>
      <t>升缩杆）</t>
    </r>
    <r>
      <rPr>
        <rFont val="Arial"/>
        <color theme="1"/>
        <sz val="9.0"/>
      </rPr>
      <t xml:space="preserve">
/PSA51(PB4060 Expansion Boom)</t>
    </r>
  </si>
  <si>
    <r>
      <rPr>
        <rFont val="Arial"/>
        <color theme="1"/>
        <sz val="9.0"/>
      </rPr>
      <t>*6m Straight Boom
For PB4060
(Main boom dimension</t>
    </r>
    <r>
      <rPr>
        <rFont val="微软雅黑"/>
        <color theme="1"/>
        <sz val="9.0"/>
      </rPr>
      <t>：</t>
    </r>
    <r>
      <rPr>
        <rFont val="Arial"/>
        <color theme="1"/>
        <sz val="9.0"/>
      </rPr>
      <t>86mm*45mm*3.2m,
Vice-boom dimension</t>
    </r>
    <r>
      <rPr>
        <rFont val="微软雅黑"/>
        <color theme="1"/>
        <sz val="9.0"/>
      </rPr>
      <t>：</t>
    </r>
    <r>
      <rPr>
        <rFont val="Arial"/>
        <color theme="1"/>
        <sz val="9.0"/>
      </rPr>
      <t>80mm*38mm*3m</t>
    </r>
    <r>
      <rPr>
        <rFont val="微软雅黑"/>
        <color theme="1"/>
        <sz val="9.0"/>
      </rPr>
      <t>）</t>
    </r>
  </si>
  <si>
    <t>PB4060</t>
  </si>
  <si>
    <r>
      <rPr>
        <rFont val="Arial"/>
        <color theme="1"/>
        <sz val="9.0"/>
      </rPr>
      <t>PSA52(PB4030</t>
    </r>
    <r>
      <rPr>
        <rFont val="宋体"/>
        <color theme="1"/>
        <sz val="9.0"/>
      </rPr>
      <t>升缩杆）</t>
    </r>
    <r>
      <rPr>
        <rFont val="Arial"/>
        <color theme="1"/>
        <sz val="9.0"/>
      </rPr>
      <t xml:space="preserve">
/PSA52(PB4030 Expansion Boom)</t>
    </r>
  </si>
  <si>
    <r>
      <rPr>
        <rFont val="Arial"/>
        <color theme="1"/>
        <sz val="9.0"/>
      </rPr>
      <t>*4m Straight Boom
For PB4030
(Main boom dimension</t>
    </r>
    <r>
      <rPr>
        <rFont val="微软雅黑"/>
        <color theme="1"/>
        <sz val="9.0"/>
      </rPr>
      <t>：</t>
    </r>
    <r>
      <rPr>
        <rFont val="Arial"/>
        <color theme="1"/>
        <sz val="9.0"/>
      </rPr>
      <t>86mm*45mm*2.1m,
Vice-boom dimension</t>
    </r>
    <r>
      <rPr>
        <rFont val="微软雅黑"/>
        <color theme="1"/>
        <sz val="9.0"/>
      </rPr>
      <t>：</t>
    </r>
    <r>
      <rPr>
        <rFont val="Arial"/>
        <color theme="1"/>
        <sz val="9.0"/>
      </rPr>
      <t>80mm*38mm*2.1m</t>
    </r>
    <r>
      <rPr>
        <rFont val="微软雅黑"/>
        <color theme="1"/>
        <sz val="9.0"/>
      </rPr>
      <t>）</t>
    </r>
  </si>
  <si>
    <t>PB4030</t>
  </si>
  <si>
    <r>
      <rPr>
        <rFont val="Arial"/>
        <color theme="1"/>
        <sz val="9.0"/>
      </rPr>
      <t>PSA53(PB4130</t>
    </r>
    <r>
      <rPr>
        <rFont val="宋体"/>
        <color theme="1"/>
        <sz val="9.0"/>
      </rPr>
      <t>折叠杆）</t>
    </r>
    <r>
      <rPr>
        <rFont val="Arial"/>
        <color theme="1"/>
        <sz val="9.0"/>
      </rPr>
      <t xml:space="preserve">
/PSA52(PB4130 Folding Boom)</t>
    </r>
  </si>
  <si>
    <r>
      <rPr>
        <rFont val="Arial"/>
        <color theme="1"/>
        <sz val="9.0"/>
      </rPr>
      <t>*3m Folding Boom
For PB4130
The boom size</t>
    </r>
    <r>
      <rPr>
        <rFont val="宋体"/>
        <color theme="1"/>
        <sz val="9.0"/>
      </rPr>
      <t>：</t>
    </r>
    <r>
      <rPr>
        <rFont val="Arial"/>
        <color theme="1"/>
        <sz val="9.0"/>
      </rPr>
      <t>100mm*45mm*3000mm
3m(Main boom 1.7m , Vice boom 1.3m ,Height limit  2.5m)</t>
    </r>
  </si>
  <si>
    <t>PB4130</t>
  </si>
  <si>
    <r>
      <rPr>
        <rFont val="Arial"/>
        <color theme="1"/>
        <sz val="9.0"/>
      </rPr>
      <t xml:space="preserve">PSA58(PB4030 </t>
    </r>
    <r>
      <rPr>
        <rFont val="宋体"/>
        <color theme="1"/>
        <sz val="9.0"/>
      </rPr>
      <t>带</t>
    </r>
    <r>
      <rPr>
        <rFont val="Arial"/>
        <color theme="1"/>
        <sz val="9.0"/>
      </rPr>
      <t>LED</t>
    </r>
    <r>
      <rPr>
        <rFont val="宋体"/>
        <color theme="1"/>
        <sz val="9.0"/>
      </rPr>
      <t>直杆）</t>
    </r>
    <r>
      <rPr>
        <rFont val="Arial"/>
        <color theme="1"/>
        <sz val="9.0"/>
      </rPr>
      <t xml:space="preserve">
/PSA58(PB4030 Straight Boom</t>
    </r>
    <r>
      <rPr>
        <rFont val="宋体"/>
        <color theme="1"/>
        <sz val="9.0"/>
      </rPr>
      <t>（</t>
    </r>
    <r>
      <rPr>
        <rFont val="Arial"/>
        <color theme="1"/>
        <sz val="9.0"/>
      </rPr>
      <t>with led</t>
    </r>
    <r>
      <rPr>
        <rFont val="宋体"/>
        <color theme="1"/>
        <sz val="9.0"/>
      </rPr>
      <t>）</t>
    </r>
    <r>
      <rPr>
        <rFont val="Arial"/>
        <color theme="1"/>
        <sz val="9.0"/>
      </rPr>
      <t>)</t>
    </r>
  </si>
  <si>
    <r>
      <rPr>
        <rFont val="Arial"/>
        <color theme="1"/>
        <sz val="9.0"/>
      </rPr>
      <t>*4m Straight Boom
For PB4030
4m (with LED)
12V,need to be used with LED board
The boom  size</t>
    </r>
    <r>
      <rPr>
        <rFont val="宋体"/>
        <color theme="1"/>
        <sz val="9.0"/>
      </rPr>
      <t>：</t>
    </r>
    <r>
      <rPr>
        <rFont val="Arial"/>
        <color theme="1"/>
        <sz val="9.0"/>
      </rPr>
      <t>86mm*44mm*4000mm</t>
    </r>
  </si>
  <si>
    <t>PB4030-LED</t>
  </si>
  <si>
    <t>PB4000LED AC Adapter</t>
  </si>
  <si>
    <r>
      <rPr>
        <rFont val="Arial"/>
        <color theme="1"/>
        <sz val="9.0"/>
      </rPr>
      <t>LED</t>
    </r>
    <r>
      <rPr>
        <rFont val="宋体"/>
        <color theme="1"/>
        <sz val="9.0"/>
      </rPr>
      <t>电源</t>
    </r>
    <r>
      <rPr>
        <rFont val="Arial"/>
        <color theme="1"/>
        <sz val="9.0"/>
      </rPr>
      <t xml:space="preserve"> 12V/5A 78mm*110mm*37mm</t>
    </r>
  </si>
  <si>
    <t>PB4000LED</t>
  </si>
  <si>
    <t>PB4000LED  Light board</t>
  </si>
  <si>
    <t xml:space="preserve"> 12V 75mm*68mm*26mm(only  red )</t>
  </si>
  <si>
    <t>PB4000 motor +reducer</t>
  </si>
  <si>
    <t>200*190*320mm motor +reducer</t>
  </si>
  <si>
    <t>PB4000</t>
  </si>
  <si>
    <r>
      <rPr>
        <rFont val="Arial"/>
        <color theme="1"/>
        <sz val="9.0"/>
      </rPr>
      <t>PB4000</t>
    </r>
    <r>
      <rPr>
        <rFont val="宋体"/>
        <color theme="1"/>
        <sz val="9.0"/>
      </rPr>
      <t>主板</t>
    </r>
    <r>
      <rPr>
        <rFont val="Arial"/>
        <color theme="1"/>
        <sz val="9.0"/>
      </rPr>
      <t>(220V)
/PB4000 Control Mainboard</t>
    </r>
  </si>
  <si>
    <t>*Control Mainboard
For PB4000(220V)
No Remote Control Receiver,Remote Control,Hoare Limit,Capacitance</t>
  </si>
  <si>
    <t>PB4030
PB4060</t>
  </si>
  <si>
    <r>
      <rPr>
        <rFont val="Arial"/>
        <color theme="1"/>
        <sz val="9.0"/>
      </rPr>
      <t>PSA65-PB4000</t>
    </r>
    <r>
      <rPr>
        <rFont val="宋体"/>
        <color theme="1"/>
        <sz val="9.0"/>
      </rPr>
      <t>主板</t>
    </r>
    <r>
      <rPr>
        <rFont val="Arial"/>
        <color theme="1"/>
        <sz val="9.0"/>
      </rPr>
      <t>(110V)
/PB4000 Control Mainboard</t>
    </r>
  </si>
  <si>
    <t>*Control Mainboard
For PB4000(110V)
No Remote Control Receiver,Remote Control,Hoare Limit,Capacitance</t>
  </si>
  <si>
    <r>
      <rPr>
        <rFont val="Arial"/>
        <color theme="1"/>
        <sz val="9.0"/>
      </rPr>
      <t>433</t>
    </r>
    <r>
      <rPr>
        <rFont val="微软雅黑"/>
        <color theme="1"/>
        <sz val="9.0"/>
      </rPr>
      <t>遥控器</t>
    </r>
    <r>
      <rPr>
        <rFont val="Arial"/>
        <color theme="1"/>
        <sz val="9.0"/>
      </rPr>
      <t>(PB4000)
/433 Remote Control(PB4000)</t>
    </r>
  </si>
  <si>
    <t>*Remote Control
For PB4000
433MHz
Peach wood</t>
  </si>
  <si>
    <r>
      <rPr>
        <rFont val="微软雅黑"/>
        <color theme="1"/>
        <sz val="9.0"/>
      </rPr>
      <t>传感器</t>
    </r>
    <r>
      <rPr>
        <rFont val="Arial"/>
        <color theme="1"/>
        <sz val="9.0"/>
      </rPr>
      <t>(PB4000)
/Sensor(PB4000)</t>
    </r>
  </si>
  <si>
    <t>Motor Limit Sensor</t>
  </si>
  <si>
    <r>
      <rPr>
        <rFont val="微软雅黑"/>
        <color theme="1"/>
        <sz val="9.0"/>
      </rPr>
      <t>遥控接收器</t>
    </r>
    <r>
      <rPr>
        <rFont val="Arial"/>
        <color theme="1"/>
        <sz val="9.0"/>
      </rPr>
      <t>(PB4000)
/Remote Control Receiver(PB4000)</t>
    </r>
  </si>
  <si>
    <t>Remote receiver</t>
  </si>
  <si>
    <r>
      <rPr>
        <rFont val="微软雅黑"/>
        <color theme="1"/>
        <sz val="9.0"/>
      </rPr>
      <t>霍尔限位</t>
    </r>
    <r>
      <rPr>
        <rFont val="Arial"/>
        <color theme="1"/>
        <sz val="9.0"/>
      </rPr>
      <t>(PB4000)
/Hoare Limit(PB4000)</t>
    </r>
  </si>
  <si>
    <t>Opening&amp;Closing 
Limiting Control Board</t>
  </si>
  <si>
    <t>PS01</t>
  </si>
  <si>
    <r>
      <rPr>
        <rFont val="Arial"/>
        <color rgb="FF000000"/>
        <sz val="9.0"/>
      </rPr>
      <t>*Photoelectric Switch
Detection distance:</t>
    </r>
    <r>
      <rPr>
        <rFont val="宋体"/>
        <color rgb="FF000000"/>
        <sz val="9.0"/>
      </rPr>
      <t>≦</t>
    </r>
    <r>
      <rPr>
        <rFont val="Arial"/>
        <color rgb="FF000000"/>
        <sz val="9.0"/>
      </rPr>
      <t>3.5m</t>
    </r>
  </si>
  <si>
    <t>PB4000-PSA63</t>
  </si>
  <si>
    <t>*Balance Spring
For PB4000  D=4.5mm L=400mm</t>
  </si>
  <si>
    <t>PB4000-PSA64</t>
  </si>
  <si>
    <t>*Balance Spring
For PB4000  D=5.5mm L=400mm</t>
  </si>
  <si>
    <t>PB4000 wooden box</t>
  </si>
  <si>
    <t>1012*497*399</t>
  </si>
  <si>
    <t>CMP200 Motor Reducer(220V 3S)</t>
  </si>
  <si>
    <t>YN90-90 90W 220V 50/60HZ Reduction ratio40:1</t>
  </si>
  <si>
    <t>CMP200 Motor Reducer(220V 6S)</t>
  </si>
  <si>
    <t>YN90-90 90W 220V 50/60HZ  Reduction ratio75:1</t>
  </si>
  <si>
    <t>CMP200 Motor Reducer(110V 3S)</t>
  </si>
  <si>
    <t>Y90—120 120W 110V 50/60HZ Reduction ratio40:1</t>
  </si>
  <si>
    <t>CMP200 Motor Reducer(110V 6S)</t>
  </si>
  <si>
    <t>Y90—120 120W 110V 50/60HZ Reduction ratio 75:1</t>
  </si>
  <si>
    <t>CMP200 Spring 3S</t>
  </si>
  <si>
    <r>
      <rPr>
        <rFont val="Arial"/>
        <color theme="1"/>
        <sz val="9.0"/>
      </rPr>
      <t xml:space="preserve">φ5.5*φ40*420mm </t>
    </r>
    <r>
      <rPr>
        <rFont val="宋体"/>
        <color theme="1"/>
        <sz val="9.0"/>
      </rPr>
      <t>，</t>
    </r>
    <r>
      <rPr>
        <rFont val="Arial"/>
        <color theme="1"/>
        <sz val="9.0"/>
      </rPr>
      <t>for 4.5m boom</t>
    </r>
  </si>
  <si>
    <t>CMP200 Spring 6S</t>
  </si>
  <si>
    <t>φ6.5*φ40*420mm   for  6m boom</t>
  </si>
  <si>
    <t>CMP200 Chassis</t>
  </si>
  <si>
    <t>350*272*893mm</t>
  </si>
  <si>
    <t>CMP200 Chassis Cover</t>
  </si>
  <si>
    <t>352*275*195mm</t>
  </si>
  <si>
    <t>CMP200 Door(with led)</t>
  </si>
  <si>
    <t>led door
350*1000*25mm Panel, light bar, lock and key</t>
  </si>
  <si>
    <t>CMP200 Mainboard(220V)</t>
  </si>
  <si>
    <t>220V
200*120*60mm</t>
  </si>
  <si>
    <t>CMP200 Mainboard(110V)</t>
  </si>
  <si>
    <t>110V 
200*120*60mm</t>
  </si>
  <si>
    <t>CMP200 Remote Receiver</t>
  </si>
  <si>
    <t>72*60*30mm  length 950mm</t>
  </si>
  <si>
    <t>CMP200 Remote Control</t>
  </si>
  <si>
    <t>remote control *1
62*38*15mm 430Mhz</t>
  </si>
  <si>
    <t>CMP200 Hall Limiter</t>
  </si>
  <si>
    <t>47*45*3mm  length 1000mm</t>
  </si>
  <si>
    <t>CMP200 LED</t>
  </si>
  <si>
    <t>DC12V length  1400mm With terminal
Lead length ≥200mm</t>
  </si>
  <si>
    <t>CMP200 LED AC Adapter</t>
  </si>
  <si>
    <t>S-60W 110*80*35mm 12V 5A</t>
  </si>
  <si>
    <r>
      <rPr>
        <rFont val="Arial"/>
        <color theme="1"/>
        <sz val="9.0"/>
      </rPr>
      <t>CMP200 Telescopic Boom</t>
    </r>
    <r>
      <rPr>
        <rFont val="宋体"/>
        <color theme="1"/>
        <sz val="9.0"/>
      </rPr>
      <t>（</t>
    </r>
    <r>
      <rPr>
        <rFont val="Arial"/>
        <color theme="1"/>
        <sz val="9.0"/>
      </rPr>
      <t>4.5m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</si>
  <si>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2.5m+2.2m
weight</t>
    </r>
    <r>
      <rPr>
        <rFont val="宋体"/>
        <color theme="1"/>
        <sz val="9.0"/>
      </rPr>
      <t>：</t>
    </r>
    <r>
      <rPr>
        <rFont val="Arial"/>
        <color theme="1"/>
        <sz val="9.0"/>
      </rPr>
      <t>3.5kg</t>
    </r>
  </si>
  <si>
    <r>
      <rPr>
        <rFont val="Arial"/>
        <color theme="1"/>
        <sz val="9.0"/>
      </rPr>
      <t>CMP200 Telescopic Boom</t>
    </r>
    <r>
      <rPr>
        <rFont val="宋体"/>
        <color theme="1"/>
        <sz val="9.0"/>
      </rPr>
      <t>（</t>
    </r>
    <r>
      <rPr>
        <rFont val="Arial"/>
        <color theme="1"/>
        <sz val="9.0"/>
      </rPr>
      <t>6m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</si>
  <si>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3.2m+3m
weight</t>
    </r>
    <r>
      <rPr>
        <rFont val="宋体"/>
        <color theme="1"/>
        <sz val="9.0"/>
      </rPr>
      <t>：</t>
    </r>
    <r>
      <rPr>
        <rFont val="Arial"/>
        <color theme="1"/>
        <sz val="9.0"/>
      </rPr>
      <t>4.5kg</t>
    </r>
  </si>
  <si>
    <t>CMP200 Telescopic Boom Bracket</t>
  </si>
  <si>
    <r>
      <rPr>
        <rFont val="Arial"/>
        <color theme="1"/>
        <sz val="9.0"/>
      </rPr>
      <t>height</t>
    </r>
    <r>
      <rPr>
        <rFont val="宋体"/>
        <color theme="1"/>
        <sz val="9.0"/>
      </rPr>
      <t>：</t>
    </r>
    <r>
      <rPr>
        <rFont val="Arial"/>
        <color theme="1"/>
        <sz val="9.0"/>
      </rPr>
      <t xml:space="preserve"> 0.77m——1.1m
support adjust</t>
    </r>
  </si>
  <si>
    <t>CMP200 Packing Carton</t>
  </si>
  <si>
    <t>Barrier backage with liner
400mm * 375mm * 1100mm  
ZKTeco LOGO</t>
  </si>
  <si>
    <t>PSA37</t>
  </si>
  <si>
    <t>*Control Mainboard
For PB1000/3000 
(When ordering, please note what type of machine it is used for.Which voltage is required, 110V or 220V)</t>
  </si>
  <si>
    <t>PB3000</t>
  </si>
  <si>
    <t>remote</t>
  </si>
  <si>
    <t>*Remote Control
For PB1000/3000</t>
  </si>
  <si>
    <t>PSA15-B</t>
  </si>
  <si>
    <t>*Gearbox
For PB1030/3030</t>
  </si>
  <si>
    <t>PSA15-A</t>
  </si>
  <si>
    <t>*Gearbox
For PB1010/3010</t>
  </si>
  <si>
    <t>PSA15-C</t>
  </si>
  <si>
    <t>*Gearbox
For PB1060/3060</t>
  </si>
  <si>
    <t>PSA17-A</t>
  </si>
  <si>
    <t>*Motor
For PB1000/3000  AC 110V</t>
  </si>
  <si>
    <t>PSA17-B</t>
  </si>
  <si>
    <t>*Motor
For PB1000/3000  AC 220V</t>
  </si>
  <si>
    <t>Limit sensor</t>
  </si>
  <si>
    <t xml:space="preserve">*Limit sensor
For PB1000/3000 </t>
  </si>
  <si>
    <t>PBDZ Control Mainboard(220V)</t>
  </si>
  <si>
    <t>Etransformer</t>
  </si>
  <si>
    <r>
      <rPr>
        <rFont val="Arial"/>
        <color theme="1"/>
        <sz val="9.0"/>
      </rPr>
      <t xml:space="preserve">*Transformer
For PB1000/3000 
</t>
    </r>
    <r>
      <rPr>
        <rFont val="宋体"/>
        <color theme="1"/>
        <sz val="9.0"/>
      </rPr>
      <t>（</t>
    </r>
    <r>
      <rPr>
        <rFont val="Arial"/>
        <color theme="1"/>
        <sz val="9.0"/>
      </rPr>
      <t>Used together with motherboard C02011688</t>
    </r>
    <r>
      <rPr>
        <rFont val="宋体"/>
        <color theme="1"/>
        <sz val="9.0"/>
      </rPr>
      <t>）</t>
    </r>
  </si>
  <si>
    <t>PSA43 Telescopic Boom</t>
  </si>
  <si>
    <t>*Telescopic Boom
For PB1030/3030</t>
  </si>
  <si>
    <t>PSA44 Telescopic Boom</t>
  </si>
  <si>
    <t>*Telescopic Boom
For PB1060/3060</t>
  </si>
  <si>
    <t>PSA50 Telescopic Boom</t>
  </si>
  <si>
    <t>*Telescopic Boom
For PB1010/3010</t>
  </si>
  <si>
    <r>
      <rPr>
        <rFont val="Arial"/>
        <color theme="1"/>
        <sz val="9.0"/>
      </rPr>
      <t>3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</si>
  <si>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3meters straight boom
 support  1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3150*160*120</t>
    </r>
  </si>
  <si>
    <r>
      <rPr>
        <rFont val="Arial"/>
        <color theme="1"/>
        <sz val="9.0"/>
      </rPr>
      <t>3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2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</si>
  <si>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3meters straight boom
only support 2 pcs booms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3150*320*120</t>
    </r>
  </si>
  <si>
    <r>
      <rPr>
        <rFont val="Arial"/>
        <color theme="1"/>
        <sz val="9.0"/>
      </rPr>
      <t>3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4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</si>
  <si>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3meters straight boom
  support 4 pcs booms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3150*320*200</t>
    </r>
  </si>
  <si>
    <r>
      <rPr>
        <rFont val="Arial"/>
        <color theme="1"/>
        <sz val="9.0"/>
      </rPr>
      <t>3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6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</si>
  <si>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3meters straight boom
only  6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3150*320*300</t>
    </r>
  </si>
  <si>
    <r>
      <rPr>
        <rFont val="Arial"/>
        <color theme="1"/>
        <sz val="9.0"/>
      </rPr>
      <t>3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8 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</si>
  <si>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3meters straight boom
 support 8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3150*320*400</t>
    </r>
  </si>
  <si>
    <r>
      <rPr>
        <rFont val="Arial"/>
        <color theme="1"/>
        <sz val="9.0"/>
      </rPr>
      <t>3 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10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</si>
  <si>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3meters straight boom
 support 10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3150*320*500</t>
    </r>
  </si>
  <si>
    <r>
      <rPr>
        <rFont val="Arial"/>
        <color theme="1"/>
        <sz val="9.0"/>
      </rPr>
      <t>4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</si>
  <si>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telescope boom
 support 1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2700*140*120</t>
    </r>
  </si>
  <si>
    <r>
      <rPr>
        <rFont val="Arial"/>
        <color theme="1"/>
        <sz val="9.0"/>
      </rPr>
      <t>4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2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</si>
  <si>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telescope boom
 support 2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2700*280*120</t>
    </r>
  </si>
  <si>
    <r>
      <rPr>
        <rFont val="Arial"/>
        <color theme="1"/>
        <sz val="9.0"/>
      </rPr>
      <t>4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4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</si>
  <si>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telescope boom
 support 4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2700*280*200</t>
    </r>
  </si>
  <si>
    <r>
      <rPr>
        <rFont val="Arial"/>
        <color theme="1"/>
        <sz val="9.0"/>
      </rPr>
      <t>4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6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</si>
  <si>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telescope boom
 support 6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2700*280*300</t>
    </r>
  </si>
  <si>
    <r>
      <rPr>
        <rFont val="Arial"/>
        <color theme="1"/>
        <sz val="9.0"/>
      </rPr>
      <t>4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8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</si>
  <si>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telescope boom
 support 8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2700*280*400</t>
    </r>
  </si>
  <si>
    <r>
      <rPr>
        <rFont val="Arial"/>
        <color theme="1"/>
        <sz val="9.0"/>
      </rPr>
      <t>4 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10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</si>
  <si>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telescope boom
 support 10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2700*280*500</t>
    </r>
  </si>
  <si>
    <r>
      <rPr>
        <rFont val="Arial"/>
        <color theme="1"/>
        <sz val="9.0"/>
      </rPr>
      <t>4.5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</si>
  <si>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4.5 meters straight boom
 support  1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4650*160*120</t>
    </r>
  </si>
  <si>
    <r>
      <rPr>
        <rFont val="Arial"/>
        <color theme="1"/>
        <sz val="9.0"/>
      </rPr>
      <t>4.5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2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</si>
  <si>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4.5 meters straight boom
 support  2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4650*320*120</t>
    </r>
  </si>
  <si>
    <r>
      <rPr>
        <rFont val="Arial"/>
        <color theme="1"/>
        <sz val="9.0"/>
      </rPr>
      <t>4.5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4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</si>
  <si>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4.5 meters straight boom
 support  4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4650*320*200</t>
    </r>
  </si>
  <si>
    <r>
      <rPr>
        <rFont val="Arial"/>
        <color theme="1"/>
        <sz val="9.0"/>
      </rPr>
      <t>4.5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6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</si>
  <si>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4.5 meters straight boom
 support  6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4650*320*300</t>
    </r>
  </si>
  <si>
    <r>
      <rPr>
        <rFont val="Arial"/>
        <color theme="1"/>
        <sz val="9.0"/>
      </rPr>
      <t>4.5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8 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</si>
  <si>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4.5 meters straight boom
 support  8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4650*320*400</t>
    </r>
  </si>
  <si>
    <r>
      <rPr>
        <rFont val="Arial"/>
        <color theme="1"/>
        <sz val="9.0"/>
      </rPr>
      <t>4.5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10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</si>
  <si>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4.5 meters straight boom
support  8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4650*320*500</t>
    </r>
  </si>
  <si>
    <r>
      <rPr>
        <rFont val="Arial"/>
        <color theme="1"/>
        <sz val="9.0"/>
      </rPr>
      <t>6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</si>
  <si>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6 meters telescope boom
 support 1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）：：</t>
    </r>
    <r>
      <rPr>
        <rFont val="Arial"/>
        <color theme="1"/>
        <sz val="9.0"/>
      </rPr>
      <t>3650*140*120</t>
    </r>
  </si>
  <si>
    <r>
      <rPr>
        <rFont val="Arial"/>
        <color theme="1"/>
        <sz val="9.0"/>
      </rPr>
      <t>6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2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</si>
  <si>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6 meters telescope boom
 support 2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）：：</t>
    </r>
    <r>
      <rPr>
        <rFont val="Arial"/>
        <color theme="1"/>
        <sz val="9.0"/>
      </rPr>
      <t>3650*280*120</t>
    </r>
  </si>
  <si>
    <r>
      <rPr>
        <rFont val="Arial"/>
        <color theme="1"/>
        <sz val="9.0"/>
      </rPr>
      <t>6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4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</si>
  <si>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6 meters telescope boom
 support 4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）：：</t>
    </r>
    <r>
      <rPr>
        <rFont val="Arial"/>
        <color theme="1"/>
        <sz val="9.0"/>
      </rPr>
      <t>3650*280*200</t>
    </r>
  </si>
  <si>
    <r>
      <rPr>
        <rFont val="Arial"/>
        <color theme="1"/>
        <sz val="9.0"/>
      </rPr>
      <t>6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6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</si>
  <si>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6 meters telescope boom
 support 6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）：：</t>
    </r>
    <r>
      <rPr>
        <rFont val="Arial"/>
        <color theme="1"/>
        <sz val="9.0"/>
      </rPr>
      <t>3650*280*300</t>
    </r>
  </si>
  <si>
    <r>
      <rPr>
        <rFont val="Arial"/>
        <color theme="1"/>
        <sz val="9.0"/>
      </rPr>
      <t>6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8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</si>
  <si>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6 meters telescope boom
 support 8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）：：</t>
    </r>
    <r>
      <rPr>
        <rFont val="Arial"/>
        <color theme="1"/>
        <sz val="9.0"/>
      </rPr>
      <t>3650*280*400</t>
    </r>
  </si>
  <si>
    <r>
      <rPr>
        <rFont val="Arial"/>
        <color theme="1"/>
        <sz val="9.0"/>
      </rPr>
      <t>6 meters telescope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10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</si>
  <si>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6 meters telescope boom
 support 10 pcs boom
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）：：</t>
    </r>
    <r>
      <rPr>
        <rFont val="Arial"/>
        <color theme="1"/>
        <sz val="9.0"/>
      </rPr>
      <t>3650*280*500</t>
    </r>
  </si>
  <si>
    <r>
      <rPr>
        <rFont val="Arial"/>
        <color theme="1"/>
        <sz val="9.0"/>
      </rPr>
      <t>4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</si>
  <si>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straight boom
 support  1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4100*140*120</t>
    </r>
  </si>
  <si>
    <r>
      <rPr>
        <rFont val="Arial"/>
        <color theme="1"/>
        <sz val="9.0"/>
      </rPr>
      <t>4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2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</si>
  <si>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straight boom
 support  2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4100*280*120</t>
    </r>
  </si>
  <si>
    <r>
      <rPr>
        <rFont val="Arial"/>
        <color theme="1"/>
        <sz val="9.0"/>
      </rPr>
      <t>4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4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</si>
  <si>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straight boom
 support  4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4100*280*200</t>
    </r>
  </si>
  <si>
    <r>
      <rPr>
        <rFont val="Arial"/>
        <color theme="1"/>
        <sz val="9.0"/>
      </rPr>
      <t>4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6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</si>
  <si>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straight boom
 support  6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4100*280*300</t>
    </r>
  </si>
  <si>
    <r>
      <rPr>
        <rFont val="Arial"/>
        <color theme="1"/>
        <sz val="9.0"/>
      </rPr>
      <t>4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8 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</si>
  <si>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straight boom
 support  8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4100*280*400</t>
    </r>
  </si>
  <si>
    <r>
      <rPr>
        <rFont val="Arial"/>
        <color theme="1"/>
        <sz val="9.0"/>
      </rPr>
      <t>4 meters straight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10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</si>
  <si>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4 meters straight boom
 support  8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4100*280*500</t>
    </r>
  </si>
  <si>
    <r>
      <rPr>
        <rFont val="Arial"/>
        <color theme="1"/>
        <sz val="9.0"/>
      </rPr>
      <t>3 meter  folding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1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</si>
  <si>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 meter  folding boom
 support  1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1850*200*200</t>
    </r>
  </si>
  <si>
    <r>
      <rPr>
        <rFont val="Arial"/>
        <color theme="1"/>
        <sz val="9.0"/>
      </rPr>
      <t>3 meter  folding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2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</si>
  <si>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 meter  folding boom
 support  2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1850*400*200</t>
    </r>
  </si>
  <si>
    <r>
      <rPr>
        <rFont val="Arial"/>
        <color theme="1"/>
        <sz val="9.0"/>
      </rPr>
      <t>3 meter  folding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4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</si>
  <si>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 meter  folding boom
 support  4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1850*400*400</t>
    </r>
  </si>
  <si>
    <r>
      <rPr>
        <rFont val="Arial"/>
        <color theme="1"/>
        <sz val="9.0"/>
      </rPr>
      <t>3 meter  folding boom wooden box</t>
    </r>
    <r>
      <rPr>
        <rFont val="宋体"/>
        <color theme="1"/>
        <sz val="9.0"/>
      </rPr>
      <t>（</t>
    </r>
    <r>
      <rPr>
        <rFont val="Arial"/>
        <color theme="1"/>
        <sz val="9.0"/>
      </rPr>
      <t>6 pcs</t>
    </r>
    <r>
      <rPr>
        <rFont val="宋体"/>
        <color theme="1"/>
        <sz val="9.0"/>
      </rPr>
      <t>）</t>
    </r>
  </si>
  <si>
    <r>
      <rPr>
        <rFont val="Arial"/>
        <color theme="1"/>
        <sz val="9.0"/>
      </rPr>
      <t>For 3 meter  folding boom
 support  6  pcs boom
 L*W*H</t>
    </r>
    <r>
      <rPr>
        <rFont val="宋体"/>
        <color theme="1"/>
        <sz val="9.0"/>
      </rPr>
      <t>（</t>
    </r>
    <r>
      <rPr>
        <rFont val="Arial"/>
        <color theme="1"/>
        <sz val="9.0"/>
      </rPr>
      <t>mm*mm*mm</t>
    </r>
    <r>
      <rPr>
        <rFont val="宋体"/>
        <color theme="1"/>
        <sz val="9.0"/>
      </rPr>
      <t>）：</t>
    </r>
    <r>
      <rPr>
        <rFont val="Arial"/>
        <color theme="1"/>
        <sz val="9.0"/>
      </rPr>
      <t>1850*400*600</t>
    </r>
  </si>
  <si>
    <t>Parking lock</t>
  </si>
  <si>
    <t>Plock 1</t>
  </si>
  <si>
    <t>*First generation parking lock
1.Remote control，distance:0-20m；
2.AC Adapter:dry battery version;
Note:Not provide batteries</t>
  </si>
  <si>
    <t>Plock 2</t>
  </si>
  <si>
    <t>*Second generation parking lock
1.415MHz auto-sensing ,distance:0-15m；
2.415MHz Remote control,distance:0-20m；
3.AC Adapter:dry battery version；
Note:Not provide batteries</t>
  </si>
  <si>
    <t>Parking lock Accessories</t>
  </si>
  <si>
    <t>RC 1</t>
  </si>
  <si>
    <r>
      <rPr>
        <rFont val="Arial"/>
        <b/>
        <color theme="1"/>
        <sz val="10.0"/>
      </rPr>
      <t xml:space="preserve">*Plock 1 remote control
</t>
    </r>
    <r>
      <rPr>
        <rFont val="Arial"/>
        <b val="0"/>
        <color theme="1"/>
        <sz val="10.0"/>
      </rPr>
      <t>Distance:0-20m;</t>
    </r>
  </si>
  <si>
    <t>Plock1</t>
  </si>
  <si>
    <t>RC 2</t>
  </si>
  <si>
    <r>
      <rPr>
        <rFont val="Arial"/>
        <b/>
        <color rgb="FF000000"/>
        <sz val="10.0"/>
      </rPr>
      <t>*Plock 2 remote control</t>
    </r>
    <r>
      <rPr>
        <rFont val="Arial"/>
        <b val="0"/>
        <color rgb="FF000000"/>
        <sz val="10.0"/>
      </rPr>
      <t xml:space="preserve">
Distance:0-20m;</t>
    </r>
  </si>
  <si>
    <t>Plock2</t>
  </si>
  <si>
    <t>Key 1</t>
  </si>
  <si>
    <r>
      <rPr>
        <rFont val="Arial"/>
        <b/>
        <color rgb="FF000000"/>
        <sz val="10.0"/>
      </rPr>
      <t xml:space="preserve">*Plock 1 Key
</t>
    </r>
    <r>
      <rPr>
        <rFont val="Arial"/>
        <b val="0"/>
        <color rgb="FF000000"/>
        <sz val="10.0"/>
      </rPr>
      <t>Two key with lock core</t>
    </r>
  </si>
  <si>
    <t>Key 2</t>
  </si>
  <si>
    <r>
      <rPr>
        <rFont val="Arial"/>
        <b/>
        <color rgb="FF000000"/>
        <sz val="10.0"/>
      </rPr>
      <t>*Plock 2 Key</t>
    </r>
    <r>
      <rPr>
        <rFont val="Arial"/>
        <b val="0"/>
        <color rgb="FF000000"/>
        <sz val="10.0"/>
      </rPr>
      <t xml:space="preserve">
Two key with lock core</t>
    </r>
  </si>
  <si>
    <t>Sensor 2</t>
  </si>
  <si>
    <r>
      <rPr>
        <rFont val="Arial"/>
        <b/>
        <color rgb="FF000000"/>
        <sz val="10.0"/>
      </rPr>
      <t>*Plock2 Sensor</t>
    </r>
    <r>
      <rPr>
        <rFont val="Arial"/>
        <b val="0"/>
        <color rgb="FF000000"/>
        <sz val="10.0"/>
      </rPr>
      <t xml:space="preserve">
Sensing distance:≤15m;
Frequency:415MHz;</t>
    </r>
  </si>
  <si>
    <t>CB 2</t>
  </si>
  <si>
    <t>Plock2 control board</t>
  </si>
  <si>
    <t>PEB 2</t>
  </si>
  <si>
    <t>Plock2 Photoelectric board</t>
  </si>
  <si>
    <t>Speaker 2</t>
  </si>
  <si>
    <t>Plock2 Speaker</t>
  </si>
  <si>
    <t>Arm 2</t>
  </si>
  <si>
    <t>Plock2 Arm</t>
  </si>
  <si>
    <t>Vehicle Inspection</t>
  </si>
  <si>
    <t>ZK-VSCN100</t>
  </si>
  <si>
    <r>
      <rPr>
        <rFont val="Arial"/>
        <color rgb="FFFF0000"/>
        <sz val="10.0"/>
      </rPr>
      <t>Portable version</t>
    </r>
    <r>
      <rPr>
        <rFont val="Arial"/>
        <color rgb="FF000000"/>
        <sz val="10.0"/>
      </rPr>
      <t xml:space="preserve">
30-ton axle capacity
Surveillance system
AC 220V/110V (mark it out on the order)
include</t>
    </r>
    <r>
      <rPr>
        <rFont val="宋体"/>
        <color rgb="FF000000"/>
        <sz val="10.0"/>
      </rPr>
      <t>：</t>
    </r>
    <r>
      <rPr>
        <rFont val="Arial"/>
        <color rgb="FF000000"/>
        <sz val="10.0"/>
      </rPr>
      <t xml:space="preserve">
Flight case (670*550*750mm)
Scanner (400*340*75mm)
Speed bumps (800*150*30mm)
Camera &amp; Cables
Package Weight: 95kg</t>
    </r>
  </si>
  <si>
    <t>ZK-VSCN200</t>
  </si>
  <si>
    <r>
      <rPr>
        <rFont val="Arial"/>
        <color rgb="FFFF0000"/>
        <sz val="10.0"/>
      </rPr>
      <t>Permanent version</t>
    </r>
    <r>
      <rPr>
        <rFont val="Arial"/>
        <color rgb="FF000000"/>
        <sz val="10.0"/>
      </rPr>
      <t xml:space="preserve">
50-ton axle capacity
Surveillance system
AC 220V/110V (mark it out on the order)
include</t>
    </r>
    <r>
      <rPr>
        <rFont val="宋体"/>
        <color rgb="FF000000"/>
        <sz val="10.0"/>
      </rPr>
      <t>：</t>
    </r>
    <r>
      <rPr>
        <rFont val="Arial"/>
        <color rgb="FF000000"/>
        <sz val="10.0"/>
      </rPr>
      <t xml:space="preserve">
Scanner (1100*280*205mm)
Distribution box (600*300*1000mm)
Console desk (650*610*1220m)
Camera &amp; Cables
Package Weight: 
Scanner (140kg)
Distribution box (51kg)
Console desk (90kg)</t>
    </r>
  </si>
  <si>
    <t>ZK-M3</t>
  </si>
  <si>
    <t>Mirror diameter: 300mm
Rod length: 1200-1400mm
Light source: LED
Device weight: 1.6kg
Package weight: 2.42kg
Package size: 860mm*290mm*330mm
include: 
Rod * 4
LED flashlight*1
Mirror*1
Spanner*1</t>
  </si>
  <si>
    <t>BOL1168-F</t>
  </si>
  <si>
    <r>
      <rPr>
        <rFont val="Arial"/>
        <color rgb="FF000000"/>
        <sz val="10.0"/>
      </rPr>
      <t>Diameter</t>
    </r>
    <r>
      <rPr>
        <rFont val="宋体"/>
        <color rgb="FF000000"/>
        <sz val="10.0"/>
      </rPr>
      <t>：</t>
    </r>
    <r>
      <rPr>
        <rFont val="Arial"/>
        <color rgb="FF000000"/>
        <sz val="10.0"/>
      </rPr>
      <t>168mm
Height from ground: 600mm / customization
Average thickness: 6mm / customization
Embedding depth: 200mm
Material: SUS304
Reflective strip color: Yellow
include</t>
    </r>
    <r>
      <rPr>
        <rFont val="宋体"/>
        <color rgb="FF000000"/>
        <sz val="10.0"/>
      </rPr>
      <t>：</t>
    </r>
    <r>
      <rPr>
        <rFont val="Arial"/>
        <color rgb="FF000000"/>
        <sz val="10.0"/>
      </rPr>
      <t xml:space="preserve">
BOL1168-F*1</t>
    </r>
  </si>
  <si>
    <t>BOL1168-R</t>
  </si>
  <si>
    <r>
      <rPr>
        <rFont val="Arial"/>
        <color rgb="FF000000"/>
        <sz val="10.0"/>
      </rPr>
      <t>Diameter</t>
    </r>
    <r>
      <rPr>
        <rFont val="宋体"/>
        <color rgb="FF000000"/>
        <sz val="10.0"/>
      </rPr>
      <t>：</t>
    </r>
    <r>
      <rPr>
        <rFont val="Arial"/>
        <color rgb="FF000000"/>
        <sz val="10.0"/>
      </rPr>
      <t>168mm
Height from ground: 600mm / customization
Average thickness: 6mm / customization
Embedding depth: 210mm
Material: SUS304
Reflective strip color: Yellow
include</t>
    </r>
    <r>
      <rPr>
        <rFont val="宋体"/>
        <color rgb="FF000000"/>
        <sz val="10.0"/>
      </rPr>
      <t>：</t>
    </r>
    <r>
      <rPr>
        <rFont val="Arial"/>
        <color rgb="FF000000"/>
        <sz val="10.0"/>
      </rPr>
      <t xml:space="preserve">
BOL1168-R*1
Key*1</t>
    </r>
  </si>
  <si>
    <t>BOL1219-A</t>
  </si>
  <si>
    <t>Drive unit: Hydraulic
Diameter: 219mm
Weight: ≥130KG
Raising height: 600mm / customization
Underground product dimensions: 430mm*430mm*1130mm
Raising / lowering time: 3s
Weight load: 120t
Material:  SUS304
Material thickness: 6mm / customization
Ingress Protection: IP68
Working voltage: AC110/220V
Working AC Adapter: 350W
Working temperature: -35℃-75℃
LED: Yes
Include:
Automatic Bollard*1
Capacitor*1</t>
  </si>
  <si>
    <t>Control Cabinet
 for 1 group automatic bollards</t>
  </si>
  <si>
    <t>Control 1 to 8 automatic bollards together, L*W*H(mm): 400*200*400
Include:
Control cabinet*1
Push button station*1
Remote control*2</t>
  </si>
  <si>
    <t>Control Cabinet
 for 2 groups automatic bollards</t>
  </si>
  <si>
    <t>Control Cabinet
 for 3 groups automatic bollards</t>
  </si>
  <si>
    <t>BOL2219-A</t>
  </si>
  <si>
    <t>Drive unit: Hydraulic
Diameter: 219mm
Weight: ≥150KG
Raising height: 600mm
Raising / lowering time: 4s
Weight load: 120t
Material:  SUS304
Material thickness: 6mm 
Ingress Protection: IP68
Working voltage: AC110/220V
Working AC Adapter: 350W
Working temperature: -20℃-55℃
LED: Yes
Include:
Automatic Bollard*1
Capacitor*1</t>
  </si>
  <si>
    <t>ZK-HC800S</t>
  </si>
  <si>
    <r>
      <rPr>
        <rFont val="Arial"/>
        <color rgb="FFFF0000"/>
        <sz val="10.0"/>
      </rPr>
      <t>Use with BOL2219-A .
One group automatic bollards.</t>
    </r>
    <r>
      <rPr>
        <rFont val="Arial"/>
        <color rgb="FF000000"/>
        <sz val="10.0"/>
      </rPr>
      <t xml:space="preserve">
</t>
    </r>
    <r>
      <rPr>
        <rFont val="Arial"/>
        <color rgb="FFFF0000"/>
        <sz val="10.0"/>
      </rPr>
      <t>A controller is able to control up to 8 bollards.</t>
    </r>
    <r>
      <rPr>
        <rFont val="Arial"/>
        <color rgb="FF000000"/>
        <sz val="10.0"/>
      </rPr>
      <t xml:space="preserve">
L*W*H(mm): 650*510*180
Include:
Control cabinet*1
Remote control*2</t>
    </r>
  </si>
  <si>
    <t>ZK-TK500
(Length: 1.5m)</t>
  </si>
  <si>
    <t>Drive: Motor
Dimensions(mm): L=1500, W=550, H=85
Motor box(mm): L=280, W=500 ,H=400
Raise height: 150mm
Spike thickness: 12mm
AC Adapter: 220V (110V: customization)
include:
Tyre Killer*1
Remote Control*2
Push Button Station*1</t>
  </si>
  <si>
    <t>ZK-TK500
(Length: 2m)</t>
  </si>
  <si>
    <t>Drive: Motor
Dimensions(mm): L=2000, W=550, H=85
Motor box(mm): L=280, W=500 ,H=400
Raise height: 150mm
Spike thickness: 12mm
AC Adapter: 220V (110V: customization)
include:
Tyre Killer*1
Remote Control*2
Push Button Station*1</t>
  </si>
  <si>
    <t>ZK-TK500
(Length: 2.5m)</t>
  </si>
  <si>
    <t>Drive: Motor
Dimensions(mm): L=2500, W=550, H=85
Motor box(mm): L=280, W=500 ,H=400
Raise height: 150mm
Spike thickness: 12mm
AC Adapter: 220V (110V: customization)
include:
Tyre Killer*1
Remote Control*2
Push Button Station*1</t>
  </si>
  <si>
    <t>ZK-TK500
(Length: 3m)</t>
  </si>
  <si>
    <t>Drive: Motor
Dimensions(mm): L=3000, W=550, H=85
Motor box(mm): L=280, W=500 ,H=400
Raise height: 150mm
Spike thickness: 12mm
AC Adapter: 220V (110V: customization)
include:
Tyre Killer*1
Remote Control*2
Push Button Station*1</t>
  </si>
  <si>
    <t>ZK-TK500
(Length: 3.5m)</t>
  </si>
  <si>
    <t>Drive: Motor
Dimensions(mm): L=3500, W=550, H=85
Motor box(mm): L=280, W=500 ,H=400
Raise height: 150mm
Spike thickness: 12mm
AC Adapter: 220V (110V: customization)
include:
Tyre Killer*1
Remote Control*2
Push Button Station*1</t>
  </si>
  <si>
    <t>ZK-TK500
(Length: 4m)</t>
  </si>
  <si>
    <t>Drive: Motor
Dimensions(mm): L=4000, W=550, H=85
Motor box(mm): L=280, W=500 ,H=400
Raise height: 150mm
Spike thickness: 12mm
AC Adapter: 220V (110V: customization)
include:
Tyre Killer*1
Remote Control*2
Push Button Station*1</t>
  </si>
  <si>
    <t>ZK-TK500
(Length: 4.5m)</t>
  </si>
  <si>
    <t>Drive: Motor
Dimensions(mm): L=4500, W=550, H=85
Motor box(mm): L=280, W=500 ,H=400
Raise height: 150mm
Spike thickness: 12mm
AC Adapter: 220V (110V: customization)
include:
Tyre Killer*1
Remote Control*2
Push Button Station*1</t>
  </si>
  <si>
    <t>ZK-TK500
(Length: 5m)</t>
  </si>
  <si>
    <t>Drive: Motor
Dimensions(mm): L=5000, W=550, H=85
Motor box(mm): L=280, W=500 ,H=400
Raise height: 150mm
Spike thickness: 12mm
AC Adapter: 220V (110V: customization)
include:
Tyre Killer*1
Remote Control*2
Push Button Station*1</t>
  </si>
  <si>
    <t>ZK-TK500
(Length: 5.5m)</t>
  </si>
  <si>
    <t>Drive: Motor
Dimensions(mm): L=5500, W=550, H=85
Motor box(mm): L=280, W=500 ,H=400
Raise height: 150mm
Spike thickness: 12mm
AC Adapter: 220V (110V: customization)
include:
Tyre Killer*1
Remote Control*2
Push Button Station*1</t>
  </si>
  <si>
    <t>ZK-TK500
(Length: 6m)</t>
  </si>
  <si>
    <t>Drive: Motor
Dimensions(mm): L=6000, W=550, H=85
Motor box(mm): L=280, W=500 ,H=400
Raise height: 150mm
Spike thickness: 12mm
AC Adapter: 220V (110V: customization)
include:
Tyre Killer*1
Remote Control*2
Push Button Station*1</t>
  </si>
  <si>
    <t>Barrier gate</t>
  </si>
  <si>
    <t>BR618T</t>
  </si>
  <si>
    <t xml:space="preserve">1.8 sec opening/closing time. Max 4 meter arm.
1 nos 1.8 sec fast speed AC230 motor
1 nos Control panel and MCB switch
2 nos U-bracket for base mounting
4 nos Wall plug screw
1 nos MAG Single channel loop detector
1 nos 4 meter telescopic aluminum arm
2 nos Foam lining @ 2m (F.O.C)
</t>
  </si>
  <si>
    <t>BR630T</t>
  </si>
  <si>
    <t xml:space="preserve">3 sec opening/closing time. Max 4 meter arm
1 nos 3 sec standard AC230 motor
1 nos Control panel and MCB switch
2 nos U-bracket for base mounting
4 nos Wall plug screw
1 nos MAG Single channel loop detector
1 nos 4 meter telescopic aluminum arm
Max up to 4.5 meter upon special request.
2 nos Foam lining @ 2m (F.O.C)
 </t>
  </si>
  <si>
    <t>BR660T</t>
  </si>
  <si>
    <t xml:space="preserve">6 sec opening/closing time. Max 6 meter arm
1 nos 6 sec high power AC230 motor
1 nos Control panel and MCB switch
2 nos U-bracket for base mounting
4 nos Wall plug screw
1 nos MAG Single channel loop detector
1 nos 6 meter telescopic aluminum arm
3 nos Foam lining @ 2m (F.O.C)
</t>
  </si>
  <si>
    <t>BR618T_90</t>
  </si>
  <si>
    <t xml:space="preserve">1.8 sec opening/closing time. Max 4 meter arm
1 nos 1.8 sec standard AC230 motor
1 nos Control panel and MCB switch
2 nos U-bracket for base mounting
4 nos Wall plug screw
1 nos MAG Single channel loop detector
1 nos 4 meter 90° folding aluminum arm (big
Octagon) Max height is 2.5 meter after folding.
2 nos Foam lining @ 2m (F.O.C)
</t>
  </si>
  <si>
    <t>BR630T_90</t>
  </si>
  <si>
    <t xml:space="preserve">3 sec opening/closing time. Max 4 meter arm
1 nos 3 sec standard AC230 motor
1 nos Control panel and MCB switch
2 nos U-bracket for base mounting
4 nos Wall plug screw
1 nos MAG Single channel loop detector
1 nos 4 meter 90° folding aluminum arm (big
Octagon) Max height is 2.5 meter after folding.
2 nos Foam lining @ 2m (F.O.C)
</t>
  </si>
  <si>
    <t>BR660T_FE</t>
  </si>
  <si>
    <t>6 sec opening/closing time. Max 4.5 meter arm
1 nos 6 sec high power AC230 motor
1 nos Control panel and MCB switch
2 nos U-bracket for base mounting
4 nos Wall plug screw
1 nos 4.5 meter fence aluminum arm (big Octagon)
1 nos MAG Single channel loop detector 
**Winner of Malaysia book of Record for The
Most Barrier Gate Sold in A Year**
Click here to know more</t>
  </si>
  <si>
    <t>C-240AC</t>
  </si>
  <si>
    <t>AC surge protector
to protect barrier gate</t>
  </si>
  <si>
    <t>MD4CCU12V</t>
  </si>
  <si>
    <t>to protect push button (OPEN) port</t>
  </si>
  <si>
    <t>BRD03</t>
  </si>
  <si>
    <t xml:space="preserve">MAG Dual-Ray traffic detector
</t>
  </si>
  <si>
    <t>RS35-12</t>
  </si>
  <si>
    <t>Power supply (metal casing) DC 12V, 3A</t>
  </si>
  <si>
    <t>BR_PB2</t>
  </si>
  <si>
    <t>Up, Down push button with box</t>
  </si>
  <si>
    <t>BR_PB3</t>
  </si>
  <si>
    <t>Up, Lock, Down push button with 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</si>
</sst>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PHP]\ #,##0.00"/>
    <numFmt numFmtId="165" formatCode="_(* #,##0.00_);_(* \(#,##0.00\);_(* &quot;-&quot;??_);_(@_)"/>
    <numFmt numFmtId="166" formatCode="[$₱]#,##0.00"/>
    <numFmt numFmtId="167" formatCode="[$US$]#,##0.00"/>
  </numFmts>
  <fonts count="14">
    <font>
      <sz val="10.0"/>
      <color rgb="FF000000"/>
      <name val="Arial"/>
      <scheme val="minor"/>
    </font>
    <font>
      <b/>
      <sz val="13.0"/>
      <color rgb="FFFFFFFF"/>
      <name val="Arial"/>
    </font>
    <font>
      <b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/>
    <font>
      <sz val="9.0"/>
      <color rgb="FFFF0000"/>
      <name val="Arial"/>
    </font>
    <font>
      <color theme="1"/>
      <name val="Arial"/>
    </font>
    <font>
      <color rgb="FFFF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4" numFmtId="164" xfId="0" applyAlignment="1" applyBorder="1" applyFont="1" applyNumberForma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  <xf borderId="1" fillId="3" fontId="5" numFmtId="165" xfId="0" applyAlignment="1" applyBorder="1" applyFill="1" applyFont="1" applyNumberFormat="1">
      <alignment horizontal="center" shrinkToFit="0" wrapText="1"/>
    </xf>
    <xf borderId="1" fillId="0" fontId="6" numFmtId="165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1" fillId="0" fontId="7" numFmtId="164" xfId="0" applyAlignment="1" applyBorder="1" applyFont="1" applyNumberFormat="1">
      <alignment horizontal="right" shrinkToFit="0" wrapText="1"/>
    </xf>
    <xf borderId="0" fillId="0" fontId="7" numFmtId="164" xfId="0" applyAlignment="1" applyFont="1" applyNumberForma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 shrinkToFit="0" wrapText="1"/>
    </xf>
    <xf borderId="3" fillId="0" fontId="9" numFmtId="0" xfId="0" applyBorder="1" applyFont="1"/>
    <xf borderId="4" fillId="0" fontId="9" numFmtId="0" xfId="0" applyBorder="1" applyFont="1"/>
    <xf borderId="1" fillId="4" fontId="7" numFmtId="0" xfId="0" applyAlignment="1" applyBorder="1" applyFill="1" applyFont="1">
      <alignment horizontal="center" shrinkToFit="0" wrapText="1"/>
    </xf>
    <xf borderId="1" fillId="4" fontId="7" numFmtId="0" xfId="0" applyAlignment="1" applyBorder="1" applyFont="1">
      <alignment shrinkToFit="0" wrapText="1"/>
    </xf>
    <xf borderId="1" fillId="4" fontId="10" numFmtId="0" xfId="0" applyAlignment="1" applyBorder="1" applyFont="1">
      <alignment shrinkToFit="0" wrapText="1"/>
    </xf>
    <xf borderId="1" fillId="4" fontId="10" numFmtId="49" xfId="0" applyAlignment="1" applyBorder="1" applyFont="1" applyNumberFormat="1">
      <alignment shrinkToFit="0" wrapText="1"/>
    </xf>
    <xf borderId="1" fillId="4" fontId="10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right" shrinkToFit="0" wrapText="1"/>
    </xf>
    <xf borderId="0" fillId="0" fontId="2" numFmtId="164" xfId="0" applyAlignment="1" applyFont="1" applyNumberFormat="1">
      <alignment horizontal="right" shrinkToFit="0" wrapText="1"/>
    </xf>
    <xf borderId="5" fillId="0" fontId="11" numFmtId="0" xfId="0" applyAlignment="1" applyBorder="1" applyFont="1">
      <alignment horizontal="center" shrinkToFit="0" wrapText="1"/>
    </xf>
    <xf borderId="1" fillId="4" fontId="1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1"/>
    </xf>
    <xf borderId="1" fillId="0" fontId="13" numFmtId="164" xfId="0" applyAlignment="1" applyBorder="1" applyFont="1" applyNumberFormat="1">
      <alignment horizontal="right" shrinkToFit="0" wrapText="1"/>
    </xf>
    <xf borderId="0" fillId="0" fontId="13" numFmtId="164" xfId="0" applyAlignment="1" applyFont="1" applyNumberFormat="1">
      <alignment horizontal="right" shrinkToFit="0" wrapText="1"/>
    </xf>
    <xf borderId="1" fillId="0" fontId="11" numFmtId="0" xfId="0" applyAlignment="1" applyBorder="1" applyFont="1">
      <alignment shrinkToFit="0" wrapText="1"/>
    </xf>
    <xf borderId="2" fillId="0" fontId="12" numFmtId="0" xfId="0" applyAlignment="1" applyBorder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vertical="bottom" wrapText="1"/>
    </xf>
    <xf borderId="0" fillId="0" fontId="3" numFmtId="166" xfId="0" applyAlignment="1" applyFont="1" applyNumberFormat="1">
      <alignment shrinkToFit="0" wrapText="1"/>
    </xf>
    <xf borderId="0" fillId="0" fontId="6" numFmtId="167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shrinkToFit="0" vertical="top" wrapText="1"/>
    </xf>
    <xf borderId="0" fillId="0" fontId="6" numFmtId="167" xfId="0" applyAlignment="1" applyFont="1" applyNumberForma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chaela Buela" id="{08c98581-31ee-4954-8276-b765b32f685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2" dT="2026-03-11T03:22:59.00" personId="{08c98581-31ee-4954-8276-b765b32f685a}" id="{b0126fd4-41ba-4e1d-9140-79ee8fa4b75d}" done="1">
    <x18tc:text xml:space="preserve">insert brand and price in column 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6" width="18.63"/>
  </cols>
  <sheetData>
    <row r="1">
      <c r="A1" s="1" t="s">
        <v>0</v>
      </c>
      <c r="I1" s="1" t="s">
        <v>1</v>
      </c>
      <c r="K1" s="1" t="s">
        <v>2</v>
      </c>
      <c r="M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 t="s">
        <v>9</v>
      </c>
      <c r="G2" s="3" t="s">
        <v>10</v>
      </c>
      <c r="H2" s="3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5"/>
      <c r="G3" s="6">
        <v>34600.0</v>
      </c>
      <c r="H3" s="7"/>
      <c r="I3" s="8">
        <f t="shared" ref="I3:I243" si="1">G3*1.5</f>
        <v>51900</v>
      </c>
      <c r="J3" s="8">
        <f t="shared" ref="J3:J243" si="2">G3*1.3</f>
        <v>44980</v>
      </c>
      <c r="K3" s="9">
        <f t="shared" ref="K3:K243" si="3">G3*1.3</f>
        <v>44980</v>
      </c>
      <c r="L3" s="9">
        <f t="shared" ref="L3:L243" si="4">G3*1.2</f>
        <v>41520</v>
      </c>
      <c r="M3" s="9">
        <f t="shared" ref="M3:M243" si="5">G3*1.15</f>
        <v>39790</v>
      </c>
      <c r="N3" s="9">
        <f t="shared" ref="N3:N243" si="6">G3*1.1</f>
        <v>38060</v>
      </c>
    </row>
    <row r="4">
      <c r="A4" s="4" t="s">
        <v>18</v>
      </c>
      <c r="B4" s="4" t="s">
        <v>19</v>
      </c>
      <c r="C4" s="4" t="s">
        <v>20</v>
      </c>
      <c r="D4" s="4" t="s">
        <v>23</v>
      </c>
      <c r="E4" s="4" t="s">
        <v>24</v>
      </c>
      <c r="F4" s="5"/>
      <c r="G4" s="6">
        <v>34600.0</v>
      </c>
      <c r="H4" s="7"/>
      <c r="I4" s="8">
        <f t="shared" si="1"/>
        <v>51900</v>
      </c>
      <c r="J4" s="8">
        <f t="shared" si="2"/>
        <v>44980</v>
      </c>
      <c r="K4" s="9">
        <f t="shared" si="3"/>
        <v>44980</v>
      </c>
      <c r="L4" s="9">
        <f t="shared" si="4"/>
        <v>41520</v>
      </c>
      <c r="M4" s="9">
        <f t="shared" si="5"/>
        <v>39790</v>
      </c>
      <c r="N4" s="9">
        <f t="shared" si="6"/>
        <v>38060</v>
      </c>
    </row>
    <row r="5">
      <c r="A5" s="4" t="s">
        <v>18</v>
      </c>
      <c r="B5" s="4" t="s">
        <v>19</v>
      </c>
      <c r="C5" s="4" t="s">
        <v>20</v>
      </c>
      <c r="D5" s="4" t="s">
        <v>25</v>
      </c>
      <c r="E5" s="4" t="s">
        <v>26</v>
      </c>
      <c r="F5" s="5"/>
      <c r="G5" s="6">
        <v>34600.0</v>
      </c>
      <c r="H5" s="7"/>
      <c r="I5" s="8">
        <f t="shared" si="1"/>
        <v>51900</v>
      </c>
      <c r="J5" s="8">
        <f t="shared" si="2"/>
        <v>44980</v>
      </c>
      <c r="K5" s="9">
        <f t="shared" si="3"/>
        <v>44980</v>
      </c>
      <c r="L5" s="9">
        <f t="shared" si="4"/>
        <v>41520</v>
      </c>
      <c r="M5" s="9">
        <f t="shared" si="5"/>
        <v>39790</v>
      </c>
      <c r="N5" s="9">
        <f t="shared" si="6"/>
        <v>38060</v>
      </c>
    </row>
    <row r="6">
      <c r="A6" s="4" t="s">
        <v>18</v>
      </c>
      <c r="B6" s="4" t="s">
        <v>19</v>
      </c>
      <c r="C6" s="4" t="s">
        <v>20</v>
      </c>
      <c r="D6" s="4" t="s">
        <v>27</v>
      </c>
      <c r="E6" s="4" t="s">
        <v>28</v>
      </c>
      <c r="F6" s="5"/>
      <c r="G6" s="6">
        <v>34600.0</v>
      </c>
      <c r="H6" s="7"/>
      <c r="I6" s="8">
        <f t="shared" si="1"/>
        <v>51900</v>
      </c>
      <c r="J6" s="8">
        <f t="shared" si="2"/>
        <v>44980</v>
      </c>
      <c r="K6" s="9">
        <f t="shared" si="3"/>
        <v>44980</v>
      </c>
      <c r="L6" s="9">
        <f t="shared" si="4"/>
        <v>41520</v>
      </c>
      <c r="M6" s="9">
        <f t="shared" si="5"/>
        <v>39790</v>
      </c>
      <c r="N6" s="9">
        <f t="shared" si="6"/>
        <v>38060</v>
      </c>
    </row>
    <row r="7">
      <c r="A7" s="4" t="s">
        <v>18</v>
      </c>
      <c r="B7" s="4" t="s">
        <v>19</v>
      </c>
      <c r="C7" s="4" t="s">
        <v>20</v>
      </c>
      <c r="D7" s="4" t="s">
        <v>29</v>
      </c>
      <c r="E7" s="4" t="s">
        <v>30</v>
      </c>
      <c r="F7" s="5"/>
      <c r="G7" s="6">
        <v>34600.0</v>
      </c>
      <c r="H7" s="7"/>
      <c r="I7" s="8">
        <f t="shared" si="1"/>
        <v>51900</v>
      </c>
      <c r="J7" s="8">
        <f t="shared" si="2"/>
        <v>44980</v>
      </c>
      <c r="K7" s="9">
        <f t="shared" si="3"/>
        <v>44980</v>
      </c>
      <c r="L7" s="9">
        <f t="shared" si="4"/>
        <v>41520</v>
      </c>
      <c r="M7" s="9">
        <f t="shared" si="5"/>
        <v>39790</v>
      </c>
      <c r="N7" s="9">
        <f t="shared" si="6"/>
        <v>38060</v>
      </c>
    </row>
    <row r="8">
      <c r="A8" s="4" t="s">
        <v>18</v>
      </c>
      <c r="B8" s="4" t="s">
        <v>19</v>
      </c>
      <c r="C8" s="4" t="s">
        <v>20</v>
      </c>
      <c r="D8" s="4" t="s">
        <v>31</v>
      </c>
      <c r="E8" s="4" t="s">
        <v>32</v>
      </c>
      <c r="F8" s="5"/>
      <c r="G8" s="6">
        <v>34600.0</v>
      </c>
      <c r="H8" s="7"/>
      <c r="I8" s="8">
        <f t="shared" si="1"/>
        <v>51900</v>
      </c>
      <c r="J8" s="8">
        <f t="shared" si="2"/>
        <v>44980</v>
      </c>
      <c r="K8" s="9">
        <f t="shared" si="3"/>
        <v>44980</v>
      </c>
      <c r="L8" s="9">
        <f t="shared" si="4"/>
        <v>41520</v>
      </c>
      <c r="M8" s="9">
        <f t="shared" si="5"/>
        <v>39790</v>
      </c>
      <c r="N8" s="9">
        <f t="shared" si="6"/>
        <v>38060</v>
      </c>
    </row>
    <row r="9">
      <c r="A9" s="4" t="s">
        <v>18</v>
      </c>
      <c r="B9" s="4" t="s">
        <v>19</v>
      </c>
      <c r="C9" s="4" t="s">
        <v>20</v>
      </c>
      <c r="D9" s="4" t="s">
        <v>33</v>
      </c>
      <c r="E9" s="4" t="s">
        <v>34</v>
      </c>
      <c r="F9" s="5"/>
      <c r="G9" s="6">
        <v>37800.0</v>
      </c>
      <c r="H9" s="7"/>
      <c r="I9" s="8">
        <f t="shared" si="1"/>
        <v>56700</v>
      </c>
      <c r="J9" s="8">
        <f t="shared" si="2"/>
        <v>49140</v>
      </c>
      <c r="K9" s="9">
        <f t="shared" si="3"/>
        <v>49140</v>
      </c>
      <c r="L9" s="9">
        <f t="shared" si="4"/>
        <v>45360</v>
      </c>
      <c r="M9" s="9">
        <f t="shared" si="5"/>
        <v>43470</v>
      </c>
      <c r="N9" s="9">
        <f t="shared" si="6"/>
        <v>41580</v>
      </c>
    </row>
    <row r="10">
      <c r="A10" s="4" t="s">
        <v>18</v>
      </c>
      <c r="B10" s="4" t="s">
        <v>19</v>
      </c>
      <c r="C10" s="4" t="s">
        <v>20</v>
      </c>
      <c r="D10" s="4" t="s">
        <v>35</v>
      </c>
      <c r="E10" s="4" t="s">
        <v>36</v>
      </c>
      <c r="F10" s="5"/>
      <c r="G10" s="6">
        <v>39100.0</v>
      </c>
      <c r="H10" s="7"/>
      <c r="I10" s="8">
        <f t="shared" si="1"/>
        <v>58650</v>
      </c>
      <c r="J10" s="8">
        <f t="shared" si="2"/>
        <v>50830</v>
      </c>
      <c r="K10" s="9">
        <f t="shared" si="3"/>
        <v>50830</v>
      </c>
      <c r="L10" s="9">
        <f t="shared" si="4"/>
        <v>46920</v>
      </c>
      <c r="M10" s="9">
        <f t="shared" si="5"/>
        <v>44965</v>
      </c>
      <c r="N10" s="9">
        <f t="shared" si="6"/>
        <v>43010</v>
      </c>
    </row>
    <row r="11">
      <c r="A11" s="4" t="s">
        <v>18</v>
      </c>
      <c r="B11" s="4" t="s">
        <v>19</v>
      </c>
      <c r="C11" s="4" t="s">
        <v>20</v>
      </c>
      <c r="D11" s="4" t="s">
        <v>37</v>
      </c>
      <c r="E11" s="4" t="s">
        <v>38</v>
      </c>
      <c r="F11" s="5"/>
      <c r="G11" s="6">
        <v>41100.0</v>
      </c>
      <c r="H11" s="7"/>
      <c r="I11" s="8">
        <f t="shared" si="1"/>
        <v>61650</v>
      </c>
      <c r="J11" s="8">
        <f t="shared" si="2"/>
        <v>53430</v>
      </c>
      <c r="K11" s="9">
        <f t="shared" si="3"/>
        <v>53430</v>
      </c>
      <c r="L11" s="9">
        <f t="shared" si="4"/>
        <v>49320</v>
      </c>
      <c r="M11" s="9">
        <f t="shared" si="5"/>
        <v>47265</v>
      </c>
      <c r="N11" s="9">
        <f t="shared" si="6"/>
        <v>45210</v>
      </c>
    </row>
    <row r="12">
      <c r="A12" s="4" t="s">
        <v>18</v>
      </c>
      <c r="B12" s="4" t="s">
        <v>19</v>
      </c>
      <c r="C12" s="4" t="s">
        <v>20</v>
      </c>
      <c r="D12" s="4" t="s">
        <v>39</v>
      </c>
      <c r="E12" s="4" t="s">
        <v>38</v>
      </c>
      <c r="F12" s="5"/>
      <c r="G12" s="6">
        <v>41100.0</v>
      </c>
      <c r="H12" s="7"/>
      <c r="I12" s="8">
        <f t="shared" si="1"/>
        <v>61650</v>
      </c>
      <c r="J12" s="8">
        <f t="shared" si="2"/>
        <v>53430</v>
      </c>
      <c r="K12" s="9">
        <f t="shared" si="3"/>
        <v>53430</v>
      </c>
      <c r="L12" s="9">
        <f t="shared" si="4"/>
        <v>49320</v>
      </c>
      <c r="M12" s="9">
        <f t="shared" si="5"/>
        <v>47265</v>
      </c>
      <c r="N12" s="9">
        <f t="shared" si="6"/>
        <v>45210</v>
      </c>
    </row>
    <row r="13">
      <c r="A13" s="4" t="s">
        <v>18</v>
      </c>
      <c r="B13" s="4" t="s">
        <v>19</v>
      </c>
      <c r="C13" s="4" t="s">
        <v>20</v>
      </c>
      <c r="D13" s="4" t="s">
        <v>40</v>
      </c>
      <c r="E13" s="4" t="s">
        <v>41</v>
      </c>
      <c r="F13" s="5"/>
      <c r="G13" s="6">
        <v>23500.0</v>
      </c>
      <c r="H13" s="7"/>
      <c r="I13" s="8">
        <f t="shared" si="1"/>
        <v>35250</v>
      </c>
      <c r="J13" s="8">
        <f t="shared" si="2"/>
        <v>30550</v>
      </c>
      <c r="K13" s="9">
        <f t="shared" si="3"/>
        <v>30550</v>
      </c>
      <c r="L13" s="9">
        <f t="shared" si="4"/>
        <v>28200</v>
      </c>
      <c r="M13" s="9">
        <f t="shared" si="5"/>
        <v>27025</v>
      </c>
      <c r="N13" s="9">
        <f t="shared" si="6"/>
        <v>25850</v>
      </c>
    </row>
    <row r="14">
      <c r="A14" s="4" t="s">
        <v>18</v>
      </c>
      <c r="B14" s="4" t="s">
        <v>19</v>
      </c>
      <c r="C14" s="4" t="s">
        <v>20</v>
      </c>
      <c r="D14" s="4" t="s">
        <v>40</v>
      </c>
      <c r="E14" s="4" t="s">
        <v>42</v>
      </c>
      <c r="F14" s="5"/>
      <c r="G14" s="6">
        <v>23500.0</v>
      </c>
      <c r="H14" s="7"/>
      <c r="I14" s="8">
        <f t="shared" si="1"/>
        <v>35250</v>
      </c>
      <c r="J14" s="8">
        <f t="shared" si="2"/>
        <v>30550</v>
      </c>
      <c r="K14" s="9">
        <f t="shared" si="3"/>
        <v>30550</v>
      </c>
      <c r="L14" s="9">
        <f t="shared" si="4"/>
        <v>28200</v>
      </c>
      <c r="M14" s="9">
        <f t="shared" si="5"/>
        <v>27025</v>
      </c>
      <c r="N14" s="9">
        <f t="shared" si="6"/>
        <v>25850</v>
      </c>
    </row>
    <row r="15">
      <c r="A15" s="4" t="s">
        <v>18</v>
      </c>
      <c r="B15" s="4" t="s">
        <v>19</v>
      </c>
      <c r="C15" s="4" t="s">
        <v>20</v>
      </c>
      <c r="D15" s="4" t="s">
        <v>40</v>
      </c>
      <c r="E15" s="4" t="s">
        <v>43</v>
      </c>
      <c r="F15" s="5"/>
      <c r="G15" s="6">
        <v>23500.0</v>
      </c>
      <c r="H15" s="7"/>
      <c r="I15" s="8">
        <f t="shared" si="1"/>
        <v>35250</v>
      </c>
      <c r="J15" s="8">
        <f t="shared" si="2"/>
        <v>30550</v>
      </c>
      <c r="K15" s="9">
        <f t="shared" si="3"/>
        <v>30550</v>
      </c>
      <c r="L15" s="9">
        <f t="shared" si="4"/>
        <v>28200</v>
      </c>
      <c r="M15" s="9">
        <f t="shared" si="5"/>
        <v>27025</v>
      </c>
      <c r="N15" s="9">
        <f t="shared" si="6"/>
        <v>25850</v>
      </c>
    </row>
    <row r="16">
      <c r="A16" s="4" t="s">
        <v>18</v>
      </c>
      <c r="B16" s="4" t="s">
        <v>19</v>
      </c>
      <c r="C16" s="4" t="s">
        <v>20</v>
      </c>
      <c r="D16" s="4" t="s">
        <v>40</v>
      </c>
      <c r="E16" s="4" t="s">
        <v>44</v>
      </c>
      <c r="F16" s="5"/>
      <c r="G16" s="6">
        <v>23500.0</v>
      </c>
      <c r="H16" s="7"/>
      <c r="I16" s="8">
        <f t="shared" si="1"/>
        <v>35250</v>
      </c>
      <c r="J16" s="8">
        <f t="shared" si="2"/>
        <v>30550</v>
      </c>
      <c r="K16" s="9">
        <f t="shared" si="3"/>
        <v>30550</v>
      </c>
      <c r="L16" s="9">
        <f t="shared" si="4"/>
        <v>28200</v>
      </c>
      <c r="M16" s="9">
        <f t="shared" si="5"/>
        <v>27025</v>
      </c>
      <c r="N16" s="9">
        <f t="shared" si="6"/>
        <v>25850</v>
      </c>
    </row>
    <row r="17">
      <c r="A17" s="4" t="s">
        <v>18</v>
      </c>
      <c r="B17" s="4" t="s">
        <v>19</v>
      </c>
      <c r="C17" s="4" t="s">
        <v>20</v>
      </c>
      <c r="D17" s="4" t="s">
        <v>45</v>
      </c>
      <c r="E17" s="4" t="s">
        <v>46</v>
      </c>
      <c r="F17" s="5"/>
      <c r="G17" s="6">
        <v>23500.0</v>
      </c>
      <c r="H17" s="7"/>
      <c r="I17" s="8">
        <f t="shared" si="1"/>
        <v>35250</v>
      </c>
      <c r="J17" s="8">
        <f t="shared" si="2"/>
        <v>30550</v>
      </c>
      <c r="K17" s="9">
        <f t="shared" si="3"/>
        <v>30550</v>
      </c>
      <c r="L17" s="9">
        <f t="shared" si="4"/>
        <v>28200</v>
      </c>
      <c r="M17" s="9">
        <f t="shared" si="5"/>
        <v>27025</v>
      </c>
      <c r="N17" s="9">
        <f t="shared" si="6"/>
        <v>25850</v>
      </c>
    </row>
    <row r="18">
      <c r="A18" s="4" t="s">
        <v>18</v>
      </c>
      <c r="B18" s="4" t="s">
        <v>19</v>
      </c>
      <c r="C18" s="4" t="s">
        <v>20</v>
      </c>
      <c r="D18" s="4" t="s">
        <v>45</v>
      </c>
      <c r="E18" s="4" t="s">
        <v>47</v>
      </c>
      <c r="F18" s="5"/>
      <c r="G18" s="6">
        <v>23500.0</v>
      </c>
      <c r="H18" s="7"/>
      <c r="I18" s="8">
        <f t="shared" si="1"/>
        <v>35250</v>
      </c>
      <c r="J18" s="8">
        <f t="shared" si="2"/>
        <v>30550</v>
      </c>
      <c r="K18" s="9">
        <f t="shared" si="3"/>
        <v>30550</v>
      </c>
      <c r="L18" s="9">
        <f t="shared" si="4"/>
        <v>28200</v>
      </c>
      <c r="M18" s="9">
        <f t="shared" si="5"/>
        <v>27025</v>
      </c>
      <c r="N18" s="9">
        <f t="shared" si="6"/>
        <v>25850</v>
      </c>
    </row>
    <row r="19">
      <c r="A19" s="4" t="s">
        <v>18</v>
      </c>
      <c r="B19" s="4" t="s">
        <v>19</v>
      </c>
      <c r="C19" s="4" t="s">
        <v>20</v>
      </c>
      <c r="D19" s="4" t="s">
        <v>40</v>
      </c>
      <c r="E19" s="4" t="s">
        <v>48</v>
      </c>
      <c r="F19" s="5"/>
      <c r="G19" s="6">
        <v>29650.0</v>
      </c>
      <c r="H19" s="7"/>
      <c r="I19" s="8">
        <f t="shared" si="1"/>
        <v>44475</v>
      </c>
      <c r="J19" s="8">
        <f t="shared" si="2"/>
        <v>38545</v>
      </c>
      <c r="K19" s="9">
        <f t="shared" si="3"/>
        <v>38545</v>
      </c>
      <c r="L19" s="9">
        <f t="shared" si="4"/>
        <v>35580</v>
      </c>
      <c r="M19" s="9">
        <f t="shared" si="5"/>
        <v>34097.5</v>
      </c>
      <c r="N19" s="9">
        <f t="shared" si="6"/>
        <v>32615</v>
      </c>
    </row>
    <row r="20">
      <c r="A20" s="4" t="s">
        <v>18</v>
      </c>
      <c r="B20" s="4" t="s">
        <v>19</v>
      </c>
      <c r="C20" s="4" t="s">
        <v>20</v>
      </c>
      <c r="D20" s="4" t="s">
        <v>40</v>
      </c>
      <c r="E20" s="4" t="s">
        <v>49</v>
      </c>
      <c r="F20" s="5"/>
      <c r="G20" s="6">
        <v>29650.0</v>
      </c>
      <c r="H20" s="7"/>
      <c r="I20" s="8">
        <f t="shared" si="1"/>
        <v>44475</v>
      </c>
      <c r="J20" s="8">
        <f t="shared" si="2"/>
        <v>38545</v>
      </c>
      <c r="K20" s="9">
        <f t="shared" si="3"/>
        <v>38545</v>
      </c>
      <c r="L20" s="9">
        <f t="shared" si="4"/>
        <v>35580</v>
      </c>
      <c r="M20" s="9">
        <f t="shared" si="5"/>
        <v>34097.5</v>
      </c>
      <c r="N20" s="9">
        <f t="shared" si="6"/>
        <v>32615</v>
      </c>
    </row>
    <row r="21">
      <c r="A21" s="4" t="s">
        <v>18</v>
      </c>
      <c r="B21" s="4" t="s">
        <v>19</v>
      </c>
      <c r="C21" s="4" t="s">
        <v>20</v>
      </c>
      <c r="D21" s="4" t="s">
        <v>40</v>
      </c>
      <c r="E21" s="4" t="s">
        <v>50</v>
      </c>
      <c r="F21" s="5"/>
      <c r="G21" s="6">
        <v>31700.0</v>
      </c>
      <c r="H21" s="7"/>
      <c r="I21" s="8">
        <f t="shared" si="1"/>
        <v>47550</v>
      </c>
      <c r="J21" s="8">
        <f t="shared" si="2"/>
        <v>41210</v>
      </c>
      <c r="K21" s="9">
        <f t="shared" si="3"/>
        <v>41210</v>
      </c>
      <c r="L21" s="9">
        <f t="shared" si="4"/>
        <v>38040</v>
      </c>
      <c r="M21" s="9">
        <f t="shared" si="5"/>
        <v>36455</v>
      </c>
      <c r="N21" s="9">
        <f t="shared" si="6"/>
        <v>34870</v>
      </c>
    </row>
    <row r="22">
      <c r="A22" s="4" t="s">
        <v>18</v>
      </c>
      <c r="B22" s="4" t="s">
        <v>19</v>
      </c>
      <c r="C22" s="4" t="s">
        <v>20</v>
      </c>
      <c r="D22" s="4" t="s">
        <v>40</v>
      </c>
      <c r="E22" s="4" t="s">
        <v>51</v>
      </c>
      <c r="F22" s="5"/>
      <c r="G22" s="6">
        <v>31700.0</v>
      </c>
      <c r="H22" s="7"/>
      <c r="I22" s="8">
        <f t="shared" si="1"/>
        <v>47550</v>
      </c>
      <c r="J22" s="8">
        <f t="shared" si="2"/>
        <v>41210</v>
      </c>
      <c r="K22" s="9">
        <f t="shared" si="3"/>
        <v>41210</v>
      </c>
      <c r="L22" s="9">
        <f t="shared" si="4"/>
        <v>38040</v>
      </c>
      <c r="M22" s="9">
        <f t="shared" si="5"/>
        <v>36455</v>
      </c>
      <c r="N22" s="9">
        <f t="shared" si="6"/>
        <v>34870</v>
      </c>
    </row>
    <row r="23">
      <c r="A23" s="4" t="s">
        <v>18</v>
      </c>
      <c r="B23" s="4" t="s">
        <v>19</v>
      </c>
      <c r="C23" s="4" t="s">
        <v>20</v>
      </c>
      <c r="D23" s="4" t="s">
        <v>52</v>
      </c>
      <c r="E23" s="4" t="s">
        <v>53</v>
      </c>
      <c r="F23" s="5"/>
      <c r="G23" s="6">
        <v>26550.0</v>
      </c>
      <c r="H23" s="7"/>
      <c r="I23" s="8">
        <f t="shared" si="1"/>
        <v>39825</v>
      </c>
      <c r="J23" s="8">
        <f t="shared" si="2"/>
        <v>34515</v>
      </c>
      <c r="K23" s="9">
        <f t="shared" si="3"/>
        <v>34515</v>
      </c>
      <c r="L23" s="9">
        <f t="shared" si="4"/>
        <v>31860</v>
      </c>
      <c r="M23" s="9">
        <f t="shared" si="5"/>
        <v>30532.5</v>
      </c>
      <c r="N23" s="9">
        <f t="shared" si="6"/>
        <v>29205</v>
      </c>
    </row>
    <row r="24">
      <c r="A24" s="4" t="s">
        <v>18</v>
      </c>
      <c r="B24" s="4" t="s">
        <v>19</v>
      </c>
      <c r="C24" s="4" t="s">
        <v>20</v>
      </c>
      <c r="D24" s="4" t="s">
        <v>52</v>
      </c>
      <c r="E24" s="4" t="s">
        <v>54</v>
      </c>
      <c r="F24" s="5"/>
      <c r="G24" s="6">
        <v>26550.0</v>
      </c>
      <c r="H24" s="7"/>
      <c r="I24" s="8">
        <f t="shared" si="1"/>
        <v>39825</v>
      </c>
      <c r="J24" s="8">
        <f t="shared" si="2"/>
        <v>34515</v>
      </c>
      <c r="K24" s="9">
        <f t="shared" si="3"/>
        <v>34515</v>
      </c>
      <c r="L24" s="9">
        <f t="shared" si="4"/>
        <v>31860</v>
      </c>
      <c r="M24" s="9">
        <f t="shared" si="5"/>
        <v>30532.5</v>
      </c>
      <c r="N24" s="9">
        <f t="shared" si="6"/>
        <v>29205</v>
      </c>
    </row>
    <row r="25">
      <c r="A25" s="4" t="s">
        <v>18</v>
      </c>
      <c r="B25" s="4" t="s">
        <v>19</v>
      </c>
      <c r="C25" s="4" t="s">
        <v>20</v>
      </c>
      <c r="D25" s="4" t="s">
        <v>52</v>
      </c>
      <c r="E25" s="4" t="s">
        <v>55</v>
      </c>
      <c r="F25" s="5"/>
      <c r="G25" s="6">
        <v>26550.0</v>
      </c>
      <c r="H25" s="7"/>
      <c r="I25" s="8">
        <f t="shared" si="1"/>
        <v>39825</v>
      </c>
      <c r="J25" s="8">
        <f t="shared" si="2"/>
        <v>34515</v>
      </c>
      <c r="K25" s="9">
        <f t="shared" si="3"/>
        <v>34515</v>
      </c>
      <c r="L25" s="9">
        <f t="shared" si="4"/>
        <v>31860</v>
      </c>
      <c r="M25" s="9">
        <f t="shared" si="5"/>
        <v>30532.5</v>
      </c>
      <c r="N25" s="9">
        <f t="shared" si="6"/>
        <v>29205</v>
      </c>
    </row>
    <row r="26">
      <c r="A26" s="4" t="s">
        <v>18</v>
      </c>
      <c r="B26" s="4" t="s">
        <v>19</v>
      </c>
      <c r="C26" s="4" t="s">
        <v>20</v>
      </c>
      <c r="D26" s="4" t="s">
        <v>52</v>
      </c>
      <c r="E26" s="4" t="s">
        <v>56</v>
      </c>
      <c r="F26" s="5"/>
      <c r="G26" s="6">
        <v>26550.0</v>
      </c>
      <c r="H26" s="7"/>
      <c r="I26" s="8">
        <f t="shared" si="1"/>
        <v>39825</v>
      </c>
      <c r="J26" s="8">
        <f t="shared" si="2"/>
        <v>34515</v>
      </c>
      <c r="K26" s="9">
        <f t="shared" si="3"/>
        <v>34515</v>
      </c>
      <c r="L26" s="9">
        <f t="shared" si="4"/>
        <v>31860</v>
      </c>
      <c r="M26" s="9">
        <f t="shared" si="5"/>
        <v>30532.5</v>
      </c>
      <c r="N26" s="9">
        <f t="shared" si="6"/>
        <v>29205</v>
      </c>
    </row>
    <row r="27">
      <c r="A27" s="4" t="s">
        <v>18</v>
      </c>
      <c r="B27" s="4" t="s">
        <v>19</v>
      </c>
      <c r="C27" s="4" t="s">
        <v>20</v>
      </c>
      <c r="D27" s="4" t="s">
        <v>52</v>
      </c>
      <c r="E27" s="4" t="s">
        <v>57</v>
      </c>
      <c r="F27" s="5"/>
      <c r="G27" s="6">
        <v>26550.0</v>
      </c>
      <c r="H27" s="7"/>
      <c r="I27" s="8">
        <f t="shared" si="1"/>
        <v>39825</v>
      </c>
      <c r="J27" s="8">
        <f t="shared" si="2"/>
        <v>34515</v>
      </c>
      <c r="K27" s="9">
        <f t="shared" si="3"/>
        <v>34515</v>
      </c>
      <c r="L27" s="9">
        <f t="shared" si="4"/>
        <v>31860</v>
      </c>
      <c r="M27" s="9">
        <f t="shared" si="5"/>
        <v>30532.5</v>
      </c>
      <c r="N27" s="9">
        <f t="shared" si="6"/>
        <v>29205</v>
      </c>
    </row>
    <row r="28">
      <c r="A28" s="4" t="s">
        <v>18</v>
      </c>
      <c r="B28" s="4" t="s">
        <v>19</v>
      </c>
      <c r="C28" s="4" t="s">
        <v>20</v>
      </c>
      <c r="D28" s="4" t="s">
        <v>52</v>
      </c>
      <c r="E28" s="4" t="s">
        <v>58</v>
      </c>
      <c r="F28" s="5"/>
      <c r="G28" s="6">
        <v>26550.0</v>
      </c>
      <c r="H28" s="7"/>
      <c r="I28" s="8">
        <f t="shared" si="1"/>
        <v>39825</v>
      </c>
      <c r="J28" s="8">
        <f t="shared" si="2"/>
        <v>34515</v>
      </c>
      <c r="K28" s="9">
        <f t="shared" si="3"/>
        <v>34515</v>
      </c>
      <c r="L28" s="9">
        <f t="shared" si="4"/>
        <v>31860</v>
      </c>
      <c r="M28" s="9">
        <f t="shared" si="5"/>
        <v>30532.5</v>
      </c>
      <c r="N28" s="9">
        <f t="shared" si="6"/>
        <v>29205</v>
      </c>
    </row>
    <row r="29">
      <c r="A29" s="4" t="s">
        <v>18</v>
      </c>
      <c r="B29" s="4" t="s">
        <v>19</v>
      </c>
      <c r="C29" s="4" t="s">
        <v>20</v>
      </c>
      <c r="D29" s="4" t="s">
        <v>59</v>
      </c>
      <c r="E29" s="4" t="s">
        <v>60</v>
      </c>
      <c r="F29" s="5"/>
      <c r="G29" s="6">
        <v>31000.0</v>
      </c>
      <c r="H29" s="7"/>
      <c r="I29" s="8">
        <f t="shared" si="1"/>
        <v>46500</v>
      </c>
      <c r="J29" s="8">
        <f t="shared" si="2"/>
        <v>40300</v>
      </c>
      <c r="K29" s="9">
        <f t="shared" si="3"/>
        <v>40300</v>
      </c>
      <c r="L29" s="9">
        <f t="shared" si="4"/>
        <v>37200</v>
      </c>
      <c r="M29" s="9">
        <f t="shared" si="5"/>
        <v>35650</v>
      </c>
      <c r="N29" s="9">
        <f t="shared" si="6"/>
        <v>34100</v>
      </c>
    </row>
    <row r="30">
      <c r="A30" s="4" t="s">
        <v>18</v>
      </c>
      <c r="B30" s="4" t="s">
        <v>19</v>
      </c>
      <c r="C30" s="4" t="s">
        <v>20</v>
      </c>
      <c r="D30" s="4" t="s">
        <v>59</v>
      </c>
      <c r="E30" s="4" t="s">
        <v>61</v>
      </c>
      <c r="F30" s="5"/>
      <c r="G30" s="6">
        <v>31000.0</v>
      </c>
      <c r="H30" s="7"/>
      <c r="I30" s="8">
        <f t="shared" si="1"/>
        <v>46500</v>
      </c>
      <c r="J30" s="8">
        <f t="shared" si="2"/>
        <v>40300</v>
      </c>
      <c r="K30" s="9">
        <f t="shared" si="3"/>
        <v>40300</v>
      </c>
      <c r="L30" s="9">
        <f t="shared" si="4"/>
        <v>37200</v>
      </c>
      <c r="M30" s="9">
        <f t="shared" si="5"/>
        <v>35650</v>
      </c>
      <c r="N30" s="9">
        <f t="shared" si="6"/>
        <v>34100</v>
      </c>
    </row>
    <row r="31">
      <c r="A31" s="4" t="s">
        <v>18</v>
      </c>
      <c r="B31" s="4" t="s">
        <v>19</v>
      </c>
      <c r="C31" s="4" t="s">
        <v>20</v>
      </c>
      <c r="D31" s="4" t="s">
        <v>62</v>
      </c>
      <c r="E31" s="4" t="s">
        <v>63</v>
      </c>
      <c r="F31" s="5"/>
      <c r="G31" s="6">
        <v>34100.0</v>
      </c>
      <c r="H31" s="7"/>
      <c r="I31" s="8">
        <f t="shared" si="1"/>
        <v>51150</v>
      </c>
      <c r="J31" s="8">
        <f t="shared" si="2"/>
        <v>44330</v>
      </c>
      <c r="K31" s="9">
        <f t="shared" si="3"/>
        <v>44330</v>
      </c>
      <c r="L31" s="9">
        <f t="shared" si="4"/>
        <v>40920</v>
      </c>
      <c r="M31" s="9">
        <f t="shared" si="5"/>
        <v>39215</v>
      </c>
      <c r="N31" s="9">
        <f t="shared" si="6"/>
        <v>37510</v>
      </c>
    </row>
    <row r="32">
      <c r="A32" s="4" t="s">
        <v>18</v>
      </c>
      <c r="B32" s="4" t="s">
        <v>19</v>
      </c>
      <c r="C32" s="4" t="s">
        <v>20</v>
      </c>
      <c r="D32" s="4" t="s">
        <v>62</v>
      </c>
      <c r="E32" s="4" t="s">
        <v>64</v>
      </c>
      <c r="F32" s="5"/>
      <c r="G32" s="6">
        <v>34100.0</v>
      </c>
      <c r="H32" s="7"/>
      <c r="I32" s="8">
        <f t="shared" si="1"/>
        <v>51150</v>
      </c>
      <c r="J32" s="8">
        <f t="shared" si="2"/>
        <v>44330</v>
      </c>
      <c r="K32" s="9">
        <f t="shared" si="3"/>
        <v>44330</v>
      </c>
      <c r="L32" s="9">
        <f t="shared" si="4"/>
        <v>40920</v>
      </c>
      <c r="M32" s="9">
        <f t="shared" si="5"/>
        <v>39215</v>
      </c>
      <c r="N32" s="9">
        <f t="shared" si="6"/>
        <v>37510</v>
      </c>
    </row>
    <row r="33">
      <c r="A33" s="4" t="s">
        <v>18</v>
      </c>
      <c r="B33" s="4" t="s">
        <v>19</v>
      </c>
      <c r="C33" s="4" t="s">
        <v>20</v>
      </c>
      <c r="D33" s="4" t="s">
        <v>65</v>
      </c>
      <c r="E33" s="4" t="s">
        <v>66</v>
      </c>
      <c r="F33" s="5"/>
      <c r="G33" s="6">
        <v>32100.0</v>
      </c>
      <c r="H33" s="7"/>
      <c r="I33" s="8">
        <f t="shared" si="1"/>
        <v>48150</v>
      </c>
      <c r="J33" s="8">
        <f t="shared" si="2"/>
        <v>41730</v>
      </c>
      <c r="K33" s="9">
        <f t="shared" si="3"/>
        <v>41730</v>
      </c>
      <c r="L33" s="9">
        <f t="shared" si="4"/>
        <v>38520</v>
      </c>
      <c r="M33" s="9">
        <f t="shared" si="5"/>
        <v>36915</v>
      </c>
      <c r="N33" s="9">
        <f t="shared" si="6"/>
        <v>35310</v>
      </c>
    </row>
    <row r="34">
      <c r="A34" s="4" t="s">
        <v>18</v>
      </c>
      <c r="B34" s="4" t="s">
        <v>19</v>
      </c>
      <c r="C34" s="4" t="s">
        <v>20</v>
      </c>
      <c r="D34" s="4" t="s">
        <v>65</v>
      </c>
      <c r="E34" s="4" t="s">
        <v>67</v>
      </c>
      <c r="F34" s="5"/>
      <c r="G34" s="6">
        <v>32100.0</v>
      </c>
      <c r="H34" s="7"/>
      <c r="I34" s="8">
        <f t="shared" si="1"/>
        <v>48150</v>
      </c>
      <c r="J34" s="8">
        <f t="shared" si="2"/>
        <v>41730</v>
      </c>
      <c r="K34" s="9">
        <f t="shared" si="3"/>
        <v>41730</v>
      </c>
      <c r="L34" s="9">
        <f t="shared" si="4"/>
        <v>38520</v>
      </c>
      <c r="M34" s="9">
        <f t="shared" si="5"/>
        <v>36915</v>
      </c>
      <c r="N34" s="9">
        <f t="shared" si="6"/>
        <v>35310</v>
      </c>
    </row>
    <row r="35">
      <c r="A35" s="4" t="s">
        <v>18</v>
      </c>
      <c r="B35" s="4" t="s">
        <v>19</v>
      </c>
      <c r="C35" s="4" t="s">
        <v>20</v>
      </c>
      <c r="D35" s="4" t="s">
        <v>68</v>
      </c>
      <c r="E35" s="4" t="s">
        <v>69</v>
      </c>
      <c r="F35" s="5"/>
      <c r="G35" s="6">
        <v>33050.0</v>
      </c>
      <c r="H35" s="7"/>
      <c r="I35" s="8">
        <f t="shared" si="1"/>
        <v>49575</v>
      </c>
      <c r="J35" s="8">
        <f t="shared" si="2"/>
        <v>42965</v>
      </c>
      <c r="K35" s="9">
        <f t="shared" si="3"/>
        <v>42965</v>
      </c>
      <c r="L35" s="9">
        <f t="shared" si="4"/>
        <v>39660</v>
      </c>
      <c r="M35" s="9">
        <f t="shared" si="5"/>
        <v>38007.5</v>
      </c>
      <c r="N35" s="9">
        <f t="shared" si="6"/>
        <v>36355</v>
      </c>
    </row>
    <row r="36">
      <c r="A36" s="4" t="s">
        <v>18</v>
      </c>
      <c r="B36" s="4" t="s">
        <v>19</v>
      </c>
      <c r="C36" s="4" t="s">
        <v>20</v>
      </c>
      <c r="D36" s="4" t="s">
        <v>68</v>
      </c>
      <c r="E36" s="4" t="s">
        <v>70</v>
      </c>
      <c r="F36" s="5"/>
      <c r="G36" s="6">
        <v>33050.0</v>
      </c>
      <c r="H36" s="7"/>
      <c r="I36" s="8">
        <f t="shared" si="1"/>
        <v>49575</v>
      </c>
      <c r="J36" s="8">
        <f t="shared" si="2"/>
        <v>42965</v>
      </c>
      <c r="K36" s="9">
        <f t="shared" si="3"/>
        <v>42965</v>
      </c>
      <c r="L36" s="9">
        <f t="shared" si="4"/>
        <v>39660</v>
      </c>
      <c r="M36" s="9">
        <f t="shared" si="5"/>
        <v>38007.5</v>
      </c>
      <c r="N36" s="9">
        <f t="shared" si="6"/>
        <v>36355</v>
      </c>
    </row>
    <row r="37">
      <c r="A37" s="4" t="s">
        <v>18</v>
      </c>
      <c r="B37" s="4" t="s">
        <v>19</v>
      </c>
      <c r="C37" s="4" t="s">
        <v>20</v>
      </c>
      <c r="D37" s="4" t="s">
        <v>71</v>
      </c>
      <c r="E37" s="4" t="s">
        <v>72</v>
      </c>
      <c r="F37" s="5"/>
      <c r="G37" s="6">
        <v>61550.0</v>
      </c>
      <c r="H37" s="7"/>
      <c r="I37" s="8">
        <f t="shared" si="1"/>
        <v>92325</v>
      </c>
      <c r="J37" s="8">
        <f t="shared" si="2"/>
        <v>80015</v>
      </c>
      <c r="K37" s="9">
        <f t="shared" si="3"/>
        <v>80015</v>
      </c>
      <c r="L37" s="9">
        <f t="shared" si="4"/>
        <v>73860</v>
      </c>
      <c r="M37" s="9">
        <f t="shared" si="5"/>
        <v>70782.5</v>
      </c>
      <c r="N37" s="9">
        <f t="shared" si="6"/>
        <v>67705</v>
      </c>
    </row>
    <row r="38">
      <c r="A38" s="4" t="s">
        <v>18</v>
      </c>
      <c r="B38" s="4" t="s">
        <v>19</v>
      </c>
      <c r="C38" s="4" t="s">
        <v>20</v>
      </c>
      <c r="D38" s="4" t="s">
        <v>73</v>
      </c>
      <c r="E38" s="5"/>
      <c r="F38" s="5"/>
      <c r="G38" s="6">
        <v>61550.0</v>
      </c>
      <c r="H38" s="7"/>
      <c r="I38" s="8">
        <f t="shared" si="1"/>
        <v>92325</v>
      </c>
      <c r="J38" s="8">
        <f t="shared" si="2"/>
        <v>80015</v>
      </c>
      <c r="K38" s="9">
        <f t="shared" si="3"/>
        <v>80015</v>
      </c>
      <c r="L38" s="9">
        <f t="shared" si="4"/>
        <v>73860</v>
      </c>
      <c r="M38" s="9">
        <f t="shared" si="5"/>
        <v>70782.5</v>
      </c>
      <c r="N38" s="9">
        <f t="shared" si="6"/>
        <v>67705</v>
      </c>
    </row>
    <row r="39">
      <c r="A39" s="4" t="s">
        <v>18</v>
      </c>
      <c r="B39" s="4" t="s">
        <v>19</v>
      </c>
      <c r="C39" s="4" t="s">
        <v>20</v>
      </c>
      <c r="D39" s="4" t="s">
        <v>74</v>
      </c>
      <c r="E39" s="5"/>
      <c r="F39" s="5"/>
      <c r="G39" s="6">
        <v>61550.0</v>
      </c>
      <c r="H39" s="7"/>
      <c r="I39" s="8">
        <f t="shared" si="1"/>
        <v>92325</v>
      </c>
      <c r="J39" s="8">
        <f t="shared" si="2"/>
        <v>80015</v>
      </c>
      <c r="K39" s="9">
        <f t="shared" si="3"/>
        <v>80015</v>
      </c>
      <c r="L39" s="9">
        <f t="shared" si="4"/>
        <v>73860</v>
      </c>
      <c r="M39" s="9">
        <f t="shared" si="5"/>
        <v>70782.5</v>
      </c>
      <c r="N39" s="9">
        <f t="shared" si="6"/>
        <v>67705</v>
      </c>
    </row>
    <row r="40">
      <c r="A40" s="4" t="s">
        <v>18</v>
      </c>
      <c r="B40" s="4" t="s">
        <v>19</v>
      </c>
      <c r="C40" s="4" t="s">
        <v>20</v>
      </c>
      <c r="D40" s="4" t="s">
        <v>75</v>
      </c>
      <c r="E40" s="4" t="s">
        <v>76</v>
      </c>
      <c r="F40" s="5"/>
      <c r="G40" s="6">
        <v>63400.0</v>
      </c>
      <c r="H40" s="7"/>
      <c r="I40" s="8">
        <f t="shared" si="1"/>
        <v>95100</v>
      </c>
      <c r="J40" s="8">
        <f t="shared" si="2"/>
        <v>82420</v>
      </c>
      <c r="K40" s="9">
        <f t="shared" si="3"/>
        <v>82420</v>
      </c>
      <c r="L40" s="9">
        <f t="shared" si="4"/>
        <v>76080</v>
      </c>
      <c r="M40" s="9">
        <f t="shared" si="5"/>
        <v>72910</v>
      </c>
      <c r="N40" s="9">
        <f t="shared" si="6"/>
        <v>69740</v>
      </c>
    </row>
    <row r="41">
      <c r="A41" s="4" t="s">
        <v>18</v>
      </c>
      <c r="B41" s="4" t="s">
        <v>19</v>
      </c>
      <c r="C41" s="4" t="s">
        <v>20</v>
      </c>
      <c r="D41" s="4" t="s">
        <v>77</v>
      </c>
      <c r="E41" s="5"/>
      <c r="F41" s="5"/>
      <c r="G41" s="6">
        <v>65900.0</v>
      </c>
      <c r="H41" s="7"/>
      <c r="I41" s="8">
        <f t="shared" si="1"/>
        <v>98850</v>
      </c>
      <c r="J41" s="8">
        <f t="shared" si="2"/>
        <v>85670</v>
      </c>
      <c r="K41" s="9">
        <f t="shared" si="3"/>
        <v>85670</v>
      </c>
      <c r="L41" s="9">
        <f t="shared" si="4"/>
        <v>79080</v>
      </c>
      <c r="M41" s="9">
        <f t="shared" si="5"/>
        <v>75785</v>
      </c>
      <c r="N41" s="9">
        <f t="shared" si="6"/>
        <v>72490</v>
      </c>
    </row>
    <row r="42">
      <c r="A42" s="4" t="s">
        <v>18</v>
      </c>
      <c r="B42" s="4" t="s">
        <v>19</v>
      </c>
      <c r="C42" s="4" t="s">
        <v>20</v>
      </c>
      <c r="D42" s="4" t="s">
        <v>78</v>
      </c>
      <c r="E42" s="5"/>
      <c r="F42" s="5"/>
      <c r="G42" s="6">
        <v>68100.0</v>
      </c>
      <c r="H42" s="7"/>
      <c r="I42" s="8">
        <f t="shared" si="1"/>
        <v>102150</v>
      </c>
      <c r="J42" s="8">
        <f t="shared" si="2"/>
        <v>88530</v>
      </c>
      <c r="K42" s="9">
        <f t="shared" si="3"/>
        <v>88530</v>
      </c>
      <c r="L42" s="9">
        <f t="shared" si="4"/>
        <v>81720</v>
      </c>
      <c r="M42" s="9">
        <f t="shared" si="5"/>
        <v>78315</v>
      </c>
      <c r="N42" s="9">
        <f t="shared" si="6"/>
        <v>74910</v>
      </c>
    </row>
    <row r="43">
      <c r="A43" s="4" t="s">
        <v>18</v>
      </c>
      <c r="B43" s="4" t="s">
        <v>19</v>
      </c>
      <c r="C43" s="4" t="s">
        <v>20</v>
      </c>
      <c r="D43" s="4" t="s">
        <v>79</v>
      </c>
      <c r="E43" s="4" t="s">
        <v>80</v>
      </c>
      <c r="F43" s="5"/>
      <c r="G43" s="6">
        <v>65600.0</v>
      </c>
      <c r="H43" s="7"/>
      <c r="I43" s="8">
        <f t="shared" si="1"/>
        <v>98400</v>
      </c>
      <c r="J43" s="8">
        <f t="shared" si="2"/>
        <v>85280</v>
      </c>
      <c r="K43" s="9">
        <f t="shared" si="3"/>
        <v>85280</v>
      </c>
      <c r="L43" s="9">
        <f t="shared" si="4"/>
        <v>78720</v>
      </c>
      <c r="M43" s="9">
        <f t="shared" si="5"/>
        <v>75440</v>
      </c>
      <c r="N43" s="9">
        <f t="shared" si="6"/>
        <v>72160</v>
      </c>
    </row>
    <row r="44">
      <c r="A44" s="4" t="s">
        <v>18</v>
      </c>
      <c r="B44" s="4" t="s">
        <v>19</v>
      </c>
      <c r="C44" s="4" t="s">
        <v>20</v>
      </c>
      <c r="D44" s="4" t="s">
        <v>81</v>
      </c>
      <c r="E44" s="4" t="s">
        <v>82</v>
      </c>
      <c r="F44" s="5"/>
      <c r="G44" s="6">
        <v>69100.0</v>
      </c>
      <c r="H44" s="7"/>
      <c r="I44" s="8">
        <f t="shared" si="1"/>
        <v>103650</v>
      </c>
      <c r="J44" s="8">
        <f t="shared" si="2"/>
        <v>89830</v>
      </c>
      <c r="K44" s="9">
        <f t="shared" si="3"/>
        <v>89830</v>
      </c>
      <c r="L44" s="9">
        <f t="shared" si="4"/>
        <v>82920</v>
      </c>
      <c r="M44" s="9">
        <f t="shared" si="5"/>
        <v>79465</v>
      </c>
      <c r="N44" s="9">
        <f t="shared" si="6"/>
        <v>76010</v>
      </c>
    </row>
    <row r="45">
      <c r="A45" s="4" t="s">
        <v>18</v>
      </c>
      <c r="B45" s="4" t="s">
        <v>19</v>
      </c>
      <c r="C45" s="4" t="s">
        <v>20</v>
      </c>
      <c r="D45" s="4" t="s">
        <v>83</v>
      </c>
      <c r="E45" s="4" t="s">
        <v>84</v>
      </c>
      <c r="F45" s="5"/>
      <c r="G45" s="6">
        <v>67750.0</v>
      </c>
      <c r="H45" s="7"/>
      <c r="I45" s="8">
        <f t="shared" si="1"/>
        <v>101625</v>
      </c>
      <c r="J45" s="8">
        <f t="shared" si="2"/>
        <v>88075</v>
      </c>
      <c r="K45" s="9">
        <f t="shared" si="3"/>
        <v>88075</v>
      </c>
      <c r="L45" s="9">
        <f t="shared" si="4"/>
        <v>81300</v>
      </c>
      <c r="M45" s="9">
        <f t="shared" si="5"/>
        <v>77912.5</v>
      </c>
      <c r="N45" s="9">
        <f t="shared" si="6"/>
        <v>74525</v>
      </c>
    </row>
    <row r="46">
      <c r="A46" s="4" t="s">
        <v>18</v>
      </c>
      <c r="B46" s="4" t="s">
        <v>19</v>
      </c>
      <c r="C46" s="4" t="s">
        <v>20</v>
      </c>
      <c r="D46" s="4" t="s">
        <v>85</v>
      </c>
      <c r="E46" s="5"/>
      <c r="F46" s="5"/>
      <c r="G46" s="6">
        <v>67750.0</v>
      </c>
      <c r="H46" s="7"/>
      <c r="I46" s="8">
        <f t="shared" si="1"/>
        <v>101625</v>
      </c>
      <c r="J46" s="8">
        <f t="shared" si="2"/>
        <v>88075</v>
      </c>
      <c r="K46" s="9">
        <f t="shared" si="3"/>
        <v>88075</v>
      </c>
      <c r="L46" s="9">
        <f t="shared" si="4"/>
        <v>81300</v>
      </c>
      <c r="M46" s="9">
        <f t="shared" si="5"/>
        <v>77912.5</v>
      </c>
      <c r="N46" s="9">
        <f t="shared" si="6"/>
        <v>74525</v>
      </c>
    </row>
    <row r="47">
      <c r="A47" s="4" t="s">
        <v>18</v>
      </c>
      <c r="B47" s="4" t="s">
        <v>19</v>
      </c>
      <c r="C47" s="4" t="s">
        <v>20</v>
      </c>
      <c r="D47" s="4" t="s">
        <v>86</v>
      </c>
      <c r="E47" s="5"/>
      <c r="F47" s="5"/>
      <c r="G47" s="6">
        <v>67750.0</v>
      </c>
      <c r="H47" s="7"/>
      <c r="I47" s="8">
        <f t="shared" si="1"/>
        <v>101625</v>
      </c>
      <c r="J47" s="8">
        <f t="shared" si="2"/>
        <v>88075</v>
      </c>
      <c r="K47" s="9">
        <f t="shared" si="3"/>
        <v>88075</v>
      </c>
      <c r="L47" s="9">
        <f t="shared" si="4"/>
        <v>81300</v>
      </c>
      <c r="M47" s="9">
        <f t="shared" si="5"/>
        <v>77912.5</v>
      </c>
      <c r="N47" s="9">
        <f t="shared" si="6"/>
        <v>74525</v>
      </c>
    </row>
    <row r="48">
      <c r="A48" s="4" t="s">
        <v>18</v>
      </c>
      <c r="B48" s="4" t="s">
        <v>19</v>
      </c>
      <c r="C48" s="4" t="s">
        <v>20</v>
      </c>
      <c r="D48" s="4" t="s">
        <v>87</v>
      </c>
      <c r="E48" s="4" t="s">
        <v>88</v>
      </c>
      <c r="F48" s="5"/>
      <c r="G48" s="6">
        <v>69600.0</v>
      </c>
      <c r="H48" s="7"/>
      <c r="I48" s="8">
        <f t="shared" si="1"/>
        <v>104400</v>
      </c>
      <c r="J48" s="8">
        <f t="shared" si="2"/>
        <v>90480</v>
      </c>
      <c r="K48" s="9">
        <f t="shared" si="3"/>
        <v>90480</v>
      </c>
      <c r="L48" s="9">
        <f t="shared" si="4"/>
        <v>83520</v>
      </c>
      <c r="M48" s="9">
        <f t="shared" si="5"/>
        <v>80040</v>
      </c>
      <c r="N48" s="9">
        <f t="shared" si="6"/>
        <v>76560</v>
      </c>
    </row>
    <row r="49">
      <c r="A49" s="4" t="s">
        <v>18</v>
      </c>
      <c r="B49" s="4" t="s">
        <v>19</v>
      </c>
      <c r="C49" s="4" t="s">
        <v>20</v>
      </c>
      <c r="D49" s="4" t="s">
        <v>89</v>
      </c>
      <c r="E49" s="5"/>
      <c r="F49" s="5"/>
      <c r="G49" s="6">
        <v>72100.0</v>
      </c>
      <c r="H49" s="7"/>
      <c r="I49" s="8">
        <f t="shared" si="1"/>
        <v>108150</v>
      </c>
      <c r="J49" s="8">
        <f t="shared" si="2"/>
        <v>93730</v>
      </c>
      <c r="K49" s="9">
        <f t="shared" si="3"/>
        <v>93730</v>
      </c>
      <c r="L49" s="9">
        <f t="shared" si="4"/>
        <v>86520</v>
      </c>
      <c r="M49" s="9">
        <f t="shared" si="5"/>
        <v>82915</v>
      </c>
      <c r="N49" s="9">
        <f t="shared" si="6"/>
        <v>79310</v>
      </c>
    </row>
    <row r="50">
      <c r="A50" s="4" t="s">
        <v>18</v>
      </c>
      <c r="B50" s="4" t="s">
        <v>19</v>
      </c>
      <c r="C50" s="4" t="s">
        <v>20</v>
      </c>
      <c r="D50" s="4" t="s">
        <v>90</v>
      </c>
      <c r="E50" s="5"/>
      <c r="F50" s="5"/>
      <c r="G50" s="6">
        <v>74250.0</v>
      </c>
      <c r="H50" s="7"/>
      <c r="I50" s="8">
        <f t="shared" si="1"/>
        <v>111375</v>
      </c>
      <c r="J50" s="8">
        <f t="shared" si="2"/>
        <v>96525</v>
      </c>
      <c r="K50" s="9">
        <f t="shared" si="3"/>
        <v>96525</v>
      </c>
      <c r="L50" s="9">
        <f t="shared" si="4"/>
        <v>89100</v>
      </c>
      <c r="M50" s="9">
        <f t="shared" si="5"/>
        <v>85387.5</v>
      </c>
      <c r="N50" s="9">
        <f t="shared" si="6"/>
        <v>81675</v>
      </c>
    </row>
    <row r="51">
      <c r="A51" s="4" t="s">
        <v>18</v>
      </c>
      <c r="B51" s="4" t="s">
        <v>19</v>
      </c>
      <c r="C51" s="4" t="s">
        <v>20</v>
      </c>
      <c r="D51" s="4" t="s">
        <v>91</v>
      </c>
      <c r="E51" s="4" t="s">
        <v>92</v>
      </c>
      <c r="F51" s="5"/>
      <c r="G51" s="6">
        <v>71800.0</v>
      </c>
      <c r="H51" s="7"/>
      <c r="I51" s="8">
        <f t="shared" si="1"/>
        <v>107700</v>
      </c>
      <c r="J51" s="8">
        <f t="shared" si="2"/>
        <v>93340</v>
      </c>
      <c r="K51" s="9">
        <f t="shared" si="3"/>
        <v>93340</v>
      </c>
      <c r="L51" s="9">
        <f t="shared" si="4"/>
        <v>86160</v>
      </c>
      <c r="M51" s="9">
        <f t="shared" si="5"/>
        <v>82570</v>
      </c>
      <c r="N51" s="9">
        <f t="shared" si="6"/>
        <v>78980</v>
      </c>
    </row>
    <row r="52">
      <c r="A52" s="4" t="s">
        <v>18</v>
      </c>
      <c r="B52" s="4" t="s">
        <v>19</v>
      </c>
      <c r="C52" s="4" t="s">
        <v>20</v>
      </c>
      <c r="D52" s="4" t="s">
        <v>93</v>
      </c>
      <c r="E52" s="4" t="s">
        <v>94</v>
      </c>
      <c r="F52" s="5"/>
      <c r="G52" s="6">
        <v>75300.0</v>
      </c>
      <c r="H52" s="7"/>
      <c r="I52" s="8">
        <f t="shared" si="1"/>
        <v>112950</v>
      </c>
      <c r="J52" s="8">
        <f t="shared" si="2"/>
        <v>97890</v>
      </c>
      <c r="K52" s="9">
        <f t="shared" si="3"/>
        <v>97890</v>
      </c>
      <c r="L52" s="9">
        <f t="shared" si="4"/>
        <v>90360</v>
      </c>
      <c r="M52" s="9">
        <f t="shared" si="5"/>
        <v>86595</v>
      </c>
      <c r="N52" s="9">
        <f t="shared" si="6"/>
        <v>82830</v>
      </c>
    </row>
    <row r="53">
      <c r="A53" s="4" t="s">
        <v>18</v>
      </c>
      <c r="B53" s="4" t="s">
        <v>19</v>
      </c>
      <c r="C53" s="4" t="s">
        <v>20</v>
      </c>
      <c r="D53" s="4" t="s">
        <v>95</v>
      </c>
      <c r="E53" s="4" t="s">
        <v>96</v>
      </c>
      <c r="F53" s="5"/>
      <c r="G53" s="6">
        <v>76300.0</v>
      </c>
      <c r="H53" s="7"/>
      <c r="I53" s="8">
        <f t="shared" si="1"/>
        <v>114450</v>
      </c>
      <c r="J53" s="8">
        <f t="shared" si="2"/>
        <v>99190</v>
      </c>
      <c r="K53" s="9">
        <f t="shared" si="3"/>
        <v>99190</v>
      </c>
      <c r="L53" s="9">
        <f t="shared" si="4"/>
        <v>91560</v>
      </c>
      <c r="M53" s="9">
        <f t="shared" si="5"/>
        <v>87745</v>
      </c>
      <c r="N53" s="9">
        <f t="shared" si="6"/>
        <v>83930</v>
      </c>
    </row>
    <row r="54">
      <c r="A54" s="4" t="s">
        <v>18</v>
      </c>
      <c r="B54" s="4" t="s">
        <v>19</v>
      </c>
      <c r="C54" s="4" t="s">
        <v>20</v>
      </c>
      <c r="D54" s="4" t="s">
        <v>97</v>
      </c>
      <c r="E54" s="4" t="s">
        <v>98</v>
      </c>
      <c r="F54" s="5"/>
      <c r="G54" s="6">
        <v>78400.0</v>
      </c>
      <c r="H54" s="7"/>
      <c r="I54" s="8">
        <f t="shared" si="1"/>
        <v>117600</v>
      </c>
      <c r="J54" s="8">
        <f t="shared" si="2"/>
        <v>101920</v>
      </c>
      <c r="K54" s="9">
        <f t="shared" si="3"/>
        <v>101920</v>
      </c>
      <c r="L54" s="9">
        <f t="shared" si="4"/>
        <v>94080</v>
      </c>
      <c r="M54" s="9">
        <f t="shared" si="5"/>
        <v>90160</v>
      </c>
      <c r="N54" s="9">
        <f t="shared" si="6"/>
        <v>86240</v>
      </c>
    </row>
    <row r="55">
      <c r="A55" s="4" t="s">
        <v>18</v>
      </c>
      <c r="B55" s="4" t="s">
        <v>19</v>
      </c>
      <c r="C55" s="4" t="s">
        <v>20</v>
      </c>
      <c r="D55" s="4" t="s">
        <v>99</v>
      </c>
      <c r="E55" s="4" t="s">
        <v>100</v>
      </c>
      <c r="F55" s="5"/>
      <c r="G55" s="6">
        <v>90350.0</v>
      </c>
      <c r="H55" s="7"/>
      <c r="I55" s="8">
        <f t="shared" si="1"/>
        <v>135525</v>
      </c>
      <c r="J55" s="8">
        <f t="shared" si="2"/>
        <v>117455</v>
      </c>
      <c r="K55" s="9">
        <f t="shared" si="3"/>
        <v>117455</v>
      </c>
      <c r="L55" s="9">
        <f t="shared" si="4"/>
        <v>108420</v>
      </c>
      <c r="M55" s="9">
        <f t="shared" si="5"/>
        <v>103902.5</v>
      </c>
      <c r="N55" s="9">
        <f t="shared" si="6"/>
        <v>99385</v>
      </c>
    </row>
    <row r="56">
      <c r="A56" s="4" t="s">
        <v>18</v>
      </c>
      <c r="B56" s="4" t="s">
        <v>19</v>
      </c>
      <c r="C56" s="4" t="s">
        <v>20</v>
      </c>
      <c r="D56" s="4" t="s">
        <v>101</v>
      </c>
      <c r="E56" s="4" t="s">
        <v>102</v>
      </c>
      <c r="F56" s="5"/>
      <c r="G56" s="6">
        <v>92450.0</v>
      </c>
      <c r="H56" s="7"/>
      <c r="I56" s="8">
        <f t="shared" si="1"/>
        <v>138675</v>
      </c>
      <c r="J56" s="8">
        <f t="shared" si="2"/>
        <v>120185</v>
      </c>
      <c r="K56" s="9">
        <f t="shared" si="3"/>
        <v>120185</v>
      </c>
      <c r="L56" s="9">
        <f t="shared" si="4"/>
        <v>110940</v>
      </c>
      <c r="M56" s="9">
        <f t="shared" si="5"/>
        <v>106317.5</v>
      </c>
      <c r="N56" s="9">
        <f t="shared" si="6"/>
        <v>101695</v>
      </c>
    </row>
    <row r="57">
      <c r="A57" s="4" t="s">
        <v>18</v>
      </c>
      <c r="B57" s="4" t="s">
        <v>19</v>
      </c>
      <c r="C57" s="4" t="s">
        <v>20</v>
      </c>
      <c r="D57" s="4" t="s">
        <v>103</v>
      </c>
      <c r="E57" s="4" t="s">
        <v>104</v>
      </c>
      <c r="F57" s="5"/>
      <c r="G57" s="6">
        <v>103250.0</v>
      </c>
      <c r="H57" s="7"/>
      <c r="I57" s="8">
        <f t="shared" si="1"/>
        <v>154875</v>
      </c>
      <c r="J57" s="8">
        <f t="shared" si="2"/>
        <v>134225</v>
      </c>
      <c r="K57" s="9">
        <f t="shared" si="3"/>
        <v>134225</v>
      </c>
      <c r="L57" s="9">
        <f t="shared" si="4"/>
        <v>123900</v>
      </c>
      <c r="M57" s="9">
        <f t="shared" si="5"/>
        <v>118737.5</v>
      </c>
      <c r="N57" s="9">
        <f t="shared" si="6"/>
        <v>113575</v>
      </c>
    </row>
    <row r="58">
      <c r="A58" s="4" t="s">
        <v>18</v>
      </c>
      <c r="B58" s="10" t="s">
        <v>105</v>
      </c>
      <c r="C58" s="5"/>
      <c r="D58" s="10" t="s">
        <v>106</v>
      </c>
      <c r="E58" s="11" t="s">
        <v>107</v>
      </c>
      <c r="F58" s="10" t="s">
        <v>108</v>
      </c>
      <c r="G58" s="12">
        <v>10950.0</v>
      </c>
      <c r="H58" s="13"/>
      <c r="I58" s="8">
        <f t="shared" si="1"/>
        <v>16425</v>
      </c>
      <c r="J58" s="8">
        <f t="shared" si="2"/>
        <v>14235</v>
      </c>
      <c r="K58" s="9">
        <f t="shared" si="3"/>
        <v>14235</v>
      </c>
      <c r="L58" s="9">
        <f t="shared" si="4"/>
        <v>13140</v>
      </c>
      <c r="M58" s="9">
        <f t="shared" si="5"/>
        <v>12592.5</v>
      </c>
      <c r="N58" s="9">
        <f t="shared" si="6"/>
        <v>12045</v>
      </c>
    </row>
    <row r="59">
      <c r="A59" s="4" t="s">
        <v>18</v>
      </c>
      <c r="B59" s="10" t="s">
        <v>105</v>
      </c>
      <c r="C59" s="5"/>
      <c r="D59" s="10" t="s">
        <v>109</v>
      </c>
      <c r="E59" s="11" t="s">
        <v>110</v>
      </c>
      <c r="F59" s="14"/>
      <c r="G59" s="12">
        <v>10600.0</v>
      </c>
      <c r="H59" s="13"/>
      <c r="I59" s="8">
        <f t="shared" si="1"/>
        <v>15900</v>
      </c>
      <c r="J59" s="8">
        <f t="shared" si="2"/>
        <v>13780</v>
      </c>
      <c r="K59" s="9">
        <f t="shared" si="3"/>
        <v>13780</v>
      </c>
      <c r="L59" s="9">
        <f t="shared" si="4"/>
        <v>12720</v>
      </c>
      <c r="M59" s="9">
        <f t="shared" si="5"/>
        <v>12190</v>
      </c>
      <c r="N59" s="9">
        <f t="shared" si="6"/>
        <v>11660</v>
      </c>
    </row>
    <row r="60">
      <c r="A60" s="4" t="s">
        <v>18</v>
      </c>
      <c r="B60" s="10" t="s">
        <v>105</v>
      </c>
      <c r="C60" s="5"/>
      <c r="D60" s="10" t="s">
        <v>111</v>
      </c>
      <c r="E60" s="11" t="s">
        <v>112</v>
      </c>
      <c r="F60" s="14"/>
      <c r="G60" s="12">
        <v>100.0</v>
      </c>
      <c r="H60" s="13"/>
      <c r="I60" s="8">
        <f t="shared" si="1"/>
        <v>150</v>
      </c>
      <c r="J60" s="8">
        <f t="shared" si="2"/>
        <v>130</v>
      </c>
      <c r="K60" s="9">
        <f t="shared" si="3"/>
        <v>130</v>
      </c>
      <c r="L60" s="9">
        <f t="shared" si="4"/>
        <v>120</v>
      </c>
      <c r="M60" s="9">
        <f t="shared" si="5"/>
        <v>115</v>
      </c>
      <c r="N60" s="9">
        <f t="shared" si="6"/>
        <v>110</v>
      </c>
    </row>
    <row r="61">
      <c r="A61" s="4" t="s">
        <v>18</v>
      </c>
      <c r="B61" s="10" t="s">
        <v>105</v>
      </c>
      <c r="C61" s="5"/>
      <c r="D61" s="10" t="s">
        <v>113</v>
      </c>
      <c r="E61" s="11" t="s">
        <v>114</v>
      </c>
      <c r="F61" s="14"/>
      <c r="G61" s="12">
        <v>1100.0</v>
      </c>
      <c r="H61" s="13"/>
      <c r="I61" s="8">
        <f t="shared" si="1"/>
        <v>1650</v>
      </c>
      <c r="J61" s="8">
        <f t="shared" si="2"/>
        <v>1430</v>
      </c>
      <c r="K61" s="9">
        <f t="shared" si="3"/>
        <v>1430</v>
      </c>
      <c r="L61" s="9">
        <f t="shared" si="4"/>
        <v>1320</v>
      </c>
      <c r="M61" s="9">
        <f t="shared" si="5"/>
        <v>1265</v>
      </c>
      <c r="N61" s="9">
        <f t="shared" si="6"/>
        <v>1210</v>
      </c>
    </row>
    <row r="62">
      <c r="A62" s="4" t="s">
        <v>18</v>
      </c>
      <c r="B62" s="10" t="s">
        <v>105</v>
      </c>
      <c r="C62" s="5"/>
      <c r="D62" s="10" t="s">
        <v>115</v>
      </c>
      <c r="E62" s="11" t="s">
        <v>116</v>
      </c>
      <c r="F62" s="14"/>
      <c r="G62" s="12">
        <v>15900.0</v>
      </c>
      <c r="H62" s="13"/>
      <c r="I62" s="8">
        <f t="shared" si="1"/>
        <v>23850</v>
      </c>
      <c r="J62" s="8">
        <f t="shared" si="2"/>
        <v>20670</v>
      </c>
      <c r="K62" s="9">
        <f t="shared" si="3"/>
        <v>20670</v>
      </c>
      <c r="L62" s="9">
        <f t="shared" si="4"/>
        <v>19080</v>
      </c>
      <c r="M62" s="9">
        <f t="shared" si="5"/>
        <v>18285</v>
      </c>
      <c r="N62" s="9">
        <f t="shared" si="6"/>
        <v>17490</v>
      </c>
    </row>
    <row r="63">
      <c r="A63" s="4" t="s">
        <v>18</v>
      </c>
      <c r="B63" s="10" t="s">
        <v>105</v>
      </c>
      <c r="C63" s="5"/>
      <c r="D63" s="10" t="s">
        <v>117</v>
      </c>
      <c r="E63" s="11" t="s">
        <v>118</v>
      </c>
      <c r="F63" s="14"/>
      <c r="G63" s="12">
        <v>17100.0</v>
      </c>
      <c r="H63" s="13"/>
      <c r="I63" s="8">
        <f t="shared" si="1"/>
        <v>25650</v>
      </c>
      <c r="J63" s="8">
        <f t="shared" si="2"/>
        <v>22230</v>
      </c>
      <c r="K63" s="9">
        <f t="shared" si="3"/>
        <v>22230</v>
      </c>
      <c r="L63" s="9">
        <f t="shared" si="4"/>
        <v>20520</v>
      </c>
      <c r="M63" s="9">
        <f t="shared" si="5"/>
        <v>19665</v>
      </c>
      <c r="N63" s="9">
        <f t="shared" si="6"/>
        <v>18810</v>
      </c>
    </row>
    <row r="64">
      <c r="A64" s="4" t="s">
        <v>18</v>
      </c>
      <c r="B64" s="10" t="s">
        <v>105</v>
      </c>
      <c r="C64" s="5"/>
      <c r="D64" s="10" t="s">
        <v>119</v>
      </c>
      <c r="E64" s="11" t="s">
        <v>120</v>
      </c>
      <c r="F64" s="14"/>
      <c r="G64" s="12">
        <v>9400.0</v>
      </c>
      <c r="H64" s="13"/>
      <c r="I64" s="8">
        <f t="shared" si="1"/>
        <v>14100</v>
      </c>
      <c r="J64" s="8">
        <f t="shared" si="2"/>
        <v>12220</v>
      </c>
      <c r="K64" s="9">
        <f t="shared" si="3"/>
        <v>12220</v>
      </c>
      <c r="L64" s="9">
        <f t="shared" si="4"/>
        <v>11280</v>
      </c>
      <c r="M64" s="9">
        <f t="shared" si="5"/>
        <v>10810</v>
      </c>
      <c r="N64" s="9">
        <f t="shared" si="6"/>
        <v>10340</v>
      </c>
    </row>
    <row r="65">
      <c r="A65" s="4" t="s">
        <v>18</v>
      </c>
      <c r="B65" s="10" t="s">
        <v>105</v>
      </c>
      <c r="C65" s="5"/>
      <c r="D65" s="10" t="s">
        <v>121</v>
      </c>
      <c r="E65" s="11" t="s">
        <v>122</v>
      </c>
      <c r="F65" s="10" t="s">
        <v>108</v>
      </c>
      <c r="G65" s="12">
        <v>8750.0</v>
      </c>
      <c r="H65" s="13"/>
      <c r="I65" s="8">
        <f t="shared" si="1"/>
        <v>13125</v>
      </c>
      <c r="J65" s="8">
        <f t="shared" si="2"/>
        <v>11375</v>
      </c>
      <c r="K65" s="9">
        <f t="shared" si="3"/>
        <v>11375</v>
      </c>
      <c r="L65" s="9">
        <f t="shared" si="4"/>
        <v>10500</v>
      </c>
      <c r="M65" s="9">
        <f t="shared" si="5"/>
        <v>10062.5</v>
      </c>
      <c r="N65" s="9">
        <f t="shared" si="6"/>
        <v>9625</v>
      </c>
    </row>
    <row r="66">
      <c r="A66" s="4" t="s">
        <v>18</v>
      </c>
      <c r="B66" s="10" t="s">
        <v>105</v>
      </c>
      <c r="C66" s="5"/>
      <c r="D66" s="10" t="s">
        <v>123</v>
      </c>
      <c r="E66" s="11" t="s">
        <v>124</v>
      </c>
      <c r="F66" s="10" t="s">
        <v>108</v>
      </c>
      <c r="G66" s="12">
        <v>20800.0</v>
      </c>
      <c r="H66" s="13"/>
      <c r="I66" s="8">
        <f t="shared" si="1"/>
        <v>31200</v>
      </c>
      <c r="J66" s="8">
        <f t="shared" si="2"/>
        <v>27040</v>
      </c>
      <c r="K66" s="9">
        <f t="shared" si="3"/>
        <v>27040</v>
      </c>
      <c r="L66" s="9">
        <f t="shared" si="4"/>
        <v>24960</v>
      </c>
      <c r="M66" s="9">
        <f t="shared" si="5"/>
        <v>23920</v>
      </c>
      <c r="N66" s="9">
        <f t="shared" si="6"/>
        <v>22880</v>
      </c>
    </row>
    <row r="67">
      <c r="A67" s="4" t="s">
        <v>18</v>
      </c>
      <c r="B67" s="10" t="s">
        <v>105</v>
      </c>
      <c r="C67" s="5"/>
      <c r="D67" s="10" t="s">
        <v>125</v>
      </c>
      <c r="E67" s="11" t="s">
        <v>126</v>
      </c>
      <c r="F67" s="10" t="s">
        <v>108</v>
      </c>
      <c r="G67" s="12">
        <v>1750.0</v>
      </c>
      <c r="H67" s="13"/>
      <c r="I67" s="8">
        <f t="shared" si="1"/>
        <v>2625</v>
      </c>
      <c r="J67" s="8">
        <f t="shared" si="2"/>
        <v>2275</v>
      </c>
      <c r="K67" s="9">
        <f t="shared" si="3"/>
        <v>2275</v>
      </c>
      <c r="L67" s="9">
        <f t="shared" si="4"/>
        <v>2100</v>
      </c>
      <c r="M67" s="9">
        <f t="shared" si="5"/>
        <v>2012.5</v>
      </c>
      <c r="N67" s="9">
        <f t="shared" si="6"/>
        <v>1925</v>
      </c>
    </row>
    <row r="68">
      <c r="A68" s="4" t="s">
        <v>18</v>
      </c>
      <c r="B68" s="10" t="s">
        <v>105</v>
      </c>
      <c r="C68" s="5"/>
      <c r="D68" s="10" t="s">
        <v>127</v>
      </c>
      <c r="E68" s="11" t="s">
        <v>128</v>
      </c>
      <c r="F68" s="10" t="s">
        <v>108</v>
      </c>
      <c r="G68" s="12">
        <v>10000.0</v>
      </c>
      <c r="H68" s="13"/>
      <c r="I68" s="8">
        <f t="shared" si="1"/>
        <v>15000</v>
      </c>
      <c r="J68" s="8">
        <f t="shared" si="2"/>
        <v>13000</v>
      </c>
      <c r="K68" s="9">
        <f t="shared" si="3"/>
        <v>13000</v>
      </c>
      <c r="L68" s="9">
        <f t="shared" si="4"/>
        <v>12000</v>
      </c>
      <c r="M68" s="9">
        <f t="shared" si="5"/>
        <v>11500</v>
      </c>
      <c r="N68" s="9">
        <f t="shared" si="6"/>
        <v>11000</v>
      </c>
    </row>
    <row r="69">
      <c r="A69" s="4" t="s">
        <v>18</v>
      </c>
      <c r="B69" s="10" t="s">
        <v>105</v>
      </c>
      <c r="C69" s="5"/>
      <c r="D69" s="10" t="s">
        <v>129</v>
      </c>
      <c r="E69" s="15" t="s">
        <v>130</v>
      </c>
      <c r="F69" s="10" t="s">
        <v>108</v>
      </c>
      <c r="G69" s="12">
        <v>1750.0</v>
      </c>
      <c r="H69" s="13"/>
      <c r="I69" s="8">
        <f t="shared" si="1"/>
        <v>2625</v>
      </c>
      <c r="J69" s="8">
        <f t="shared" si="2"/>
        <v>2275</v>
      </c>
      <c r="K69" s="9">
        <f t="shared" si="3"/>
        <v>2275</v>
      </c>
      <c r="L69" s="9">
        <f t="shared" si="4"/>
        <v>2100</v>
      </c>
      <c r="M69" s="9">
        <f t="shared" si="5"/>
        <v>2012.5</v>
      </c>
      <c r="N69" s="9">
        <f t="shared" si="6"/>
        <v>1925</v>
      </c>
    </row>
    <row r="70">
      <c r="A70" s="4" t="s">
        <v>18</v>
      </c>
      <c r="B70" s="10" t="s">
        <v>105</v>
      </c>
      <c r="C70" s="5"/>
      <c r="D70" s="10" t="s">
        <v>131</v>
      </c>
      <c r="E70" s="11" t="s">
        <v>132</v>
      </c>
      <c r="F70" s="10" t="s">
        <v>108</v>
      </c>
      <c r="G70" s="12">
        <v>13250.0</v>
      </c>
      <c r="H70" s="13"/>
      <c r="I70" s="8">
        <f t="shared" si="1"/>
        <v>19875</v>
      </c>
      <c r="J70" s="8">
        <f t="shared" si="2"/>
        <v>17225</v>
      </c>
      <c r="K70" s="9">
        <f t="shared" si="3"/>
        <v>17225</v>
      </c>
      <c r="L70" s="9">
        <f t="shared" si="4"/>
        <v>15900</v>
      </c>
      <c r="M70" s="9">
        <f t="shared" si="5"/>
        <v>15237.5</v>
      </c>
      <c r="N70" s="9">
        <f t="shared" si="6"/>
        <v>14575</v>
      </c>
    </row>
    <row r="71">
      <c r="A71" s="4" t="s">
        <v>18</v>
      </c>
      <c r="B71" s="10" t="s">
        <v>105</v>
      </c>
      <c r="C71" s="5"/>
      <c r="D71" s="10" t="s">
        <v>133</v>
      </c>
      <c r="E71" s="11" t="s">
        <v>134</v>
      </c>
      <c r="F71" s="10" t="s">
        <v>108</v>
      </c>
      <c r="G71" s="12">
        <v>2900.0</v>
      </c>
      <c r="H71" s="13"/>
      <c r="I71" s="8">
        <f t="shared" si="1"/>
        <v>4350</v>
      </c>
      <c r="J71" s="8">
        <f t="shared" si="2"/>
        <v>3770</v>
      </c>
      <c r="K71" s="9">
        <f t="shared" si="3"/>
        <v>3770</v>
      </c>
      <c r="L71" s="9">
        <f t="shared" si="4"/>
        <v>3480</v>
      </c>
      <c r="M71" s="9">
        <f t="shared" si="5"/>
        <v>3335</v>
      </c>
      <c r="N71" s="9">
        <f t="shared" si="6"/>
        <v>3190</v>
      </c>
    </row>
    <row r="72">
      <c r="A72" s="4" t="s">
        <v>18</v>
      </c>
      <c r="B72" s="10" t="s">
        <v>105</v>
      </c>
      <c r="C72" s="5"/>
      <c r="D72" s="10" t="s">
        <v>135</v>
      </c>
      <c r="E72" s="11" t="s">
        <v>136</v>
      </c>
      <c r="F72" s="10" t="s">
        <v>108</v>
      </c>
      <c r="G72" s="12">
        <v>2900.0</v>
      </c>
      <c r="H72" s="13"/>
      <c r="I72" s="8">
        <f t="shared" si="1"/>
        <v>4350</v>
      </c>
      <c r="J72" s="8">
        <f t="shared" si="2"/>
        <v>3770</v>
      </c>
      <c r="K72" s="9">
        <f t="shared" si="3"/>
        <v>3770</v>
      </c>
      <c r="L72" s="9">
        <f t="shared" si="4"/>
        <v>3480</v>
      </c>
      <c r="M72" s="9">
        <f t="shared" si="5"/>
        <v>3335</v>
      </c>
      <c r="N72" s="9">
        <f t="shared" si="6"/>
        <v>3190</v>
      </c>
    </row>
    <row r="73">
      <c r="A73" s="4" t="s">
        <v>18</v>
      </c>
      <c r="B73" s="10" t="s">
        <v>105</v>
      </c>
      <c r="C73" s="5"/>
      <c r="D73" s="10" t="s">
        <v>137</v>
      </c>
      <c r="E73" s="16" t="s">
        <v>138</v>
      </c>
      <c r="F73" s="10" t="s">
        <v>139</v>
      </c>
      <c r="G73" s="12">
        <v>1750.0</v>
      </c>
      <c r="H73" s="13"/>
      <c r="I73" s="8">
        <f t="shared" si="1"/>
        <v>2625</v>
      </c>
      <c r="J73" s="8">
        <f t="shared" si="2"/>
        <v>2275</v>
      </c>
      <c r="K73" s="9">
        <f t="shared" si="3"/>
        <v>2275</v>
      </c>
      <c r="L73" s="9">
        <f t="shared" si="4"/>
        <v>2100</v>
      </c>
      <c r="M73" s="9">
        <f t="shared" si="5"/>
        <v>2012.5</v>
      </c>
      <c r="N73" s="9">
        <f t="shared" si="6"/>
        <v>1925</v>
      </c>
    </row>
    <row r="74">
      <c r="A74" s="4" t="s">
        <v>18</v>
      </c>
      <c r="B74" s="10" t="s">
        <v>105</v>
      </c>
      <c r="C74" s="5"/>
      <c r="D74" s="10" t="s">
        <v>140</v>
      </c>
      <c r="E74" s="11" t="s">
        <v>141</v>
      </c>
      <c r="F74" s="10" t="s">
        <v>142</v>
      </c>
      <c r="G74" s="12">
        <v>1750.0</v>
      </c>
      <c r="H74" s="13"/>
      <c r="I74" s="8">
        <f t="shared" si="1"/>
        <v>2625</v>
      </c>
      <c r="J74" s="8">
        <f t="shared" si="2"/>
        <v>2275</v>
      </c>
      <c r="K74" s="9">
        <f t="shared" si="3"/>
        <v>2275</v>
      </c>
      <c r="L74" s="9">
        <f t="shared" si="4"/>
        <v>2100</v>
      </c>
      <c r="M74" s="9">
        <f t="shared" si="5"/>
        <v>2012.5</v>
      </c>
      <c r="N74" s="9">
        <f t="shared" si="6"/>
        <v>1925</v>
      </c>
    </row>
    <row r="75">
      <c r="A75" s="4" t="s">
        <v>18</v>
      </c>
      <c r="B75" s="10" t="s">
        <v>105</v>
      </c>
      <c r="C75" s="5"/>
      <c r="D75" s="10" t="s">
        <v>143</v>
      </c>
      <c r="E75" s="11" t="s">
        <v>144</v>
      </c>
      <c r="F75" s="17" t="s">
        <v>139</v>
      </c>
      <c r="G75" s="12">
        <v>4850.0</v>
      </c>
      <c r="H75" s="13"/>
      <c r="I75" s="8">
        <f t="shared" si="1"/>
        <v>7275</v>
      </c>
      <c r="J75" s="8">
        <f t="shared" si="2"/>
        <v>6305</v>
      </c>
      <c r="K75" s="9">
        <f t="shared" si="3"/>
        <v>6305</v>
      </c>
      <c r="L75" s="9">
        <f t="shared" si="4"/>
        <v>5820</v>
      </c>
      <c r="M75" s="9">
        <f t="shared" si="5"/>
        <v>5577.5</v>
      </c>
      <c r="N75" s="9">
        <f t="shared" si="6"/>
        <v>5335</v>
      </c>
    </row>
    <row r="76">
      <c r="A76" s="4" t="s">
        <v>18</v>
      </c>
      <c r="B76" s="10" t="s">
        <v>105</v>
      </c>
      <c r="C76" s="5"/>
      <c r="D76" s="10" t="s">
        <v>145</v>
      </c>
      <c r="E76" s="11" t="s">
        <v>146</v>
      </c>
      <c r="F76" s="18"/>
      <c r="G76" s="12">
        <v>4850.0</v>
      </c>
      <c r="H76" s="13"/>
      <c r="I76" s="8">
        <f t="shared" si="1"/>
        <v>7275</v>
      </c>
      <c r="J76" s="8">
        <f t="shared" si="2"/>
        <v>6305</v>
      </c>
      <c r="K76" s="9">
        <f t="shared" si="3"/>
        <v>6305</v>
      </c>
      <c r="L76" s="9">
        <f t="shared" si="4"/>
        <v>5820</v>
      </c>
      <c r="M76" s="9">
        <f t="shared" si="5"/>
        <v>5577.5</v>
      </c>
      <c r="N76" s="9">
        <f t="shared" si="6"/>
        <v>5335</v>
      </c>
    </row>
    <row r="77">
      <c r="A77" s="4" t="s">
        <v>18</v>
      </c>
      <c r="B77" s="10" t="s">
        <v>105</v>
      </c>
      <c r="C77" s="5"/>
      <c r="D77" s="10" t="s">
        <v>147</v>
      </c>
      <c r="E77" s="11" t="s">
        <v>148</v>
      </c>
      <c r="F77" s="19"/>
      <c r="G77" s="12">
        <v>4850.0</v>
      </c>
      <c r="H77" s="13"/>
      <c r="I77" s="8">
        <f t="shared" si="1"/>
        <v>7275</v>
      </c>
      <c r="J77" s="8">
        <f t="shared" si="2"/>
        <v>6305</v>
      </c>
      <c r="K77" s="9">
        <f t="shared" si="3"/>
        <v>6305</v>
      </c>
      <c r="L77" s="9">
        <f t="shared" si="4"/>
        <v>5820</v>
      </c>
      <c r="M77" s="9">
        <f t="shared" si="5"/>
        <v>5577.5</v>
      </c>
      <c r="N77" s="9">
        <f t="shared" si="6"/>
        <v>5335</v>
      </c>
    </row>
    <row r="78">
      <c r="A78" s="4" t="s">
        <v>18</v>
      </c>
      <c r="B78" s="10" t="s">
        <v>105</v>
      </c>
      <c r="C78" s="5"/>
      <c r="D78" s="10" t="s">
        <v>149</v>
      </c>
      <c r="E78" s="11" t="s">
        <v>150</v>
      </c>
      <c r="F78" s="10" t="s">
        <v>151</v>
      </c>
      <c r="G78" s="12">
        <v>8650.0</v>
      </c>
      <c r="H78" s="13"/>
      <c r="I78" s="8">
        <f t="shared" si="1"/>
        <v>12975</v>
      </c>
      <c r="J78" s="8">
        <f t="shared" si="2"/>
        <v>11245</v>
      </c>
      <c r="K78" s="9">
        <f t="shared" si="3"/>
        <v>11245</v>
      </c>
      <c r="L78" s="9">
        <f t="shared" si="4"/>
        <v>10380</v>
      </c>
      <c r="M78" s="9">
        <f t="shared" si="5"/>
        <v>9947.5</v>
      </c>
      <c r="N78" s="9">
        <f t="shared" si="6"/>
        <v>9515</v>
      </c>
    </row>
    <row r="79">
      <c r="A79" s="4" t="s">
        <v>18</v>
      </c>
      <c r="B79" s="10" t="s">
        <v>105</v>
      </c>
      <c r="C79" s="5"/>
      <c r="D79" s="10" t="s">
        <v>152</v>
      </c>
      <c r="E79" s="11" t="s">
        <v>153</v>
      </c>
      <c r="F79" s="10" t="s">
        <v>151</v>
      </c>
      <c r="G79" s="12">
        <v>6600.0</v>
      </c>
      <c r="H79" s="13"/>
      <c r="I79" s="8">
        <f t="shared" si="1"/>
        <v>9900</v>
      </c>
      <c r="J79" s="8">
        <f t="shared" si="2"/>
        <v>8580</v>
      </c>
      <c r="K79" s="9">
        <f t="shared" si="3"/>
        <v>8580</v>
      </c>
      <c r="L79" s="9">
        <f t="shared" si="4"/>
        <v>7920</v>
      </c>
      <c r="M79" s="9">
        <f t="shared" si="5"/>
        <v>7590</v>
      </c>
      <c r="N79" s="9">
        <f t="shared" si="6"/>
        <v>7260</v>
      </c>
    </row>
    <row r="80">
      <c r="A80" s="4" t="s">
        <v>18</v>
      </c>
      <c r="B80" s="10" t="s">
        <v>105</v>
      </c>
      <c r="C80" s="5"/>
      <c r="D80" s="10" t="s">
        <v>154</v>
      </c>
      <c r="E80" s="11" t="s">
        <v>155</v>
      </c>
      <c r="F80" s="10" t="s">
        <v>151</v>
      </c>
      <c r="G80" s="12">
        <v>9000.0</v>
      </c>
      <c r="H80" s="13"/>
      <c r="I80" s="8">
        <f t="shared" si="1"/>
        <v>13500</v>
      </c>
      <c r="J80" s="8">
        <f t="shared" si="2"/>
        <v>11700</v>
      </c>
      <c r="K80" s="9">
        <f t="shared" si="3"/>
        <v>11700</v>
      </c>
      <c r="L80" s="9">
        <f t="shared" si="4"/>
        <v>10800</v>
      </c>
      <c r="M80" s="9">
        <f t="shared" si="5"/>
        <v>10350</v>
      </c>
      <c r="N80" s="9">
        <f t="shared" si="6"/>
        <v>9900</v>
      </c>
    </row>
    <row r="81">
      <c r="A81" s="4" t="s">
        <v>18</v>
      </c>
      <c r="B81" s="10" t="s">
        <v>105</v>
      </c>
      <c r="C81" s="5"/>
      <c r="D81" s="10" t="s">
        <v>156</v>
      </c>
      <c r="E81" s="11" t="s">
        <v>157</v>
      </c>
      <c r="F81" s="10" t="s">
        <v>151</v>
      </c>
      <c r="G81" s="12">
        <v>11500.0</v>
      </c>
      <c r="H81" s="13"/>
      <c r="I81" s="8">
        <f t="shared" si="1"/>
        <v>17250</v>
      </c>
      <c r="J81" s="8">
        <f t="shared" si="2"/>
        <v>14950</v>
      </c>
      <c r="K81" s="9">
        <f t="shared" si="3"/>
        <v>14950</v>
      </c>
      <c r="L81" s="9">
        <f t="shared" si="4"/>
        <v>13800</v>
      </c>
      <c r="M81" s="9">
        <f t="shared" si="5"/>
        <v>13225</v>
      </c>
      <c r="N81" s="9">
        <f t="shared" si="6"/>
        <v>12650</v>
      </c>
    </row>
    <row r="82">
      <c r="A82" s="4" t="s">
        <v>18</v>
      </c>
      <c r="B82" s="10" t="s">
        <v>105</v>
      </c>
      <c r="C82" s="5"/>
      <c r="D82" s="10" t="s">
        <v>158</v>
      </c>
      <c r="E82" s="11" t="s">
        <v>159</v>
      </c>
      <c r="F82" s="10" t="s">
        <v>151</v>
      </c>
      <c r="G82" s="12">
        <v>11500.0</v>
      </c>
      <c r="H82" s="13"/>
      <c r="I82" s="8">
        <f t="shared" si="1"/>
        <v>17250</v>
      </c>
      <c r="J82" s="8">
        <f t="shared" si="2"/>
        <v>14950</v>
      </c>
      <c r="K82" s="9">
        <f t="shared" si="3"/>
        <v>14950</v>
      </c>
      <c r="L82" s="9">
        <f t="shared" si="4"/>
        <v>13800</v>
      </c>
      <c r="M82" s="9">
        <f t="shared" si="5"/>
        <v>13225</v>
      </c>
      <c r="N82" s="9">
        <f t="shared" si="6"/>
        <v>12650</v>
      </c>
    </row>
    <row r="83">
      <c r="A83" s="4" t="s">
        <v>18</v>
      </c>
      <c r="B83" s="10" t="s">
        <v>105</v>
      </c>
      <c r="C83" s="5"/>
      <c r="D83" s="10" t="s">
        <v>160</v>
      </c>
      <c r="E83" s="11" t="s">
        <v>161</v>
      </c>
      <c r="F83" s="10" t="s">
        <v>151</v>
      </c>
      <c r="G83" s="12">
        <v>12650.0</v>
      </c>
      <c r="H83" s="13"/>
      <c r="I83" s="8">
        <f t="shared" si="1"/>
        <v>18975</v>
      </c>
      <c r="J83" s="8">
        <f t="shared" si="2"/>
        <v>16445</v>
      </c>
      <c r="K83" s="9">
        <f t="shared" si="3"/>
        <v>16445</v>
      </c>
      <c r="L83" s="9">
        <f t="shared" si="4"/>
        <v>15180</v>
      </c>
      <c r="M83" s="9">
        <f t="shared" si="5"/>
        <v>14547.5</v>
      </c>
      <c r="N83" s="9">
        <f t="shared" si="6"/>
        <v>13915</v>
      </c>
    </row>
    <row r="84">
      <c r="A84" s="4" t="s">
        <v>18</v>
      </c>
      <c r="B84" s="10" t="s">
        <v>105</v>
      </c>
      <c r="C84" s="5"/>
      <c r="D84" s="10" t="s">
        <v>162</v>
      </c>
      <c r="E84" s="11" t="s">
        <v>163</v>
      </c>
      <c r="F84" s="10" t="s">
        <v>151</v>
      </c>
      <c r="G84" s="12">
        <v>600.0</v>
      </c>
      <c r="H84" s="13"/>
      <c r="I84" s="8">
        <f t="shared" si="1"/>
        <v>900</v>
      </c>
      <c r="J84" s="8">
        <f t="shared" si="2"/>
        <v>780</v>
      </c>
      <c r="K84" s="9">
        <f t="shared" si="3"/>
        <v>780</v>
      </c>
      <c r="L84" s="9">
        <f t="shared" si="4"/>
        <v>720</v>
      </c>
      <c r="M84" s="9">
        <f t="shared" si="5"/>
        <v>690</v>
      </c>
      <c r="N84" s="9">
        <f t="shared" si="6"/>
        <v>660</v>
      </c>
    </row>
    <row r="85">
      <c r="A85" s="4" t="s">
        <v>18</v>
      </c>
      <c r="B85" s="10" t="s">
        <v>105</v>
      </c>
      <c r="C85" s="5"/>
      <c r="D85" s="10" t="s">
        <v>164</v>
      </c>
      <c r="E85" s="11" t="s">
        <v>165</v>
      </c>
      <c r="F85" s="10" t="s">
        <v>151</v>
      </c>
      <c r="G85" s="12">
        <v>28800.0</v>
      </c>
      <c r="H85" s="13"/>
      <c r="I85" s="8">
        <f t="shared" si="1"/>
        <v>43200</v>
      </c>
      <c r="J85" s="8">
        <f t="shared" si="2"/>
        <v>37440</v>
      </c>
      <c r="K85" s="9">
        <f t="shared" si="3"/>
        <v>37440</v>
      </c>
      <c r="L85" s="9">
        <f t="shared" si="4"/>
        <v>34560</v>
      </c>
      <c r="M85" s="9">
        <f t="shared" si="5"/>
        <v>33120</v>
      </c>
      <c r="N85" s="9">
        <f t="shared" si="6"/>
        <v>31680</v>
      </c>
    </row>
    <row r="86">
      <c r="A86" s="4" t="s">
        <v>18</v>
      </c>
      <c r="B86" s="10" t="s">
        <v>105</v>
      </c>
      <c r="C86" s="5"/>
      <c r="D86" s="10" t="s">
        <v>166</v>
      </c>
      <c r="E86" s="11" t="s">
        <v>167</v>
      </c>
      <c r="F86" s="10" t="s">
        <v>151</v>
      </c>
      <c r="G86" s="12">
        <v>9200.0</v>
      </c>
      <c r="H86" s="13"/>
      <c r="I86" s="8">
        <f t="shared" si="1"/>
        <v>13800</v>
      </c>
      <c r="J86" s="8">
        <f t="shared" si="2"/>
        <v>11960</v>
      </c>
      <c r="K86" s="9">
        <f t="shared" si="3"/>
        <v>11960</v>
      </c>
      <c r="L86" s="9">
        <f t="shared" si="4"/>
        <v>11040</v>
      </c>
      <c r="M86" s="9">
        <f t="shared" si="5"/>
        <v>10580</v>
      </c>
      <c r="N86" s="9">
        <f t="shared" si="6"/>
        <v>10120</v>
      </c>
    </row>
    <row r="87">
      <c r="A87" s="4" t="s">
        <v>18</v>
      </c>
      <c r="B87" s="10" t="s">
        <v>105</v>
      </c>
      <c r="C87" s="5"/>
      <c r="D87" s="10" t="s">
        <v>168</v>
      </c>
      <c r="E87" s="11" t="s">
        <v>169</v>
      </c>
      <c r="F87" s="10" t="s">
        <v>151</v>
      </c>
      <c r="G87" s="12">
        <v>10650.0</v>
      </c>
      <c r="H87" s="13"/>
      <c r="I87" s="8">
        <f t="shared" si="1"/>
        <v>15975</v>
      </c>
      <c r="J87" s="8">
        <f t="shared" si="2"/>
        <v>13845</v>
      </c>
      <c r="K87" s="9">
        <f t="shared" si="3"/>
        <v>13845</v>
      </c>
      <c r="L87" s="9">
        <f t="shared" si="4"/>
        <v>12780</v>
      </c>
      <c r="M87" s="9">
        <f t="shared" si="5"/>
        <v>12247.5</v>
      </c>
      <c r="N87" s="9">
        <f t="shared" si="6"/>
        <v>11715</v>
      </c>
    </row>
    <row r="88">
      <c r="A88" s="4" t="s">
        <v>18</v>
      </c>
      <c r="B88" s="10" t="s">
        <v>105</v>
      </c>
      <c r="C88" s="5"/>
      <c r="D88" s="10" t="s">
        <v>170</v>
      </c>
      <c r="E88" s="11" t="s">
        <v>171</v>
      </c>
      <c r="F88" s="10" t="s">
        <v>151</v>
      </c>
      <c r="G88" s="12">
        <v>3800.0</v>
      </c>
      <c r="H88" s="13"/>
      <c r="I88" s="8">
        <f t="shared" si="1"/>
        <v>5700</v>
      </c>
      <c r="J88" s="8">
        <f t="shared" si="2"/>
        <v>4940</v>
      </c>
      <c r="K88" s="9">
        <f t="shared" si="3"/>
        <v>4940</v>
      </c>
      <c r="L88" s="9">
        <f t="shared" si="4"/>
        <v>4560</v>
      </c>
      <c r="M88" s="9">
        <f t="shared" si="5"/>
        <v>4370</v>
      </c>
      <c r="N88" s="9">
        <f t="shared" si="6"/>
        <v>4180</v>
      </c>
    </row>
    <row r="89">
      <c r="A89" s="4" t="s">
        <v>18</v>
      </c>
      <c r="B89" s="10" t="s">
        <v>105</v>
      </c>
      <c r="C89" s="5"/>
      <c r="D89" s="10" t="s">
        <v>172</v>
      </c>
      <c r="E89" s="11" t="s">
        <v>173</v>
      </c>
      <c r="F89" s="10" t="s">
        <v>174</v>
      </c>
      <c r="G89" s="12">
        <v>1400.0</v>
      </c>
      <c r="H89" s="13"/>
      <c r="I89" s="8">
        <f t="shared" si="1"/>
        <v>2100</v>
      </c>
      <c r="J89" s="8">
        <f t="shared" si="2"/>
        <v>1820</v>
      </c>
      <c r="K89" s="9">
        <f t="shared" si="3"/>
        <v>1820</v>
      </c>
      <c r="L89" s="9">
        <f t="shared" si="4"/>
        <v>1680</v>
      </c>
      <c r="M89" s="9">
        <f t="shared" si="5"/>
        <v>1610</v>
      </c>
      <c r="N89" s="9">
        <f t="shared" si="6"/>
        <v>1540</v>
      </c>
    </row>
    <row r="90">
      <c r="A90" s="4" t="s">
        <v>18</v>
      </c>
      <c r="B90" s="10" t="s">
        <v>105</v>
      </c>
      <c r="C90" s="5"/>
      <c r="D90" s="10" t="s">
        <v>175</v>
      </c>
      <c r="E90" s="11" t="s">
        <v>176</v>
      </c>
      <c r="F90" s="10" t="s">
        <v>174</v>
      </c>
      <c r="G90" s="12">
        <v>1400.0</v>
      </c>
      <c r="H90" s="13"/>
      <c r="I90" s="8">
        <f t="shared" si="1"/>
        <v>2100</v>
      </c>
      <c r="J90" s="8">
        <f t="shared" si="2"/>
        <v>1820</v>
      </c>
      <c r="K90" s="9">
        <f t="shared" si="3"/>
        <v>1820</v>
      </c>
      <c r="L90" s="9">
        <f t="shared" si="4"/>
        <v>1680</v>
      </c>
      <c r="M90" s="9">
        <f t="shared" si="5"/>
        <v>1610</v>
      </c>
      <c r="N90" s="9">
        <f t="shared" si="6"/>
        <v>1540</v>
      </c>
    </row>
    <row r="91">
      <c r="A91" s="4" t="s">
        <v>18</v>
      </c>
      <c r="B91" s="10" t="s">
        <v>105</v>
      </c>
      <c r="C91" s="5"/>
      <c r="D91" s="10" t="s">
        <v>177</v>
      </c>
      <c r="E91" s="11" t="s">
        <v>178</v>
      </c>
      <c r="F91" s="10" t="s">
        <v>179</v>
      </c>
      <c r="G91" s="12">
        <v>1400.0</v>
      </c>
      <c r="H91" s="13"/>
      <c r="I91" s="8">
        <f t="shared" si="1"/>
        <v>2100</v>
      </c>
      <c r="J91" s="8">
        <f t="shared" si="2"/>
        <v>1820</v>
      </c>
      <c r="K91" s="9">
        <f t="shared" si="3"/>
        <v>1820</v>
      </c>
      <c r="L91" s="9">
        <f t="shared" si="4"/>
        <v>1680</v>
      </c>
      <c r="M91" s="9">
        <f t="shared" si="5"/>
        <v>1610</v>
      </c>
      <c r="N91" s="9">
        <f t="shared" si="6"/>
        <v>1540</v>
      </c>
    </row>
    <row r="92">
      <c r="A92" s="4" t="s">
        <v>18</v>
      </c>
      <c r="B92" s="10" t="s">
        <v>105</v>
      </c>
      <c r="C92" s="5"/>
      <c r="D92" s="10" t="s">
        <v>180</v>
      </c>
      <c r="E92" s="11" t="s">
        <v>181</v>
      </c>
      <c r="F92" s="10" t="s">
        <v>179</v>
      </c>
      <c r="G92" s="12">
        <v>1400.0</v>
      </c>
      <c r="H92" s="13"/>
      <c r="I92" s="8">
        <f t="shared" si="1"/>
        <v>2100</v>
      </c>
      <c r="J92" s="8">
        <f t="shared" si="2"/>
        <v>1820</v>
      </c>
      <c r="K92" s="9">
        <f t="shared" si="3"/>
        <v>1820</v>
      </c>
      <c r="L92" s="9">
        <f t="shared" si="4"/>
        <v>1680</v>
      </c>
      <c r="M92" s="9">
        <f t="shared" si="5"/>
        <v>1610</v>
      </c>
      <c r="N92" s="9">
        <f t="shared" si="6"/>
        <v>1540</v>
      </c>
    </row>
    <row r="93">
      <c r="A93" s="4" t="s">
        <v>18</v>
      </c>
      <c r="B93" s="10" t="s">
        <v>105</v>
      </c>
      <c r="C93" s="5"/>
      <c r="D93" s="10" t="s">
        <v>182</v>
      </c>
      <c r="E93" s="11" t="s">
        <v>183</v>
      </c>
      <c r="F93" s="10" t="s">
        <v>151</v>
      </c>
      <c r="G93" s="12">
        <v>2300.0</v>
      </c>
      <c r="H93" s="13"/>
      <c r="I93" s="8">
        <f t="shared" si="1"/>
        <v>3450</v>
      </c>
      <c r="J93" s="8">
        <f t="shared" si="2"/>
        <v>2990</v>
      </c>
      <c r="K93" s="9">
        <f t="shared" si="3"/>
        <v>2990</v>
      </c>
      <c r="L93" s="9">
        <f t="shared" si="4"/>
        <v>2760</v>
      </c>
      <c r="M93" s="9">
        <f t="shared" si="5"/>
        <v>2645</v>
      </c>
      <c r="N93" s="9">
        <f t="shared" si="6"/>
        <v>2530</v>
      </c>
    </row>
    <row r="94">
      <c r="A94" s="4" t="s">
        <v>18</v>
      </c>
      <c r="B94" s="10" t="s">
        <v>105</v>
      </c>
      <c r="C94" s="5"/>
      <c r="D94" s="10" t="s">
        <v>184</v>
      </c>
      <c r="E94" s="11" t="s">
        <v>185</v>
      </c>
      <c r="F94" s="10" t="s">
        <v>151</v>
      </c>
      <c r="G94" s="12">
        <v>2500.0</v>
      </c>
      <c r="H94" s="13"/>
      <c r="I94" s="8">
        <f t="shared" si="1"/>
        <v>3750</v>
      </c>
      <c r="J94" s="8">
        <f t="shared" si="2"/>
        <v>3250</v>
      </c>
      <c r="K94" s="9">
        <f t="shared" si="3"/>
        <v>3250</v>
      </c>
      <c r="L94" s="9">
        <f t="shared" si="4"/>
        <v>3000</v>
      </c>
      <c r="M94" s="9">
        <f t="shared" si="5"/>
        <v>2875</v>
      </c>
      <c r="N94" s="9">
        <f t="shared" si="6"/>
        <v>2750</v>
      </c>
    </row>
    <row r="95">
      <c r="A95" s="4" t="s">
        <v>18</v>
      </c>
      <c r="B95" s="10" t="s">
        <v>105</v>
      </c>
      <c r="C95" s="5"/>
      <c r="D95" s="10" t="s">
        <v>186</v>
      </c>
      <c r="E95" s="11" t="s">
        <v>187</v>
      </c>
      <c r="F95" s="10" t="s">
        <v>151</v>
      </c>
      <c r="G95" s="12">
        <v>3800.0</v>
      </c>
      <c r="H95" s="13"/>
      <c r="I95" s="8">
        <f t="shared" si="1"/>
        <v>5700</v>
      </c>
      <c r="J95" s="8">
        <f t="shared" si="2"/>
        <v>4940</v>
      </c>
      <c r="K95" s="9">
        <f t="shared" si="3"/>
        <v>4940</v>
      </c>
      <c r="L95" s="9">
        <f t="shared" si="4"/>
        <v>4560</v>
      </c>
      <c r="M95" s="9">
        <f t="shared" si="5"/>
        <v>4370</v>
      </c>
      <c r="N95" s="9">
        <f t="shared" si="6"/>
        <v>4180</v>
      </c>
    </row>
    <row r="96">
      <c r="A96" s="4" t="s">
        <v>18</v>
      </c>
      <c r="B96" s="10" t="s">
        <v>105</v>
      </c>
      <c r="C96" s="5"/>
      <c r="D96" s="10" t="s">
        <v>188</v>
      </c>
      <c r="E96" s="11" t="s">
        <v>189</v>
      </c>
      <c r="F96" s="10" t="s">
        <v>151</v>
      </c>
      <c r="G96" s="12">
        <v>5550.0</v>
      </c>
      <c r="H96" s="13"/>
      <c r="I96" s="8">
        <f t="shared" si="1"/>
        <v>8325</v>
      </c>
      <c r="J96" s="8">
        <f t="shared" si="2"/>
        <v>7215</v>
      </c>
      <c r="K96" s="9">
        <f t="shared" si="3"/>
        <v>7215</v>
      </c>
      <c r="L96" s="9">
        <f t="shared" si="4"/>
        <v>6660</v>
      </c>
      <c r="M96" s="9">
        <f t="shared" si="5"/>
        <v>6382.5</v>
      </c>
      <c r="N96" s="9">
        <f t="shared" si="6"/>
        <v>6105</v>
      </c>
    </row>
    <row r="97">
      <c r="A97" s="4" t="s">
        <v>18</v>
      </c>
      <c r="B97" s="10" t="s">
        <v>105</v>
      </c>
      <c r="C97" s="5"/>
      <c r="D97" s="10" t="s">
        <v>190</v>
      </c>
      <c r="E97" s="11" t="s">
        <v>191</v>
      </c>
      <c r="F97" s="10" t="s">
        <v>151</v>
      </c>
      <c r="G97" s="12">
        <v>3450.0</v>
      </c>
      <c r="H97" s="13"/>
      <c r="I97" s="8">
        <f t="shared" si="1"/>
        <v>5175</v>
      </c>
      <c r="J97" s="8">
        <f t="shared" si="2"/>
        <v>4485</v>
      </c>
      <c r="K97" s="9">
        <f t="shared" si="3"/>
        <v>4485</v>
      </c>
      <c r="L97" s="9">
        <f t="shared" si="4"/>
        <v>4140</v>
      </c>
      <c r="M97" s="9">
        <f t="shared" si="5"/>
        <v>3967.5</v>
      </c>
      <c r="N97" s="9">
        <f t="shared" si="6"/>
        <v>3795</v>
      </c>
    </row>
    <row r="98">
      <c r="A98" s="4" t="s">
        <v>18</v>
      </c>
      <c r="B98" s="10" t="s">
        <v>105</v>
      </c>
      <c r="C98" s="5"/>
      <c r="D98" s="10" t="s">
        <v>192</v>
      </c>
      <c r="E98" s="11" t="s">
        <v>193</v>
      </c>
      <c r="F98" s="10" t="s">
        <v>179</v>
      </c>
      <c r="G98" s="12">
        <v>3450.0</v>
      </c>
      <c r="H98" s="13"/>
      <c r="I98" s="8">
        <f t="shared" si="1"/>
        <v>5175</v>
      </c>
      <c r="J98" s="8">
        <f t="shared" si="2"/>
        <v>4485</v>
      </c>
      <c r="K98" s="9">
        <f t="shared" si="3"/>
        <v>4485</v>
      </c>
      <c r="L98" s="9">
        <f t="shared" si="4"/>
        <v>4140</v>
      </c>
      <c r="M98" s="9">
        <f t="shared" si="5"/>
        <v>3967.5</v>
      </c>
      <c r="N98" s="9">
        <f t="shared" si="6"/>
        <v>3795</v>
      </c>
    </row>
    <row r="99">
      <c r="A99" s="4" t="s">
        <v>18</v>
      </c>
      <c r="B99" s="10" t="s">
        <v>105</v>
      </c>
      <c r="C99" s="5"/>
      <c r="D99" s="10" t="s">
        <v>194</v>
      </c>
      <c r="E99" s="11" t="s">
        <v>195</v>
      </c>
      <c r="F99" s="10" t="s">
        <v>174</v>
      </c>
      <c r="G99" s="12">
        <v>3450.0</v>
      </c>
      <c r="H99" s="13"/>
      <c r="I99" s="8">
        <f t="shared" si="1"/>
        <v>5175</v>
      </c>
      <c r="J99" s="8">
        <f t="shared" si="2"/>
        <v>4485</v>
      </c>
      <c r="K99" s="9">
        <f t="shared" si="3"/>
        <v>4485</v>
      </c>
      <c r="L99" s="9">
        <f t="shared" si="4"/>
        <v>4140</v>
      </c>
      <c r="M99" s="9">
        <f t="shared" si="5"/>
        <v>3967.5</v>
      </c>
      <c r="N99" s="9">
        <f t="shared" si="6"/>
        <v>3795</v>
      </c>
    </row>
    <row r="100">
      <c r="A100" s="4" t="s">
        <v>18</v>
      </c>
      <c r="B100" s="10" t="s">
        <v>105</v>
      </c>
      <c r="C100" s="20" t="s">
        <v>196</v>
      </c>
      <c r="D100" s="20" t="s">
        <v>197</v>
      </c>
      <c r="E100" s="21" t="s">
        <v>198</v>
      </c>
      <c r="F100" s="20" t="s">
        <v>199</v>
      </c>
      <c r="G100" s="12">
        <v>10750.0</v>
      </c>
      <c r="H100" s="12"/>
      <c r="I100" s="8">
        <f t="shared" si="1"/>
        <v>16125</v>
      </c>
      <c r="J100" s="8">
        <f t="shared" si="2"/>
        <v>13975</v>
      </c>
      <c r="K100" s="9">
        <f t="shared" si="3"/>
        <v>13975</v>
      </c>
      <c r="L100" s="9">
        <f t="shared" si="4"/>
        <v>12900</v>
      </c>
      <c r="M100" s="9">
        <f t="shared" si="5"/>
        <v>12362.5</v>
      </c>
      <c r="N100" s="9">
        <f t="shared" si="6"/>
        <v>11825</v>
      </c>
    </row>
    <row r="101">
      <c r="A101" s="4" t="s">
        <v>18</v>
      </c>
      <c r="B101" s="10" t="s">
        <v>105</v>
      </c>
      <c r="C101" s="20" t="s">
        <v>196</v>
      </c>
      <c r="D101" s="20" t="s">
        <v>200</v>
      </c>
      <c r="E101" s="21" t="s">
        <v>201</v>
      </c>
      <c r="F101" s="20" t="s">
        <v>199</v>
      </c>
      <c r="G101" s="12">
        <v>6950.0</v>
      </c>
      <c r="H101" s="12"/>
      <c r="I101" s="8">
        <f t="shared" si="1"/>
        <v>10425</v>
      </c>
      <c r="J101" s="8">
        <f t="shared" si="2"/>
        <v>9035</v>
      </c>
      <c r="K101" s="9">
        <f t="shared" si="3"/>
        <v>9035</v>
      </c>
      <c r="L101" s="9">
        <f t="shared" si="4"/>
        <v>8340</v>
      </c>
      <c r="M101" s="9">
        <f t="shared" si="5"/>
        <v>7992.5</v>
      </c>
      <c r="N101" s="9">
        <f t="shared" si="6"/>
        <v>7645</v>
      </c>
    </row>
    <row r="102">
      <c r="A102" s="4" t="s">
        <v>18</v>
      </c>
      <c r="B102" s="10" t="s">
        <v>105</v>
      </c>
      <c r="C102" s="20" t="s">
        <v>196</v>
      </c>
      <c r="D102" s="20" t="s">
        <v>202</v>
      </c>
      <c r="E102" s="22" t="s">
        <v>203</v>
      </c>
      <c r="F102" s="20" t="s">
        <v>199</v>
      </c>
      <c r="G102" s="12">
        <v>3850.0</v>
      </c>
      <c r="H102" s="12"/>
      <c r="I102" s="8">
        <f t="shared" si="1"/>
        <v>5775</v>
      </c>
      <c r="J102" s="8">
        <f t="shared" si="2"/>
        <v>5005</v>
      </c>
      <c r="K102" s="9">
        <f t="shared" si="3"/>
        <v>5005</v>
      </c>
      <c r="L102" s="9">
        <f t="shared" si="4"/>
        <v>4620</v>
      </c>
      <c r="M102" s="9">
        <f t="shared" si="5"/>
        <v>4427.5</v>
      </c>
      <c r="N102" s="9">
        <f t="shared" si="6"/>
        <v>4235</v>
      </c>
    </row>
    <row r="103">
      <c r="A103" s="4" t="s">
        <v>18</v>
      </c>
      <c r="B103" s="10" t="s">
        <v>105</v>
      </c>
      <c r="C103" s="20" t="s">
        <v>196</v>
      </c>
      <c r="D103" s="20" t="s">
        <v>204</v>
      </c>
      <c r="E103" s="23" t="s">
        <v>205</v>
      </c>
      <c r="F103" s="20" t="s">
        <v>199</v>
      </c>
      <c r="G103" s="12">
        <v>19100.0</v>
      </c>
      <c r="H103" s="12"/>
      <c r="I103" s="8">
        <f t="shared" si="1"/>
        <v>28650</v>
      </c>
      <c r="J103" s="8">
        <f t="shared" si="2"/>
        <v>24830</v>
      </c>
      <c r="K103" s="9">
        <f t="shared" si="3"/>
        <v>24830</v>
      </c>
      <c r="L103" s="9">
        <f t="shared" si="4"/>
        <v>22920</v>
      </c>
      <c r="M103" s="9">
        <f t="shared" si="5"/>
        <v>21965</v>
      </c>
      <c r="N103" s="9">
        <f t="shared" si="6"/>
        <v>21010</v>
      </c>
    </row>
    <row r="104">
      <c r="A104" s="4" t="s">
        <v>18</v>
      </c>
      <c r="B104" s="10" t="s">
        <v>105</v>
      </c>
      <c r="C104" s="20" t="s">
        <v>196</v>
      </c>
      <c r="D104" s="24" t="s">
        <v>206</v>
      </c>
      <c r="E104" s="22" t="s">
        <v>207</v>
      </c>
      <c r="F104" s="20" t="s">
        <v>199</v>
      </c>
      <c r="G104" s="12">
        <v>19100.0</v>
      </c>
      <c r="H104" s="12"/>
      <c r="I104" s="8">
        <f t="shared" si="1"/>
        <v>28650</v>
      </c>
      <c r="J104" s="8">
        <f t="shared" si="2"/>
        <v>24830</v>
      </c>
      <c r="K104" s="9">
        <f t="shared" si="3"/>
        <v>24830</v>
      </c>
      <c r="L104" s="9">
        <f t="shared" si="4"/>
        <v>22920</v>
      </c>
      <c r="M104" s="9">
        <f t="shared" si="5"/>
        <v>21965</v>
      </c>
      <c r="N104" s="9">
        <f t="shared" si="6"/>
        <v>21010</v>
      </c>
    </row>
    <row r="105">
      <c r="A105" s="4" t="s">
        <v>18</v>
      </c>
      <c r="B105" s="10" t="s">
        <v>105</v>
      </c>
      <c r="C105" s="20" t="s">
        <v>196</v>
      </c>
      <c r="D105" s="20" t="s">
        <v>208</v>
      </c>
      <c r="E105" s="22" t="s">
        <v>209</v>
      </c>
      <c r="F105" s="20" t="s">
        <v>199</v>
      </c>
      <c r="G105" s="12">
        <v>900.0</v>
      </c>
      <c r="H105" s="12"/>
      <c r="I105" s="8">
        <f t="shared" si="1"/>
        <v>1350</v>
      </c>
      <c r="J105" s="8">
        <f t="shared" si="2"/>
        <v>1170</v>
      </c>
      <c r="K105" s="9">
        <f t="shared" si="3"/>
        <v>1170</v>
      </c>
      <c r="L105" s="9">
        <f t="shared" si="4"/>
        <v>1080</v>
      </c>
      <c r="M105" s="9">
        <f t="shared" si="5"/>
        <v>1035</v>
      </c>
      <c r="N105" s="9">
        <f t="shared" si="6"/>
        <v>990</v>
      </c>
    </row>
    <row r="106">
      <c r="A106" s="4" t="s">
        <v>18</v>
      </c>
      <c r="B106" s="10" t="s">
        <v>105</v>
      </c>
      <c r="C106" s="20" t="s">
        <v>196</v>
      </c>
      <c r="D106" s="24" t="s">
        <v>210</v>
      </c>
      <c r="E106" s="22" t="s">
        <v>211</v>
      </c>
      <c r="F106" s="20" t="s">
        <v>199</v>
      </c>
      <c r="G106" s="12">
        <v>300.0</v>
      </c>
      <c r="H106" s="12"/>
      <c r="I106" s="8">
        <f t="shared" si="1"/>
        <v>450</v>
      </c>
      <c r="J106" s="8">
        <f t="shared" si="2"/>
        <v>390</v>
      </c>
      <c r="K106" s="9">
        <f t="shared" si="3"/>
        <v>390</v>
      </c>
      <c r="L106" s="9">
        <f t="shared" si="4"/>
        <v>360</v>
      </c>
      <c r="M106" s="9">
        <f t="shared" si="5"/>
        <v>345</v>
      </c>
      <c r="N106" s="9">
        <f t="shared" si="6"/>
        <v>330</v>
      </c>
    </row>
    <row r="107">
      <c r="A107" s="4" t="s">
        <v>18</v>
      </c>
      <c r="B107" s="10" t="s">
        <v>105</v>
      </c>
      <c r="C107" s="20" t="s">
        <v>196</v>
      </c>
      <c r="D107" s="24" t="s">
        <v>212</v>
      </c>
      <c r="E107" s="22" t="s">
        <v>213</v>
      </c>
      <c r="F107" s="20" t="s">
        <v>199</v>
      </c>
      <c r="G107" s="12">
        <v>750.0</v>
      </c>
      <c r="H107" s="12"/>
      <c r="I107" s="8">
        <f t="shared" si="1"/>
        <v>1125</v>
      </c>
      <c r="J107" s="8">
        <f t="shared" si="2"/>
        <v>975</v>
      </c>
      <c r="K107" s="9">
        <f t="shared" si="3"/>
        <v>975</v>
      </c>
      <c r="L107" s="9">
        <f t="shared" si="4"/>
        <v>900</v>
      </c>
      <c r="M107" s="9">
        <f t="shared" si="5"/>
        <v>862.5</v>
      </c>
      <c r="N107" s="9">
        <f t="shared" si="6"/>
        <v>825</v>
      </c>
    </row>
    <row r="108">
      <c r="A108" s="4" t="s">
        <v>18</v>
      </c>
      <c r="B108" s="10" t="s">
        <v>105</v>
      </c>
      <c r="C108" s="20" t="s">
        <v>196</v>
      </c>
      <c r="D108" s="24" t="s">
        <v>214</v>
      </c>
      <c r="E108" s="22" t="s">
        <v>215</v>
      </c>
      <c r="F108" s="20" t="s">
        <v>199</v>
      </c>
      <c r="G108" s="12">
        <v>750.0</v>
      </c>
      <c r="H108" s="12"/>
      <c r="I108" s="8">
        <f t="shared" si="1"/>
        <v>1125</v>
      </c>
      <c r="J108" s="8">
        <f t="shared" si="2"/>
        <v>975</v>
      </c>
      <c r="K108" s="9">
        <f t="shared" si="3"/>
        <v>975</v>
      </c>
      <c r="L108" s="9">
        <f t="shared" si="4"/>
        <v>900</v>
      </c>
      <c r="M108" s="9">
        <f t="shared" si="5"/>
        <v>862.5</v>
      </c>
      <c r="N108" s="9">
        <f t="shared" si="6"/>
        <v>825</v>
      </c>
    </row>
    <row r="109">
      <c r="A109" s="4" t="s">
        <v>18</v>
      </c>
      <c r="B109" s="10" t="s">
        <v>105</v>
      </c>
      <c r="C109" s="20" t="s">
        <v>196</v>
      </c>
      <c r="D109" s="24" t="s">
        <v>216</v>
      </c>
      <c r="E109" s="22" t="s">
        <v>217</v>
      </c>
      <c r="F109" s="20" t="s">
        <v>199</v>
      </c>
      <c r="G109" s="12">
        <v>750.0</v>
      </c>
      <c r="H109" s="12"/>
      <c r="I109" s="8">
        <f t="shared" si="1"/>
        <v>1125</v>
      </c>
      <c r="J109" s="8">
        <f t="shared" si="2"/>
        <v>975</v>
      </c>
      <c r="K109" s="9">
        <f t="shared" si="3"/>
        <v>975</v>
      </c>
      <c r="L109" s="9">
        <f t="shared" si="4"/>
        <v>900</v>
      </c>
      <c r="M109" s="9">
        <f t="shared" si="5"/>
        <v>862.5</v>
      </c>
      <c r="N109" s="9">
        <f t="shared" si="6"/>
        <v>825</v>
      </c>
    </row>
    <row r="110">
      <c r="A110" s="4" t="s">
        <v>18</v>
      </c>
      <c r="B110" s="10" t="s">
        <v>105</v>
      </c>
      <c r="C110" s="20" t="s">
        <v>196</v>
      </c>
      <c r="D110" s="24" t="s">
        <v>218</v>
      </c>
      <c r="E110" s="22" t="s">
        <v>219</v>
      </c>
      <c r="F110" s="20" t="s">
        <v>199</v>
      </c>
      <c r="G110" s="12">
        <v>4000.0</v>
      </c>
      <c r="H110" s="12"/>
      <c r="I110" s="8">
        <f t="shared" si="1"/>
        <v>6000</v>
      </c>
      <c r="J110" s="8">
        <f t="shared" si="2"/>
        <v>5200</v>
      </c>
      <c r="K110" s="9">
        <f t="shared" si="3"/>
        <v>5200</v>
      </c>
      <c r="L110" s="9">
        <f t="shared" si="4"/>
        <v>4800</v>
      </c>
      <c r="M110" s="9">
        <f t="shared" si="5"/>
        <v>4600</v>
      </c>
      <c r="N110" s="9">
        <f t="shared" si="6"/>
        <v>4400</v>
      </c>
    </row>
    <row r="111">
      <c r="A111" s="4" t="s">
        <v>18</v>
      </c>
      <c r="B111" s="10" t="s">
        <v>105</v>
      </c>
      <c r="C111" s="20" t="s">
        <v>196</v>
      </c>
      <c r="D111" s="24" t="s">
        <v>220</v>
      </c>
      <c r="E111" s="22" t="s">
        <v>221</v>
      </c>
      <c r="F111" s="20" t="s">
        <v>199</v>
      </c>
      <c r="G111" s="12">
        <v>1000.0</v>
      </c>
      <c r="H111" s="12"/>
      <c r="I111" s="8">
        <f t="shared" si="1"/>
        <v>1500</v>
      </c>
      <c r="J111" s="8">
        <f t="shared" si="2"/>
        <v>1300</v>
      </c>
      <c r="K111" s="9">
        <f t="shared" si="3"/>
        <v>1300</v>
      </c>
      <c r="L111" s="9">
        <f t="shared" si="4"/>
        <v>1200</v>
      </c>
      <c r="M111" s="9">
        <f t="shared" si="5"/>
        <v>1150</v>
      </c>
      <c r="N111" s="9">
        <f t="shared" si="6"/>
        <v>1100</v>
      </c>
    </row>
    <row r="112">
      <c r="A112" s="4" t="s">
        <v>18</v>
      </c>
      <c r="B112" s="10" t="s">
        <v>105</v>
      </c>
      <c r="C112" s="20" t="s">
        <v>196</v>
      </c>
      <c r="D112" s="24" t="s">
        <v>222</v>
      </c>
      <c r="E112" s="22" t="s">
        <v>223</v>
      </c>
      <c r="F112" s="20" t="s">
        <v>199</v>
      </c>
      <c r="G112" s="12">
        <v>1400.0</v>
      </c>
      <c r="H112" s="12"/>
      <c r="I112" s="8">
        <f t="shared" si="1"/>
        <v>2100</v>
      </c>
      <c r="J112" s="8">
        <f t="shared" si="2"/>
        <v>1820</v>
      </c>
      <c r="K112" s="9">
        <f t="shared" si="3"/>
        <v>1820</v>
      </c>
      <c r="L112" s="9">
        <f t="shared" si="4"/>
        <v>1680</v>
      </c>
      <c r="M112" s="9">
        <f t="shared" si="5"/>
        <v>1610</v>
      </c>
      <c r="N112" s="9">
        <f t="shared" si="6"/>
        <v>1540</v>
      </c>
    </row>
    <row r="113">
      <c r="A113" s="4" t="s">
        <v>18</v>
      </c>
      <c r="B113" s="10" t="s">
        <v>105</v>
      </c>
      <c r="C113" s="20" t="s">
        <v>196</v>
      </c>
      <c r="D113" s="24" t="s">
        <v>224</v>
      </c>
      <c r="E113" s="22" t="s">
        <v>225</v>
      </c>
      <c r="F113" s="20" t="s">
        <v>199</v>
      </c>
      <c r="G113" s="12">
        <v>600.0</v>
      </c>
      <c r="H113" s="12"/>
      <c r="I113" s="8">
        <f t="shared" si="1"/>
        <v>900</v>
      </c>
      <c r="J113" s="8">
        <f t="shared" si="2"/>
        <v>780</v>
      </c>
      <c r="K113" s="9">
        <f t="shared" si="3"/>
        <v>780</v>
      </c>
      <c r="L113" s="9">
        <f t="shared" si="4"/>
        <v>720</v>
      </c>
      <c r="M113" s="9">
        <f t="shared" si="5"/>
        <v>690</v>
      </c>
      <c r="N113" s="9">
        <f t="shared" si="6"/>
        <v>660</v>
      </c>
    </row>
    <row r="114">
      <c r="A114" s="4" t="s">
        <v>18</v>
      </c>
      <c r="B114" s="10" t="s">
        <v>105</v>
      </c>
      <c r="C114" s="20" t="s">
        <v>196</v>
      </c>
      <c r="D114" s="24" t="s">
        <v>226</v>
      </c>
      <c r="E114" s="22" t="s">
        <v>227</v>
      </c>
      <c r="F114" s="20" t="s">
        <v>199</v>
      </c>
      <c r="G114" s="12">
        <v>600.0</v>
      </c>
      <c r="H114" s="12"/>
      <c r="I114" s="8">
        <f t="shared" si="1"/>
        <v>900</v>
      </c>
      <c r="J114" s="8">
        <f t="shared" si="2"/>
        <v>780</v>
      </c>
      <c r="K114" s="9">
        <f t="shared" si="3"/>
        <v>780</v>
      </c>
      <c r="L114" s="9">
        <f t="shared" si="4"/>
        <v>720</v>
      </c>
      <c r="M114" s="9">
        <f t="shared" si="5"/>
        <v>690</v>
      </c>
      <c r="N114" s="9">
        <f t="shared" si="6"/>
        <v>660</v>
      </c>
    </row>
    <row r="115">
      <c r="A115" s="4" t="s">
        <v>18</v>
      </c>
      <c r="B115" s="10" t="s">
        <v>105</v>
      </c>
      <c r="C115" s="20" t="s">
        <v>196</v>
      </c>
      <c r="D115" s="24" t="s">
        <v>228</v>
      </c>
      <c r="E115" s="22" t="s">
        <v>229</v>
      </c>
      <c r="F115" s="20" t="s">
        <v>199</v>
      </c>
      <c r="G115" s="12">
        <v>1100.0</v>
      </c>
      <c r="H115" s="12"/>
      <c r="I115" s="8">
        <f t="shared" si="1"/>
        <v>1650</v>
      </c>
      <c r="J115" s="8">
        <f t="shared" si="2"/>
        <v>1430</v>
      </c>
      <c r="K115" s="9">
        <f t="shared" si="3"/>
        <v>1430</v>
      </c>
      <c r="L115" s="9">
        <f t="shared" si="4"/>
        <v>1320</v>
      </c>
      <c r="M115" s="9">
        <f t="shared" si="5"/>
        <v>1265</v>
      </c>
      <c r="N115" s="9">
        <f t="shared" si="6"/>
        <v>1210</v>
      </c>
    </row>
    <row r="116">
      <c r="A116" s="4" t="s">
        <v>18</v>
      </c>
      <c r="B116" s="10" t="s">
        <v>105</v>
      </c>
      <c r="C116" s="5"/>
      <c r="D116" s="10" t="s">
        <v>230</v>
      </c>
      <c r="E116" s="11" t="s">
        <v>231</v>
      </c>
      <c r="F116" s="10" t="s">
        <v>232</v>
      </c>
      <c r="G116" s="12">
        <v>3900.0</v>
      </c>
      <c r="H116" s="13"/>
      <c r="I116" s="8">
        <f t="shared" si="1"/>
        <v>5850</v>
      </c>
      <c r="J116" s="8">
        <f t="shared" si="2"/>
        <v>5070</v>
      </c>
      <c r="K116" s="9">
        <f t="shared" si="3"/>
        <v>5070</v>
      </c>
      <c r="L116" s="9">
        <f t="shared" si="4"/>
        <v>4680</v>
      </c>
      <c r="M116" s="9">
        <f t="shared" si="5"/>
        <v>4485</v>
      </c>
      <c r="N116" s="9">
        <f t="shared" si="6"/>
        <v>4290</v>
      </c>
    </row>
    <row r="117">
      <c r="A117" s="4" t="s">
        <v>18</v>
      </c>
      <c r="B117" s="10" t="s">
        <v>105</v>
      </c>
      <c r="C117" s="5"/>
      <c r="D117" s="10" t="s">
        <v>233</v>
      </c>
      <c r="E117" s="11" t="s">
        <v>234</v>
      </c>
      <c r="F117" s="10" t="s">
        <v>235</v>
      </c>
      <c r="G117" s="12">
        <v>3900.0</v>
      </c>
      <c r="H117" s="13"/>
      <c r="I117" s="8">
        <f t="shared" si="1"/>
        <v>5850</v>
      </c>
      <c r="J117" s="8">
        <f t="shared" si="2"/>
        <v>5070</v>
      </c>
      <c r="K117" s="9">
        <f t="shared" si="3"/>
        <v>5070</v>
      </c>
      <c r="L117" s="9">
        <f t="shared" si="4"/>
        <v>4680</v>
      </c>
      <c r="M117" s="9">
        <f t="shared" si="5"/>
        <v>4485</v>
      </c>
      <c r="N117" s="9">
        <f t="shared" si="6"/>
        <v>4290</v>
      </c>
    </row>
    <row r="118">
      <c r="A118" s="4" t="s">
        <v>18</v>
      </c>
      <c r="B118" s="10" t="s">
        <v>105</v>
      </c>
      <c r="C118" s="5"/>
      <c r="D118" s="10" t="s">
        <v>236</v>
      </c>
      <c r="E118" s="11" t="s">
        <v>237</v>
      </c>
      <c r="F118" s="10" t="s">
        <v>238</v>
      </c>
      <c r="G118" s="12">
        <v>6900.0</v>
      </c>
      <c r="H118" s="13"/>
      <c r="I118" s="8">
        <f t="shared" si="1"/>
        <v>10350</v>
      </c>
      <c r="J118" s="8">
        <f t="shared" si="2"/>
        <v>8970</v>
      </c>
      <c r="K118" s="9">
        <f t="shared" si="3"/>
        <v>8970</v>
      </c>
      <c r="L118" s="9">
        <f t="shared" si="4"/>
        <v>8280</v>
      </c>
      <c r="M118" s="9">
        <f t="shared" si="5"/>
        <v>7935</v>
      </c>
      <c r="N118" s="9">
        <f t="shared" si="6"/>
        <v>7590</v>
      </c>
    </row>
    <row r="119">
      <c r="A119" s="4" t="s">
        <v>18</v>
      </c>
      <c r="B119" s="10" t="s">
        <v>105</v>
      </c>
      <c r="C119" s="5"/>
      <c r="D119" s="10" t="s">
        <v>239</v>
      </c>
      <c r="E119" s="11" t="s">
        <v>240</v>
      </c>
      <c r="F119" s="10" t="s">
        <v>241</v>
      </c>
      <c r="G119" s="12">
        <v>5800.0</v>
      </c>
      <c r="H119" s="13"/>
      <c r="I119" s="8">
        <f t="shared" si="1"/>
        <v>8700</v>
      </c>
      <c r="J119" s="8">
        <f t="shared" si="2"/>
        <v>7540</v>
      </c>
      <c r="K119" s="9">
        <f t="shared" si="3"/>
        <v>7540</v>
      </c>
      <c r="L119" s="9">
        <f t="shared" si="4"/>
        <v>6960</v>
      </c>
      <c r="M119" s="9">
        <f t="shared" si="5"/>
        <v>6670</v>
      </c>
      <c r="N119" s="9">
        <f t="shared" si="6"/>
        <v>6380</v>
      </c>
    </row>
    <row r="120">
      <c r="A120" s="4" t="s">
        <v>18</v>
      </c>
      <c r="B120" s="10" t="s">
        <v>105</v>
      </c>
      <c r="C120" s="5"/>
      <c r="D120" s="10" t="s">
        <v>242</v>
      </c>
      <c r="E120" s="11" t="s">
        <v>243</v>
      </c>
      <c r="F120" s="10" t="s">
        <v>244</v>
      </c>
      <c r="G120" s="12">
        <v>1200.0</v>
      </c>
      <c r="H120" s="13"/>
      <c r="I120" s="8">
        <f t="shared" si="1"/>
        <v>1800</v>
      </c>
      <c r="J120" s="8">
        <f t="shared" si="2"/>
        <v>1560</v>
      </c>
      <c r="K120" s="9">
        <f t="shared" si="3"/>
        <v>1560</v>
      </c>
      <c r="L120" s="9">
        <f t="shared" si="4"/>
        <v>1440</v>
      </c>
      <c r="M120" s="9">
        <f t="shared" si="5"/>
        <v>1380</v>
      </c>
      <c r="N120" s="9">
        <f t="shared" si="6"/>
        <v>1320</v>
      </c>
    </row>
    <row r="121">
      <c r="A121" s="4" t="s">
        <v>18</v>
      </c>
      <c r="B121" s="10" t="s">
        <v>105</v>
      </c>
      <c r="C121" s="5"/>
      <c r="D121" s="10" t="s">
        <v>245</v>
      </c>
      <c r="E121" s="11" t="s">
        <v>246</v>
      </c>
      <c r="F121" s="10" t="s">
        <v>244</v>
      </c>
      <c r="G121" s="12">
        <v>2000.0</v>
      </c>
      <c r="H121" s="13"/>
      <c r="I121" s="8">
        <f t="shared" si="1"/>
        <v>3000</v>
      </c>
      <c r="J121" s="8">
        <f t="shared" si="2"/>
        <v>2600</v>
      </c>
      <c r="K121" s="9">
        <f t="shared" si="3"/>
        <v>2600</v>
      </c>
      <c r="L121" s="9">
        <f t="shared" si="4"/>
        <v>2400</v>
      </c>
      <c r="M121" s="9">
        <f t="shared" si="5"/>
        <v>2300</v>
      </c>
      <c r="N121" s="9">
        <f t="shared" si="6"/>
        <v>2200</v>
      </c>
    </row>
    <row r="122">
      <c r="A122" s="4" t="s">
        <v>18</v>
      </c>
      <c r="B122" s="10" t="s">
        <v>105</v>
      </c>
      <c r="C122" s="5"/>
      <c r="D122" s="10" t="s">
        <v>247</v>
      </c>
      <c r="E122" s="11" t="s">
        <v>248</v>
      </c>
      <c r="F122" s="10" t="s">
        <v>249</v>
      </c>
      <c r="G122" s="12">
        <v>9800.0</v>
      </c>
      <c r="H122" s="13"/>
      <c r="I122" s="8">
        <f t="shared" si="1"/>
        <v>14700</v>
      </c>
      <c r="J122" s="8">
        <f t="shared" si="2"/>
        <v>12740</v>
      </c>
      <c r="K122" s="9">
        <f t="shared" si="3"/>
        <v>12740</v>
      </c>
      <c r="L122" s="9">
        <f t="shared" si="4"/>
        <v>11760</v>
      </c>
      <c r="M122" s="9">
        <f t="shared" si="5"/>
        <v>11270</v>
      </c>
      <c r="N122" s="9">
        <f t="shared" si="6"/>
        <v>10780</v>
      </c>
    </row>
    <row r="123">
      <c r="A123" s="4" t="s">
        <v>18</v>
      </c>
      <c r="B123" s="10" t="s">
        <v>105</v>
      </c>
      <c r="C123" s="5"/>
      <c r="D123" s="10" t="s">
        <v>250</v>
      </c>
      <c r="E123" s="11" t="s">
        <v>251</v>
      </c>
      <c r="F123" s="10" t="s">
        <v>252</v>
      </c>
      <c r="G123" s="12">
        <v>4400.0</v>
      </c>
      <c r="H123" s="13"/>
      <c r="I123" s="8">
        <f t="shared" si="1"/>
        <v>6600</v>
      </c>
      <c r="J123" s="8">
        <f t="shared" si="2"/>
        <v>5720</v>
      </c>
      <c r="K123" s="9">
        <f t="shared" si="3"/>
        <v>5720</v>
      </c>
      <c r="L123" s="9">
        <f t="shared" si="4"/>
        <v>5280</v>
      </c>
      <c r="M123" s="9">
        <f t="shared" si="5"/>
        <v>5060</v>
      </c>
      <c r="N123" s="9">
        <f t="shared" si="6"/>
        <v>4840</v>
      </c>
    </row>
    <row r="124">
      <c r="A124" s="4" t="s">
        <v>18</v>
      </c>
      <c r="B124" s="10" t="s">
        <v>105</v>
      </c>
      <c r="C124" s="5"/>
      <c r="D124" s="10" t="s">
        <v>253</v>
      </c>
      <c r="E124" s="11" t="s">
        <v>254</v>
      </c>
      <c r="F124" s="10" t="s">
        <v>252</v>
      </c>
      <c r="G124" s="12">
        <v>4400.0</v>
      </c>
      <c r="H124" s="13"/>
      <c r="I124" s="8">
        <f t="shared" si="1"/>
        <v>6600</v>
      </c>
      <c r="J124" s="8">
        <f t="shared" si="2"/>
        <v>5720</v>
      </c>
      <c r="K124" s="9">
        <f t="shared" si="3"/>
        <v>5720</v>
      </c>
      <c r="L124" s="9">
        <f t="shared" si="4"/>
        <v>5280</v>
      </c>
      <c r="M124" s="9">
        <f t="shared" si="5"/>
        <v>5060</v>
      </c>
      <c r="N124" s="9">
        <f t="shared" si="6"/>
        <v>4840</v>
      </c>
    </row>
    <row r="125">
      <c r="A125" s="4" t="s">
        <v>18</v>
      </c>
      <c r="B125" s="10" t="s">
        <v>105</v>
      </c>
      <c r="C125" s="5"/>
      <c r="D125" s="10" t="s">
        <v>255</v>
      </c>
      <c r="E125" s="11" t="s">
        <v>256</v>
      </c>
      <c r="F125" s="10" t="s">
        <v>252</v>
      </c>
      <c r="G125" s="12">
        <v>350.0</v>
      </c>
      <c r="H125" s="13"/>
      <c r="I125" s="8">
        <f t="shared" si="1"/>
        <v>525</v>
      </c>
      <c r="J125" s="8">
        <f t="shared" si="2"/>
        <v>455</v>
      </c>
      <c r="K125" s="9">
        <f t="shared" si="3"/>
        <v>455</v>
      </c>
      <c r="L125" s="9">
        <f t="shared" si="4"/>
        <v>420</v>
      </c>
      <c r="M125" s="9">
        <f t="shared" si="5"/>
        <v>402.5</v>
      </c>
      <c r="N125" s="9">
        <f t="shared" si="6"/>
        <v>385</v>
      </c>
    </row>
    <row r="126">
      <c r="A126" s="4" t="s">
        <v>18</v>
      </c>
      <c r="B126" s="10" t="s">
        <v>105</v>
      </c>
      <c r="C126" s="5"/>
      <c r="D126" s="10" t="s">
        <v>257</v>
      </c>
      <c r="E126" s="11" t="s">
        <v>258</v>
      </c>
      <c r="F126" s="10" t="s">
        <v>252</v>
      </c>
      <c r="G126" s="12">
        <v>900.0</v>
      </c>
      <c r="H126" s="13"/>
      <c r="I126" s="8">
        <f t="shared" si="1"/>
        <v>1350</v>
      </c>
      <c r="J126" s="8">
        <f t="shared" si="2"/>
        <v>1170</v>
      </c>
      <c r="K126" s="9">
        <f t="shared" si="3"/>
        <v>1170</v>
      </c>
      <c r="L126" s="9">
        <f t="shared" si="4"/>
        <v>1080</v>
      </c>
      <c r="M126" s="9">
        <f t="shared" si="5"/>
        <v>1035</v>
      </c>
      <c r="N126" s="9">
        <f t="shared" si="6"/>
        <v>990</v>
      </c>
    </row>
    <row r="127">
      <c r="A127" s="4" t="s">
        <v>18</v>
      </c>
      <c r="B127" s="10" t="s">
        <v>105</v>
      </c>
      <c r="C127" s="5"/>
      <c r="D127" s="10" t="s">
        <v>259</v>
      </c>
      <c r="E127" s="11" t="s">
        <v>260</v>
      </c>
      <c r="F127" s="10" t="s">
        <v>252</v>
      </c>
      <c r="G127" s="12">
        <v>900.0</v>
      </c>
      <c r="H127" s="13"/>
      <c r="I127" s="8">
        <f t="shared" si="1"/>
        <v>1350</v>
      </c>
      <c r="J127" s="8">
        <f t="shared" si="2"/>
        <v>1170</v>
      </c>
      <c r="K127" s="9">
        <f t="shared" si="3"/>
        <v>1170</v>
      </c>
      <c r="L127" s="9">
        <f t="shared" si="4"/>
        <v>1080</v>
      </c>
      <c r="M127" s="9">
        <f t="shared" si="5"/>
        <v>1035</v>
      </c>
      <c r="N127" s="9">
        <f t="shared" si="6"/>
        <v>990</v>
      </c>
    </row>
    <row r="128">
      <c r="A128" s="4" t="s">
        <v>18</v>
      </c>
      <c r="B128" s="10" t="s">
        <v>105</v>
      </c>
      <c r="C128" s="5"/>
      <c r="D128" s="10" t="s">
        <v>261</v>
      </c>
      <c r="E128" s="11" t="s">
        <v>262</v>
      </c>
      <c r="F128" s="10" t="s">
        <v>252</v>
      </c>
      <c r="G128" s="12">
        <v>900.0</v>
      </c>
      <c r="H128" s="13"/>
      <c r="I128" s="8">
        <f t="shared" si="1"/>
        <v>1350</v>
      </c>
      <c r="J128" s="8">
        <f t="shared" si="2"/>
        <v>1170</v>
      </c>
      <c r="K128" s="9">
        <f t="shared" si="3"/>
        <v>1170</v>
      </c>
      <c r="L128" s="9">
        <f t="shared" si="4"/>
        <v>1080</v>
      </c>
      <c r="M128" s="9">
        <f t="shared" si="5"/>
        <v>1035</v>
      </c>
      <c r="N128" s="9">
        <f t="shared" si="6"/>
        <v>990</v>
      </c>
    </row>
    <row r="129">
      <c r="A129" s="4" t="s">
        <v>18</v>
      </c>
      <c r="B129" s="10" t="s">
        <v>105</v>
      </c>
      <c r="C129" s="5"/>
      <c r="D129" s="10" t="s">
        <v>263</v>
      </c>
      <c r="E129" s="11" t="s">
        <v>264</v>
      </c>
      <c r="F129" s="10" t="s">
        <v>108</v>
      </c>
      <c r="G129" s="12">
        <v>4400.0</v>
      </c>
      <c r="H129" s="13"/>
      <c r="I129" s="8">
        <f t="shared" si="1"/>
        <v>6600</v>
      </c>
      <c r="J129" s="8">
        <f t="shared" si="2"/>
        <v>5720</v>
      </c>
      <c r="K129" s="9">
        <f t="shared" si="3"/>
        <v>5720</v>
      </c>
      <c r="L129" s="9">
        <f t="shared" si="4"/>
        <v>5280</v>
      </c>
      <c r="M129" s="9">
        <f t="shared" si="5"/>
        <v>5060</v>
      </c>
      <c r="N129" s="9">
        <f t="shared" si="6"/>
        <v>4840</v>
      </c>
    </row>
    <row r="130">
      <c r="A130" s="4" t="s">
        <v>18</v>
      </c>
      <c r="B130" s="10" t="s">
        <v>105</v>
      </c>
      <c r="C130" s="5"/>
      <c r="D130" s="10" t="s">
        <v>265</v>
      </c>
      <c r="E130" s="11" t="s">
        <v>266</v>
      </c>
      <c r="F130" s="10" t="s">
        <v>249</v>
      </c>
      <c r="G130" s="12">
        <v>1200.0</v>
      </c>
      <c r="H130" s="13"/>
      <c r="I130" s="8">
        <f t="shared" si="1"/>
        <v>1800</v>
      </c>
      <c r="J130" s="8">
        <f t="shared" si="2"/>
        <v>1560</v>
      </c>
      <c r="K130" s="9">
        <f t="shared" si="3"/>
        <v>1560</v>
      </c>
      <c r="L130" s="9">
        <f t="shared" si="4"/>
        <v>1440</v>
      </c>
      <c r="M130" s="9">
        <f t="shared" si="5"/>
        <v>1380</v>
      </c>
      <c r="N130" s="9">
        <f t="shared" si="6"/>
        <v>1320</v>
      </c>
    </row>
    <row r="131">
      <c r="A131" s="4" t="s">
        <v>18</v>
      </c>
      <c r="B131" s="10" t="s">
        <v>105</v>
      </c>
      <c r="C131" s="5"/>
      <c r="D131" s="10" t="s">
        <v>267</v>
      </c>
      <c r="E131" s="11" t="s">
        <v>268</v>
      </c>
      <c r="F131" s="10" t="s">
        <v>249</v>
      </c>
      <c r="G131" s="12">
        <v>1200.0</v>
      </c>
      <c r="H131" s="13"/>
      <c r="I131" s="8">
        <f t="shared" si="1"/>
        <v>1800</v>
      </c>
      <c r="J131" s="8">
        <f t="shared" si="2"/>
        <v>1560</v>
      </c>
      <c r="K131" s="9">
        <f t="shared" si="3"/>
        <v>1560</v>
      </c>
      <c r="L131" s="9">
        <f t="shared" si="4"/>
        <v>1440</v>
      </c>
      <c r="M131" s="9">
        <f t="shared" si="5"/>
        <v>1380</v>
      </c>
      <c r="N131" s="9">
        <f t="shared" si="6"/>
        <v>1320</v>
      </c>
    </row>
    <row r="132">
      <c r="A132" s="4" t="s">
        <v>18</v>
      </c>
      <c r="B132" s="10" t="s">
        <v>105</v>
      </c>
      <c r="C132" s="5"/>
      <c r="D132" s="10" t="s">
        <v>269</v>
      </c>
      <c r="E132" s="11" t="s">
        <v>270</v>
      </c>
      <c r="F132" s="10" t="s">
        <v>249</v>
      </c>
      <c r="G132" s="12">
        <v>3500.0</v>
      </c>
      <c r="H132" s="13"/>
      <c r="I132" s="8">
        <f t="shared" si="1"/>
        <v>5250</v>
      </c>
      <c r="J132" s="8">
        <f t="shared" si="2"/>
        <v>4550</v>
      </c>
      <c r="K132" s="9">
        <f t="shared" si="3"/>
        <v>4550</v>
      </c>
      <c r="L132" s="9">
        <f t="shared" si="4"/>
        <v>4200</v>
      </c>
      <c r="M132" s="9">
        <f t="shared" si="5"/>
        <v>4025</v>
      </c>
      <c r="N132" s="9">
        <f t="shared" si="6"/>
        <v>3850</v>
      </c>
    </row>
    <row r="133">
      <c r="A133" s="4" t="s">
        <v>18</v>
      </c>
      <c r="B133" s="10" t="s">
        <v>105</v>
      </c>
      <c r="C133" s="5"/>
      <c r="D133" s="10" t="s">
        <v>271</v>
      </c>
      <c r="E133" s="11" t="s">
        <v>272</v>
      </c>
      <c r="F133" s="10" t="s">
        <v>40</v>
      </c>
      <c r="G133" s="12">
        <v>8700.0</v>
      </c>
      <c r="H133" s="13"/>
      <c r="I133" s="8">
        <f t="shared" si="1"/>
        <v>13050</v>
      </c>
      <c r="J133" s="8">
        <f t="shared" si="2"/>
        <v>11310</v>
      </c>
      <c r="K133" s="9">
        <f t="shared" si="3"/>
        <v>11310</v>
      </c>
      <c r="L133" s="9">
        <f t="shared" si="4"/>
        <v>10440</v>
      </c>
      <c r="M133" s="9">
        <f t="shared" si="5"/>
        <v>10005</v>
      </c>
      <c r="N133" s="9">
        <f t="shared" si="6"/>
        <v>9570</v>
      </c>
    </row>
    <row r="134">
      <c r="A134" s="4" t="s">
        <v>18</v>
      </c>
      <c r="B134" s="10" t="s">
        <v>105</v>
      </c>
      <c r="C134" s="5"/>
      <c r="D134" s="10" t="s">
        <v>273</v>
      </c>
      <c r="E134" s="11" t="s">
        <v>274</v>
      </c>
      <c r="F134" s="10" t="s">
        <v>40</v>
      </c>
      <c r="G134" s="12">
        <v>8700.0</v>
      </c>
      <c r="H134" s="13"/>
      <c r="I134" s="8">
        <f t="shared" si="1"/>
        <v>13050</v>
      </c>
      <c r="J134" s="8">
        <f t="shared" si="2"/>
        <v>11310</v>
      </c>
      <c r="K134" s="9">
        <f t="shared" si="3"/>
        <v>11310</v>
      </c>
      <c r="L134" s="9">
        <f t="shared" si="4"/>
        <v>10440</v>
      </c>
      <c r="M134" s="9">
        <f t="shared" si="5"/>
        <v>10005</v>
      </c>
      <c r="N134" s="9">
        <f t="shared" si="6"/>
        <v>9570</v>
      </c>
    </row>
    <row r="135">
      <c r="A135" s="4" t="s">
        <v>18</v>
      </c>
      <c r="B135" s="10" t="s">
        <v>105</v>
      </c>
      <c r="C135" s="5"/>
      <c r="D135" s="10" t="s">
        <v>275</v>
      </c>
      <c r="E135" s="11" t="s">
        <v>276</v>
      </c>
      <c r="F135" s="10" t="s">
        <v>40</v>
      </c>
      <c r="G135" s="12">
        <v>8700.0</v>
      </c>
      <c r="H135" s="13"/>
      <c r="I135" s="8">
        <f t="shared" si="1"/>
        <v>13050</v>
      </c>
      <c r="J135" s="8">
        <f t="shared" si="2"/>
        <v>11310</v>
      </c>
      <c r="K135" s="9">
        <f t="shared" si="3"/>
        <v>11310</v>
      </c>
      <c r="L135" s="9">
        <f t="shared" si="4"/>
        <v>10440</v>
      </c>
      <c r="M135" s="9">
        <f t="shared" si="5"/>
        <v>10005</v>
      </c>
      <c r="N135" s="9">
        <f t="shared" si="6"/>
        <v>9570</v>
      </c>
    </row>
    <row r="136">
      <c r="A136" s="4" t="s">
        <v>18</v>
      </c>
      <c r="B136" s="10" t="s">
        <v>105</v>
      </c>
      <c r="C136" s="5"/>
      <c r="D136" s="10" t="s">
        <v>277</v>
      </c>
      <c r="E136" s="11" t="s">
        <v>278</v>
      </c>
      <c r="F136" s="10" t="s">
        <v>40</v>
      </c>
      <c r="G136" s="12">
        <v>8700.0</v>
      </c>
      <c r="H136" s="13"/>
      <c r="I136" s="8">
        <f t="shared" si="1"/>
        <v>13050</v>
      </c>
      <c r="J136" s="8">
        <f t="shared" si="2"/>
        <v>11310</v>
      </c>
      <c r="K136" s="9">
        <f t="shared" si="3"/>
        <v>11310</v>
      </c>
      <c r="L136" s="9">
        <f t="shared" si="4"/>
        <v>10440</v>
      </c>
      <c r="M136" s="9">
        <f t="shared" si="5"/>
        <v>10005</v>
      </c>
      <c r="N136" s="9">
        <f t="shared" si="6"/>
        <v>9570</v>
      </c>
    </row>
    <row r="137">
      <c r="A137" s="4" t="s">
        <v>18</v>
      </c>
      <c r="B137" s="10" t="s">
        <v>105</v>
      </c>
      <c r="C137" s="5"/>
      <c r="D137" s="10" t="s">
        <v>279</v>
      </c>
      <c r="E137" s="11" t="s">
        <v>280</v>
      </c>
      <c r="F137" s="10" t="s">
        <v>40</v>
      </c>
      <c r="G137" s="12">
        <v>800.0</v>
      </c>
      <c r="H137" s="13"/>
      <c r="I137" s="8">
        <f t="shared" si="1"/>
        <v>1200</v>
      </c>
      <c r="J137" s="8">
        <f t="shared" si="2"/>
        <v>1040</v>
      </c>
      <c r="K137" s="9">
        <f t="shared" si="3"/>
        <v>1040</v>
      </c>
      <c r="L137" s="9">
        <f t="shared" si="4"/>
        <v>960</v>
      </c>
      <c r="M137" s="9">
        <f t="shared" si="5"/>
        <v>920</v>
      </c>
      <c r="N137" s="9">
        <f t="shared" si="6"/>
        <v>880</v>
      </c>
    </row>
    <row r="138">
      <c r="A138" s="4" t="s">
        <v>18</v>
      </c>
      <c r="B138" s="10" t="s">
        <v>105</v>
      </c>
      <c r="C138" s="5"/>
      <c r="D138" s="10" t="s">
        <v>281</v>
      </c>
      <c r="E138" s="11" t="s">
        <v>282</v>
      </c>
      <c r="F138" s="10" t="s">
        <v>40</v>
      </c>
      <c r="G138" s="12">
        <v>800.0</v>
      </c>
      <c r="H138" s="13"/>
      <c r="I138" s="8">
        <f t="shared" si="1"/>
        <v>1200</v>
      </c>
      <c r="J138" s="8">
        <f t="shared" si="2"/>
        <v>1040</v>
      </c>
      <c r="K138" s="9">
        <f t="shared" si="3"/>
        <v>1040</v>
      </c>
      <c r="L138" s="9">
        <f t="shared" si="4"/>
        <v>960</v>
      </c>
      <c r="M138" s="9">
        <f t="shared" si="5"/>
        <v>920</v>
      </c>
      <c r="N138" s="9">
        <f t="shared" si="6"/>
        <v>880</v>
      </c>
    </row>
    <row r="139">
      <c r="A139" s="4" t="s">
        <v>18</v>
      </c>
      <c r="B139" s="10" t="s">
        <v>105</v>
      </c>
      <c r="C139" s="5"/>
      <c r="D139" s="10" t="s">
        <v>283</v>
      </c>
      <c r="E139" s="11" t="s">
        <v>284</v>
      </c>
      <c r="F139" s="10" t="s">
        <v>40</v>
      </c>
      <c r="G139" s="12">
        <v>5700.0</v>
      </c>
      <c r="H139" s="13"/>
      <c r="I139" s="8">
        <f t="shared" si="1"/>
        <v>8550</v>
      </c>
      <c r="J139" s="8">
        <f t="shared" si="2"/>
        <v>7410</v>
      </c>
      <c r="K139" s="9">
        <f t="shared" si="3"/>
        <v>7410</v>
      </c>
      <c r="L139" s="9">
        <f t="shared" si="4"/>
        <v>6840</v>
      </c>
      <c r="M139" s="9">
        <f t="shared" si="5"/>
        <v>6555</v>
      </c>
      <c r="N139" s="9">
        <f t="shared" si="6"/>
        <v>6270</v>
      </c>
    </row>
    <row r="140">
      <c r="A140" s="4" t="s">
        <v>18</v>
      </c>
      <c r="B140" s="10" t="s">
        <v>105</v>
      </c>
      <c r="C140" s="5"/>
      <c r="D140" s="10" t="s">
        <v>285</v>
      </c>
      <c r="E140" s="11" t="s">
        <v>286</v>
      </c>
      <c r="F140" s="10" t="s">
        <v>40</v>
      </c>
      <c r="G140" s="12">
        <v>1600.0</v>
      </c>
      <c r="H140" s="13"/>
      <c r="I140" s="8">
        <f t="shared" si="1"/>
        <v>2400</v>
      </c>
      <c r="J140" s="8">
        <f t="shared" si="2"/>
        <v>2080</v>
      </c>
      <c r="K140" s="9">
        <f t="shared" si="3"/>
        <v>2080</v>
      </c>
      <c r="L140" s="9">
        <f t="shared" si="4"/>
        <v>1920</v>
      </c>
      <c r="M140" s="9">
        <f t="shared" si="5"/>
        <v>1840</v>
      </c>
      <c r="N140" s="9">
        <f t="shared" si="6"/>
        <v>1760</v>
      </c>
    </row>
    <row r="141">
      <c r="A141" s="4" t="s">
        <v>18</v>
      </c>
      <c r="B141" s="10" t="s">
        <v>105</v>
      </c>
      <c r="C141" s="5"/>
      <c r="D141" s="10" t="s">
        <v>287</v>
      </c>
      <c r="E141" s="11" t="s">
        <v>288</v>
      </c>
      <c r="F141" s="10" t="s">
        <v>40</v>
      </c>
      <c r="G141" s="12">
        <v>2300.0</v>
      </c>
      <c r="H141" s="13"/>
      <c r="I141" s="8">
        <f t="shared" si="1"/>
        <v>3450</v>
      </c>
      <c r="J141" s="8">
        <f t="shared" si="2"/>
        <v>2990</v>
      </c>
      <c r="K141" s="9">
        <f t="shared" si="3"/>
        <v>2990</v>
      </c>
      <c r="L141" s="9">
        <f t="shared" si="4"/>
        <v>2760</v>
      </c>
      <c r="M141" s="9">
        <f t="shared" si="5"/>
        <v>2645</v>
      </c>
      <c r="N141" s="9">
        <f t="shared" si="6"/>
        <v>2530</v>
      </c>
    </row>
    <row r="142">
      <c r="A142" s="4" t="s">
        <v>18</v>
      </c>
      <c r="B142" s="10" t="s">
        <v>105</v>
      </c>
      <c r="C142" s="5"/>
      <c r="D142" s="10" t="s">
        <v>289</v>
      </c>
      <c r="E142" s="11" t="s">
        <v>290</v>
      </c>
      <c r="F142" s="10" t="s">
        <v>40</v>
      </c>
      <c r="G142" s="12">
        <v>4000.0</v>
      </c>
      <c r="H142" s="13"/>
      <c r="I142" s="8">
        <f t="shared" si="1"/>
        <v>6000</v>
      </c>
      <c r="J142" s="8">
        <f t="shared" si="2"/>
        <v>5200</v>
      </c>
      <c r="K142" s="9">
        <f t="shared" si="3"/>
        <v>5200</v>
      </c>
      <c r="L142" s="9">
        <f t="shared" si="4"/>
        <v>4800</v>
      </c>
      <c r="M142" s="9">
        <f t="shared" si="5"/>
        <v>4600</v>
      </c>
      <c r="N142" s="9">
        <f t="shared" si="6"/>
        <v>4400</v>
      </c>
    </row>
    <row r="143">
      <c r="A143" s="4" t="s">
        <v>18</v>
      </c>
      <c r="B143" s="10" t="s">
        <v>105</v>
      </c>
      <c r="C143" s="5"/>
      <c r="D143" s="10" t="s">
        <v>291</v>
      </c>
      <c r="E143" s="11" t="s">
        <v>292</v>
      </c>
      <c r="F143" s="10" t="s">
        <v>40</v>
      </c>
      <c r="G143" s="12">
        <v>4000.0</v>
      </c>
      <c r="H143" s="13"/>
      <c r="I143" s="8">
        <f t="shared" si="1"/>
        <v>6000</v>
      </c>
      <c r="J143" s="8">
        <f t="shared" si="2"/>
        <v>5200</v>
      </c>
      <c r="K143" s="9">
        <f t="shared" si="3"/>
        <v>5200</v>
      </c>
      <c r="L143" s="9">
        <f t="shared" si="4"/>
        <v>4800</v>
      </c>
      <c r="M143" s="9">
        <f t="shared" si="5"/>
        <v>4600</v>
      </c>
      <c r="N143" s="9">
        <f t="shared" si="6"/>
        <v>4400</v>
      </c>
    </row>
    <row r="144">
      <c r="A144" s="4" t="s">
        <v>18</v>
      </c>
      <c r="B144" s="10" t="s">
        <v>105</v>
      </c>
      <c r="C144" s="5"/>
      <c r="D144" s="10" t="s">
        <v>293</v>
      </c>
      <c r="E144" s="11" t="s">
        <v>294</v>
      </c>
      <c r="F144" s="10" t="s">
        <v>40</v>
      </c>
      <c r="G144" s="12">
        <v>500.0</v>
      </c>
      <c r="H144" s="13"/>
      <c r="I144" s="8">
        <f t="shared" si="1"/>
        <v>750</v>
      </c>
      <c r="J144" s="8">
        <f t="shared" si="2"/>
        <v>650</v>
      </c>
      <c r="K144" s="9">
        <f t="shared" si="3"/>
        <v>650</v>
      </c>
      <c r="L144" s="9">
        <f t="shared" si="4"/>
        <v>600</v>
      </c>
      <c r="M144" s="9">
        <f t="shared" si="5"/>
        <v>575</v>
      </c>
      <c r="N144" s="9">
        <f t="shared" si="6"/>
        <v>550</v>
      </c>
    </row>
    <row r="145">
      <c r="A145" s="4" t="s">
        <v>18</v>
      </c>
      <c r="B145" s="10" t="s">
        <v>105</v>
      </c>
      <c r="C145" s="5"/>
      <c r="D145" s="10" t="s">
        <v>295</v>
      </c>
      <c r="E145" s="11" t="s">
        <v>296</v>
      </c>
      <c r="F145" s="10" t="s">
        <v>40</v>
      </c>
      <c r="G145" s="12">
        <v>400.0</v>
      </c>
      <c r="H145" s="13"/>
      <c r="I145" s="8">
        <f t="shared" si="1"/>
        <v>600</v>
      </c>
      <c r="J145" s="8">
        <f t="shared" si="2"/>
        <v>520</v>
      </c>
      <c r="K145" s="9">
        <f t="shared" si="3"/>
        <v>520</v>
      </c>
      <c r="L145" s="9">
        <f t="shared" si="4"/>
        <v>480</v>
      </c>
      <c r="M145" s="9">
        <f t="shared" si="5"/>
        <v>460</v>
      </c>
      <c r="N145" s="9">
        <f t="shared" si="6"/>
        <v>440</v>
      </c>
    </row>
    <row r="146">
      <c r="A146" s="4" t="s">
        <v>18</v>
      </c>
      <c r="B146" s="10" t="s">
        <v>105</v>
      </c>
      <c r="C146" s="5"/>
      <c r="D146" s="10" t="s">
        <v>297</v>
      </c>
      <c r="E146" s="11" t="s">
        <v>298</v>
      </c>
      <c r="F146" s="10" t="s">
        <v>40</v>
      </c>
      <c r="G146" s="12">
        <v>500.0</v>
      </c>
      <c r="H146" s="13"/>
      <c r="I146" s="8">
        <f t="shared" si="1"/>
        <v>750</v>
      </c>
      <c r="J146" s="8">
        <f t="shared" si="2"/>
        <v>650</v>
      </c>
      <c r="K146" s="9">
        <f t="shared" si="3"/>
        <v>650</v>
      </c>
      <c r="L146" s="9">
        <f t="shared" si="4"/>
        <v>600</v>
      </c>
      <c r="M146" s="9">
        <f t="shared" si="5"/>
        <v>575</v>
      </c>
      <c r="N146" s="9">
        <f t="shared" si="6"/>
        <v>550</v>
      </c>
    </row>
    <row r="147">
      <c r="A147" s="4" t="s">
        <v>18</v>
      </c>
      <c r="B147" s="10" t="s">
        <v>105</v>
      </c>
      <c r="C147" s="5"/>
      <c r="D147" s="10" t="s">
        <v>299</v>
      </c>
      <c r="E147" s="11" t="s">
        <v>300</v>
      </c>
      <c r="F147" s="10" t="s">
        <v>40</v>
      </c>
      <c r="G147" s="12">
        <v>1100.0</v>
      </c>
      <c r="H147" s="13"/>
      <c r="I147" s="8">
        <f t="shared" si="1"/>
        <v>1650</v>
      </c>
      <c r="J147" s="8">
        <f t="shared" si="2"/>
        <v>1430</v>
      </c>
      <c r="K147" s="9">
        <f t="shared" si="3"/>
        <v>1430</v>
      </c>
      <c r="L147" s="9">
        <f t="shared" si="4"/>
        <v>1320</v>
      </c>
      <c r="M147" s="9">
        <f t="shared" si="5"/>
        <v>1265</v>
      </c>
      <c r="N147" s="9">
        <f t="shared" si="6"/>
        <v>1210</v>
      </c>
    </row>
    <row r="148">
      <c r="A148" s="4" t="s">
        <v>18</v>
      </c>
      <c r="B148" s="10" t="s">
        <v>105</v>
      </c>
      <c r="C148" s="5"/>
      <c r="D148" s="10" t="s">
        <v>301</v>
      </c>
      <c r="E148" s="11" t="s">
        <v>302</v>
      </c>
      <c r="F148" s="10" t="s">
        <v>40</v>
      </c>
      <c r="G148" s="12">
        <v>700.0</v>
      </c>
      <c r="H148" s="13"/>
      <c r="I148" s="8">
        <f t="shared" si="1"/>
        <v>1050</v>
      </c>
      <c r="J148" s="8">
        <f t="shared" si="2"/>
        <v>910</v>
      </c>
      <c r="K148" s="9">
        <f t="shared" si="3"/>
        <v>910</v>
      </c>
      <c r="L148" s="9">
        <f t="shared" si="4"/>
        <v>840</v>
      </c>
      <c r="M148" s="9">
        <f t="shared" si="5"/>
        <v>805</v>
      </c>
      <c r="N148" s="9">
        <f t="shared" si="6"/>
        <v>770</v>
      </c>
    </row>
    <row r="149">
      <c r="A149" s="4" t="s">
        <v>18</v>
      </c>
      <c r="B149" s="10" t="s">
        <v>105</v>
      </c>
      <c r="C149" s="5"/>
      <c r="D149" s="10" t="s">
        <v>303</v>
      </c>
      <c r="E149" s="11" t="s">
        <v>304</v>
      </c>
      <c r="F149" s="10" t="s">
        <v>40</v>
      </c>
      <c r="G149" s="12">
        <v>3000.0</v>
      </c>
      <c r="H149" s="13"/>
      <c r="I149" s="8">
        <f t="shared" si="1"/>
        <v>4500</v>
      </c>
      <c r="J149" s="8">
        <f t="shared" si="2"/>
        <v>3900</v>
      </c>
      <c r="K149" s="9">
        <f t="shared" si="3"/>
        <v>3900</v>
      </c>
      <c r="L149" s="9">
        <f t="shared" si="4"/>
        <v>3600</v>
      </c>
      <c r="M149" s="9">
        <f t="shared" si="5"/>
        <v>3450</v>
      </c>
      <c r="N149" s="9">
        <f t="shared" si="6"/>
        <v>3300</v>
      </c>
    </row>
    <row r="150">
      <c r="A150" s="4" t="s">
        <v>18</v>
      </c>
      <c r="B150" s="10" t="s">
        <v>105</v>
      </c>
      <c r="C150" s="5"/>
      <c r="D150" s="10" t="s">
        <v>305</v>
      </c>
      <c r="E150" s="11" t="s">
        <v>306</v>
      </c>
      <c r="F150" s="10" t="s">
        <v>40</v>
      </c>
      <c r="G150" s="12">
        <v>3400.0</v>
      </c>
      <c r="H150" s="13"/>
      <c r="I150" s="8">
        <f t="shared" si="1"/>
        <v>5100</v>
      </c>
      <c r="J150" s="8">
        <f t="shared" si="2"/>
        <v>4420</v>
      </c>
      <c r="K150" s="9">
        <f t="shared" si="3"/>
        <v>4420</v>
      </c>
      <c r="L150" s="9">
        <f t="shared" si="4"/>
        <v>4080</v>
      </c>
      <c r="M150" s="9">
        <f t="shared" si="5"/>
        <v>3910</v>
      </c>
      <c r="N150" s="9">
        <f t="shared" si="6"/>
        <v>3740</v>
      </c>
    </row>
    <row r="151">
      <c r="A151" s="4" t="s">
        <v>18</v>
      </c>
      <c r="B151" s="10" t="s">
        <v>105</v>
      </c>
      <c r="C151" s="5"/>
      <c r="D151" s="10" t="s">
        <v>307</v>
      </c>
      <c r="E151" s="11" t="s">
        <v>308</v>
      </c>
      <c r="F151" s="10" t="s">
        <v>40</v>
      </c>
      <c r="G151" s="12">
        <v>900.0</v>
      </c>
      <c r="H151" s="13"/>
      <c r="I151" s="8">
        <f t="shared" si="1"/>
        <v>1350</v>
      </c>
      <c r="J151" s="8">
        <f t="shared" si="2"/>
        <v>1170</v>
      </c>
      <c r="K151" s="9">
        <f t="shared" si="3"/>
        <v>1170</v>
      </c>
      <c r="L151" s="9">
        <f t="shared" si="4"/>
        <v>1080</v>
      </c>
      <c r="M151" s="9">
        <f t="shared" si="5"/>
        <v>1035</v>
      </c>
      <c r="N151" s="9">
        <f t="shared" si="6"/>
        <v>990</v>
      </c>
    </row>
    <row r="152">
      <c r="A152" s="4" t="s">
        <v>18</v>
      </c>
      <c r="B152" s="10" t="s">
        <v>105</v>
      </c>
      <c r="C152" s="5"/>
      <c r="D152" s="10" t="s">
        <v>309</v>
      </c>
      <c r="E152" s="11" t="s">
        <v>310</v>
      </c>
      <c r="F152" s="10" t="s">
        <v>40</v>
      </c>
      <c r="G152" s="12">
        <v>1000.0</v>
      </c>
      <c r="H152" s="13"/>
      <c r="I152" s="8">
        <f t="shared" si="1"/>
        <v>1500</v>
      </c>
      <c r="J152" s="8">
        <f t="shared" si="2"/>
        <v>1300</v>
      </c>
      <c r="K152" s="9">
        <f t="shared" si="3"/>
        <v>1300</v>
      </c>
      <c r="L152" s="9">
        <f t="shared" si="4"/>
        <v>1200</v>
      </c>
      <c r="M152" s="9">
        <f t="shared" si="5"/>
        <v>1150</v>
      </c>
      <c r="N152" s="9">
        <f t="shared" si="6"/>
        <v>1100</v>
      </c>
    </row>
    <row r="153">
      <c r="A153" s="4" t="s">
        <v>18</v>
      </c>
      <c r="B153" s="10" t="s">
        <v>105</v>
      </c>
      <c r="C153" s="5"/>
      <c r="D153" s="10" t="s">
        <v>311</v>
      </c>
      <c r="E153" s="11" t="s">
        <v>312</v>
      </c>
      <c r="F153" s="10" t="s">
        <v>313</v>
      </c>
      <c r="G153" s="12">
        <v>3800.0</v>
      </c>
      <c r="H153" s="13"/>
      <c r="I153" s="8">
        <f t="shared" si="1"/>
        <v>5700</v>
      </c>
      <c r="J153" s="8">
        <f t="shared" si="2"/>
        <v>4940</v>
      </c>
      <c r="K153" s="9">
        <f t="shared" si="3"/>
        <v>4940</v>
      </c>
      <c r="L153" s="9">
        <f t="shared" si="4"/>
        <v>4560</v>
      </c>
      <c r="M153" s="9">
        <f t="shared" si="5"/>
        <v>4370</v>
      </c>
      <c r="N153" s="9">
        <f t="shared" si="6"/>
        <v>4180</v>
      </c>
    </row>
    <row r="154">
      <c r="A154" s="4" t="s">
        <v>18</v>
      </c>
      <c r="B154" s="10" t="s">
        <v>105</v>
      </c>
      <c r="C154" s="5"/>
      <c r="D154" s="10" t="s">
        <v>314</v>
      </c>
      <c r="E154" s="11" t="s">
        <v>315</v>
      </c>
      <c r="F154" s="10" t="s">
        <v>313</v>
      </c>
      <c r="G154" s="12">
        <v>1000.0</v>
      </c>
      <c r="H154" s="13"/>
      <c r="I154" s="8">
        <f t="shared" si="1"/>
        <v>1500</v>
      </c>
      <c r="J154" s="8">
        <f t="shared" si="2"/>
        <v>1300</v>
      </c>
      <c r="K154" s="9">
        <f t="shared" si="3"/>
        <v>1300</v>
      </c>
      <c r="L154" s="9">
        <f t="shared" si="4"/>
        <v>1200</v>
      </c>
      <c r="M154" s="9">
        <f t="shared" si="5"/>
        <v>1150</v>
      </c>
      <c r="N154" s="9">
        <f t="shared" si="6"/>
        <v>1100</v>
      </c>
    </row>
    <row r="155">
      <c r="A155" s="4" t="s">
        <v>18</v>
      </c>
      <c r="B155" s="10" t="s">
        <v>105</v>
      </c>
      <c r="C155" s="5"/>
      <c r="D155" s="10" t="s">
        <v>316</v>
      </c>
      <c r="E155" s="11" t="s">
        <v>317</v>
      </c>
      <c r="F155" s="10" t="s">
        <v>313</v>
      </c>
      <c r="G155" s="12">
        <v>4900.0</v>
      </c>
      <c r="H155" s="13"/>
      <c r="I155" s="8">
        <f t="shared" si="1"/>
        <v>7350</v>
      </c>
      <c r="J155" s="8">
        <f t="shared" si="2"/>
        <v>6370</v>
      </c>
      <c r="K155" s="9">
        <f t="shared" si="3"/>
        <v>6370</v>
      </c>
      <c r="L155" s="9">
        <f t="shared" si="4"/>
        <v>5880</v>
      </c>
      <c r="M155" s="9">
        <f t="shared" si="5"/>
        <v>5635</v>
      </c>
      <c r="N155" s="9">
        <f t="shared" si="6"/>
        <v>5390</v>
      </c>
    </row>
    <row r="156">
      <c r="A156" s="4" t="s">
        <v>18</v>
      </c>
      <c r="B156" s="10" t="s">
        <v>105</v>
      </c>
      <c r="C156" s="5"/>
      <c r="D156" s="10" t="s">
        <v>318</v>
      </c>
      <c r="E156" s="11" t="s">
        <v>319</v>
      </c>
      <c r="F156" s="10" t="s">
        <v>313</v>
      </c>
      <c r="G156" s="12">
        <v>4900.0</v>
      </c>
      <c r="H156" s="13"/>
      <c r="I156" s="8">
        <f t="shared" si="1"/>
        <v>7350</v>
      </c>
      <c r="J156" s="8">
        <f t="shared" si="2"/>
        <v>6370</v>
      </c>
      <c r="K156" s="9">
        <f t="shared" si="3"/>
        <v>6370</v>
      </c>
      <c r="L156" s="9">
        <f t="shared" si="4"/>
        <v>5880</v>
      </c>
      <c r="M156" s="9">
        <f t="shared" si="5"/>
        <v>5635</v>
      </c>
      <c r="N156" s="9">
        <f t="shared" si="6"/>
        <v>5390</v>
      </c>
    </row>
    <row r="157">
      <c r="A157" s="4" t="s">
        <v>18</v>
      </c>
      <c r="B157" s="10" t="s">
        <v>105</v>
      </c>
      <c r="C157" s="5"/>
      <c r="D157" s="10" t="s">
        <v>320</v>
      </c>
      <c r="E157" s="11" t="s">
        <v>321</v>
      </c>
      <c r="F157" s="10" t="s">
        <v>313</v>
      </c>
      <c r="G157" s="12">
        <v>4900.0</v>
      </c>
      <c r="H157" s="13"/>
      <c r="I157" s="8">
        <f t="shared" si="1"/>
        <v>7350</v>
      </c>
      <c r="J157" s="8">
        <f t="shared" si="2"/>
        <v>6370</v>
      </c>
      <c r="K157" s="9">
        <f t="shared" si="3"/>
        <v>6370</v>
      </c>
      <c r="L157" s="9">
        <f t="shared" si="4"/>
        <v>5880</v>
      </c>
      <c r="M157" s="9">
        <f t="shared" si="5"/>
        <v>5635</v>
      </c>
      <c r="N157" s="9">
        <f t="shared" si="6"/>
        <v>5390</v>
      </c>
    </row>
    <row r="158">
      <c r="A158" s="4" t="s">
        <v>18</v>
      </c>
      <c r="B158" s="10" t="s">
        <v>105</v>
      </c>
      <c r="C158" s="5"/>
      <c r="D158" s="10" t="s">
        <v>322</v>
      </c>
      <c r="E158" s="11" t="s">
        <v>323</v>
      </c>
      <c r="F158" s="10" t="s">
        <v>313</v>
      </c>
      <c r="G158" s="12">
        <v>6400.0</v>
      </c>
      <c r="H158" s="13"/>
      <c r="I158" s="8">
        <f t="shared" si="1"/>
        <v>9600</v>
      </c>
      <c r="J158" s="8">
        <f t="shared" si="2"/>
        <v>8320</v>
      </c>
      <c r="K158" s="9">
        <f t="shared" si="3"/>
        <v>8320</v>
      </c>
      <c r="L158" s="9">
        <f t="shared" si="4"/>
        <v>7680</v>
      </c>
      <c r="M158" s="9">
        <f t="shared" si="5"/>
        <v>7360</v>
      </c>
      <c r="N158" s="9">
        <f t="shared" si="6"/>
        <v>7040</v>
      </c>
    </row>
    <row r="159">
      <c r="A159" s="4" t="s">
        <v>18</v>
      </c>
      <c r="B159" s="10" t="s">
        <v>105</v>
      </c>
      <c r="C159" s="5"/>
      <c r="D159" s="10" t="s">
        <v>324</v>
      </c>
      <c r="E159" s="11" t="s">
        <v>325</v>
      </c>
      <c r="F159" s="10" t="s">
        <v>313</v>
      </c>
      <c r="G159" s="12">
        <v>6400.0</v>
      </c>
      <c r="H159" s="13"/>
      <c r="I159" s="8">
        <f t="shared" si="1"/>
        <v>9600</v>
      </c>
      <c r="J159" s="8">
        <f t="shared" si="2"/>
        <v>8320</v>
      </c>
      <c r="K159" s="9">
        <f t="shared" si="3"/>
        <v>8320</v>
      </c>
      <c r="L159" s="9">
        <f t="shared" si="4"/>
        <v>7680</v>
      </c>
      <c r="M159" s="9">
        <f t="shared" si="5"/>
        <v>7360</v>
      </c>
      <c r="N159" s="9">
        <f t="shared" si="6"/>
        <v>7040</v>
      </c>
    </row>
    <row r="160">
      <c r="A160" s="4" t="s">
        <v>18</v>
      </c>
      <c r="B160" s="10" t="s">
        <v>105</v>
      </c>
      <c r="C160" s="5"/>
      <c r="D160" s="10" t="s">
        <v>326</v>
      </c>
      <c r="E160" s="11" t="s">
        <v>327</v>
      </c>
      <c r="F160" s="10" t="s">
        <v>313</v>
      </c>
      <c r="G160" s="12">
        <v>1200.0</v>
      </c>
      <c r="H160" s="13"/>
      <c r="I160" s="8">
        <f t="shared" si="1"/>
        <v>1800</v>
      </c>
      <c r="J160" s="8">
        <f t="shared" si="2"/>
        <v>1560</v>
      </c>
      <c r="K160" s="9">
        <f t="shared" si="3"/>
        <v>1560</v>
      </c>
      <c r="L160" s="9">
        <f t="shared" si="4"/>
        <v>1440</v>
      </c>
      <c r="M160" s="9">
        <f t="shared" si="5"/>
        <v>1380</v>
      </c>
      <c r="N160" s="9">
        <f t="shared" si="6"/>
        <v>1320</v>
      </c>
    </row>
    <row r="161">
      <c r="A161" s="4" t="s">
        <v>18</v>
      </c>
      <c r="B161" s="10" t="s">
        <v>105</v>
      </c>
      <c r="C161" s="5"/>
      <c r="D161" s="10" t="s">
        <v>328</v>
      </c>
      <c r="E161" s="11" t="s">
        <v>312</v>
      </c>
      <c r="F161" s="10" t="s">
        <v>313</v>
      </c>
      <c r="G161" s="12">
        <v>2100.0</v>
      </c>
      <c r="H161" s="13"/>
      <c r="I161" s="8">
        <f t="shared" si="1"/>
        <v>3150</v>
      </c>
      <c r="J161" s="8">
        <f t="shared" si="2"/>
        <v>2730</v>
      </c>
      <c r="K161" s="9">
        <f t="shared" si="3"/>
        <v>2730</v>
      </c>
      <c r="L161" s="9">
        <f t="shared" si="4"/>
        <v>2520</v>
      </c>
      <c r="M161" s="9">
        <f t="shared" si="5"/>
        <v>2415</v>
      </c>
      <c r="N161" s="9">
        <f t="shared" si="6"/>
        <v>2310</v>
      </c>
    </row>
    <row r="162">
      <c r="A162" s="4" t="s">
        <v>18</v>
      </c>
      <c r="B162" s="10" t="s">
        <v>105</v>
      </c>
      <c r="C162" s="5"/>
      <c r="D162" s="10" t="s">
        <v>329</v>
      </c>
      <c r="E162" s="11" t="s">
        <v>330</v>
      </c>
      <c r="F162" s="10" t="s">
        <v>313</v>
      </c>
      <c r="G162" s="12">
        <v>1100.0</v>
      </c>
      <c r="H162" s="13"/>
      <c r="I162" s="8">
        <f t="shared" si="1"/>
        <v>1650</v>
      </c>
      <c r="J162" s="8">
        <f t="shared" si="2"/>
        <v>1430</v>
      </c>
      <c r="K162" s="9">
        <f t="shared" si="3"/>
        <v>1430</v>
      </c>
      <c r="L162" s="9">
        <f t="shared" si="4"/>
        <v>1320</v>
      </c>
      <c r="M162" s="9">
        <f t="shared" si="5"/>
        <v>1265</v>
      </c>
      <c r="N162" s="9">
        <f t="shared" si="6"/>
        <v>1210</v>
      </c>
    </row>
    <row r="163">
      <c r="A163" s="4" t="s">
        <v>18</v>
      </c>
      <c r="B163" s="10" t="s">
        <v>105</v>
      </c>
      <c r="C163" s="5"/>
      <c r="D163" s="10" t="s">
        <v>331</v>
      </c>
      <c r="E163" s="11" t="s">
        <v>332</v>
      </c>
      <c r="F163" s="10" t="s">
        <v>313</v>
      </c>
      <c r="G163" s="12">
        <v>4200.0</v>
      </c>
      <c r="H163" s="13"/>
      <c r="I163" s="8">
        <f t="shared" si="1"/>
        <v>6300</v>
      </c>
      <c r="J163" s="8">
        <f t="shared" si="2"/>
        <v>5460</v>
      </c>
      <c r="K163" s="9">
        <f t="shared" si="3"/>
        <v>5460</v>
      </c>
      <c r="L163" s="9">
        <f t="shared" si="4"/>
        <v>5040</v>
      </c>
      <c r="M163" s="9">
        <f t="shared" si="5"/>
        <v>4830</v>
      </c>
      <c r="N163" s="9">
        <f t="shared" si="6"/>
        <v>4620</v>
      </c>
    </row>
    <row r="164">
      <c r="A164" s="4" t="s">
        <v>18</v>
      </c>
      <c r="B164" s="10" t="s">
        <v>105</v>
      </c>
      <c r="C164" s="5"/>
      <c r="D164" s="10" t="s">
        <v>333</v>
      </c>
      <c r="E164" s="11" t="s">
        <v>334</v>
      </c>
      <c r="F164" s="10" t="s">
        <v>313</v>
      </c>
      <c r="G164" s="12">
        <v>4600.0</v>
      </c>
      <c r="H164" s="13"/>
      <c r="I164" s="8">
        <f t="shared" si="1"/>
        <v>6900</v>
      </c>
      <c r="J164" s="8">
        <f t="shared" si="2"/>
        <v>5980</v>
      </c>
      <c r="K164" s="9">
        <f t="shared" si="3"/>
        <v>5980</v>
      </c>
      <c r="L164" s="9">
        <f t="shared" si="4"/>
        <v>5520</v>
      </c>
      <c r="M164" s="9">
        <f t="shared" si="5"/>
        <v>5290</v>
      </c>
      <c r="N164" s="9">
        <f t="shared" si="6"/>
        <v>5060</v>
      </c>
    </row>
    <row r="165">
      <c r="A165" s="4" t="s">
        <v>18</v>
      </c>
      <c r="B165" s="10" t="s">
        <v>105</v>
      </c>
      <c r="C165" s="5"/>
      <c r="D165" s="10" t="s">
        <v>335</v>
      </c>
      <c r="E165" s="11" t="s">
        <v>336</v>
      </c>
      <c r="F165" s="10" t="s">
        <v>313</v>
      </c>
      <c r="G165" s="12">
        <v>3500.0</v>
      </c>
      <c r="H165" s="13"/>
      <c r="I165" s="8">
        <f t="shared" si="1"/>
        <v>5250</v>
      </c>
      <c r="J165" s="8">
        <f t="shared" si="2"/>
        <v>4550</v>
      </c>
      <c r="K165" s="9">
        <f t="shared" si="3"/>
        <v>4550</v>
      </c>
      <c r="L165" s="9">
        <f t="shared" si="4"/>
        <v>4200</v>
      </c>
      <c r="M165" s="9">
        <f t="shared" si="5"/>
        <v>4025</v>
      </c>
      <c r="N165" s="9">
        <f t="shared" si="6"/>
        <v>3850</v>
      </c>
    </row>
    <row r="166">
      <c r="A166" s="4" t="s">
        <v>18</v>
      </c>
      <c r="B166" s="10" t="s">
        <v>105</v>
      </c>
      <c r="C166" s="5"/>
      <c r="D166" s="10" t="s">
        <v>337</v>
      </c>
      <c r="E166" s="11" t="s">
        <v>338</v>
      </c>
      <c r="F166" s="10" t="s">
        <v>108</v>
      </c>
      <c r="G166" s="12">
        <v>1300.0</v>
      </c>
      <c r="H166" s="13"/>
      <c r="I166" s="8">
        <f t="shared" si="1"/>
        <v>1950</v>
      </c>
      <c r="J166" s="8">
        <f t="shared" si="2"/>
        <v>1690</v>
      </c>
      <c r="K166" s="9">
        <f t="shared" si="3"/>
        <v>1690</v>
      </c>
      <c r="L166" s="9">
        <f t="shared" si="4"/>
        <v>1560</v>
      </c>
      <c r="M166" s="9">
        <f t="shared" si="5"/>
        <v>1495</v>
      </c>
      <c r="N166" s="9">
        <f t="shared" si="6"/>
        <v>1430</v>
      </c>
    </row>
    <row r="167">
      <c r="A167" s="4" t="s">
        <v>18</v>
      </c>
      <c r="B167" s="10" t="s">
        <v>105</v>
      </c>
      <c r="C167" s="5"/>
      <c r="D167" s="10" t="s">
        <v>339</v>
      </c>
      <c r="E167" s="11" t="s">
        <v>340</v>
      </c>
      <c r="F167" s="10" t="s">
        <v>108</v>
      </c>
      <c r="G167" s="12">
        <v>2100.0</v>
      </c>
      <c r="H167" s="13"/>
      <c r="I167" s="8">
        <f t="shared" si="1"/>
        <v>3150</v>
      </c>
      <c r="J167" s="8">
        <f t="shared" si="2"/>
        <v>2730</v>
      </c>
      <c r="K167" s="9">
        <f t="shared" si="3"/>
        <v>2730</v>
      </c>
      <c r="L167" s="9">
        <f t="shared" si="4"/>
        <v>2520</v>
      </c>
      <c r="M167" s="9">
        <f t="shared" si="5"/>
        <v>2415</v>
      </c>
      <c r="N167" s="9">
        <f t="shared" si="6"/>
        <v>2310</v>
      </c>
    </row>
    <row r="168">
      <c r="A168" s="4" t="s">
        <v>18</v>
      </c>
      <c r="B168" s="10" t="s">
        <v>105</v>
      </c>
      <c r="C168" s="5"/>
      <c r="D168" s="10" t="s">
        <v>341</v>
      </c>
      <c r="E168" s="11" t="s">
        <v>342</v>
      </c>
      <c r="F168" s="10" t="s">
        <v>108</v>
      </c>
      <c r="G168" s="12">
        <v>2400.0</v>
      </c>
      <c r="H168" s="13"/>
      <c r="I168" s="8">
        <f t="shared" si="1"/>
        <v>3600</v>
      </c>
      <c r="J168" s="8">
        <f t="shared" si="2"/>
        <v>3120</v>
      </c>
      <c r="K168" s="9">
        <f t="shared" si="3"/>
        <v>3120</v>
      </c>
      <c r="L168" s="9">
        <f t="shared" si="4"/>
        <v>2880</v>
      </c>
      <c r="M168" s="9">
        <f t="shared" si="5"/>
        <v>2760</v>
      </c>
      <c r="N168" s="9">
        <f t="shared" si="6"/>
        <v>2640</v>
      </c>
    </row>
    <row r="169">
      <c r="A169" s="4" t="s">
        <v>18</v>
      </c>
      <c r="B169" s="10" t="s">
        <v>105</v>
      </c>
      <c r="C169" s="5"/>
      <c r="D169" s="10" t="s">
        <v>343</v>
      </c>
      <c r="E169" s="11" t="s">
        <v>344</v>
      </c>
      <c r="F169" s="10" t="s">
        <v>108</v>
      </c>
      <c r="G169" s="12">
        <v>2900.0</v>
      </c>
      <c r="H169" s="13"/>
      <c r="I169" s="8">
        <f t="shared" si="1"/>
        <v>4350</v>
      </c>
      <c r="J169" s="8">
        <f t="shared" si="2"/>
        <v>3770</v>
      </c>
      <c r="K169" s="9">
        <f t="shared" si="3"/>
        <v>3770</v>
      </c>
      <c r="L169" s="9">
        <f t="shared" si="4"/>
        <v>3480</v>
      </c>
      <c r="M169" s="9">
        <f t="shared" si="5"/>
        <v>3335</v>
      </c>
      <c r="N169" s="9">
        <f t="shared" si="6"/>
        <v>3190</v>
      </c>
    </row>
    <row r="170">
      <c r="A170" s="4" t="s">
        <v>18</v>
      </c>
      <c r="B170" s="10" t="s">
        <v>105</v>
      </c>
      <c r="C170" s="5"/>
      <c r="D170" s="10" t="s">
        <v>345</v>
      </c>
      <c r="E170" s="11" t="s">
        <v>346</v>
      </c>
      <c r="F170" s="10" t="s">
        <v>108</v>
      </c>
      <c r="G170" s="12">
        <v>3400.0</v>
      </c>
      <c r="H170" s="13"/>
      <c r="I170" s="8">
        <f t="shared" si="1"/>
        <v>5100</v>
      </c>
      <c r="J170" s="8">
        <f t="shared" si="2"/>
        <v>4420</v>
      </c>
      <c r="K170" s="9">
        <f t="shared" si="3"/>
        <v>4420</v>
      </c>
      <c r="L170" s="9">
        <f t="shared" si="4"/>
        <v>4080</v>
      </c>
      <c r="M170" s="9">
        <f t="shared" si="5"/>
        <v>3910</v>
      </c>
      <c r="N170" s="9">
        <f t="shared" si="6"/>
        <v>3740</v>
      </c>
    </row>
    <row r="171">
      <c r="A171" s="4" t="s">
        <v>18</v>
      </c>
      <c r="B171" s="10" t="s">
        <v>105</v>
      </c>
      <c r="C171" s="5"/>
      <c r="D171" s="10" t="s">
        <v>347</v>
      </c>
      <c r="E171" s="11" t="s">
        <v>348</v>
      </c>
      <c r="F171" s="10" t="s">
        <v>108</v>
      </c>
      <c r="G171" s="12">
        <v>3900.0</v>
      </c>
      <c r="H171" s="13"/>
      <c r="I171" s="8">
        <f t="shared" si="1"/>
        <v>5850</v>
      </c>
      <c r="J171" s="8">
        <f t="shared" si="2"/>
        <v>5070</v>
      </c>
      <c r="K171" s="9">
        <f t="shared" si="3"/>
        <v>5070</v>
      </c>
      <c r="L171" s="9">
        <f t="shared" si="4"/>
        <v>4680</v>
      </c>
      <c r="M171" s="9">
        <f t="shared" si="5"/>
        <v>4485</v>
      </c>
      <c r="N171" s="9">
        <f t="shared" si="6"/>
        <v>4290</v>
      </c>
    </row>
    <row r="172">
      <c r="A172" s="4" t="s">
        <v>18</v>
      </c>
      <c r="B172" s="10" t="s">
        <v>105</v>
      </c>
      <c r="C172" s="5"/>
      <c r="D172" s="10" t="s">
        <v>349</v>
      </c>
      <c r="E172" s="11" t="s">
        <v>350</v>
      </c>
      <c r="F172" s="10" t="s">
        <v>108</v>
      </c>
      <c r="G172" s="12">
        <v>1100.0</v>
      </c>
      <c r="H172" s="13"/>
      <c r="I172" s="8">
        <f t="shared" si="1"/>
        <v>1650</v>
      </c>
      <c r="J172" s="8">
        <f t="shared" si="2"/>
        <v>1430</v>
      </c>
      <c r="K172" s="9">
        <f t="shared" si="3"/>
        <v>1430</v>
      </c>
      <c r="L172" s="9">
        <f t="shared" si="4"/>
        <v>1320</v>
      </c>
      <c r="M172" s="9">
        <f t="shared" si="5"/>
        <v>1265</v>
      </c>
      <c r="N172" s="9">
        <f t="shared" si="6"/>
        <v>1210</v>
      </c>
    </row>
    <row r="173">
      <c r="A173" s="4" t="s">
        <v>18</v>
      </c>
      <c r="B173" s="10" t="s">
        <v>105</v>
      </c>
      <c r="C173" s="5"/>
      <c r="D173" s="10" t="s">
        <v>351</v>
      </c>
      <c r="E173" s="11" t="s">
        <v>352</v>
      </c>
      <c r="F173" s="10" t="s">
        <v>108</v>
      </c>
      <c r="G173" s="12">
        <v>1600.0</v>
      </c>
      <c r="H173" s="13"/>
      <c r="I173" s="8">
        <f t="shared" si="1"/>
        <v>2400</v>
      </c>
      <c r="J173" s="8">
        <f t="shared" si="2"/>
        <v>2080</v>
      </c>
      <c r="K173" s="9">
        <f t="shared" si="3"/>
        <v>2080</v>
      </c>
      <c r="L173" s="9">
        <f t="shared" si="4"/>
        <v>1920</v>
      </c>
      <c r="M173" s="9">
        <f t="shared" si="5"/>
        <v>1840</v>
      </c>
      <c r="N173" s="9">
        <f t="shared" si="6"/>
        <v>1760</v>
      </c>
    </row>
    <row r="174">
      <c r="A174" s="4" t="s">
        <v>18</v>
      </c>
      <c r="B174" s="10" t="s">
        <v>105</v>
      </c>
      <c r="C174" s="5"/>
      <c r="D174" s="10" t="s">
        <v>353</v>
      </c>
      <c r="E174" s="11" t="s">
        <v>354</v>
      </c>
      <c r="F174" s="10" t="s">
        <v>108</v>
      </c>
      <c r="G174" s="12">
        <v>2000.0</v>
      </c>
      <c r="H174" s="13"/>
      <c r="I174" s="8">
        <f t="shared" si="1"/>
        <v>3000</v>
      </c>
      <c r="J174" s="8">
        <f t="shared" si="2"/>
        <v>2600</v>
      </c>
      <c r="K174" s="9">
        <f t="shared" si="3"/>
        <v>2600</v>
      </c>
      <c r="L174" s="9">
        <f t="shared" si="4"/>
        <v>2400</v>
      </c>
      <c r="M174" s="9">
        <f t="shared" si="5"/>
        <v>2300</v>
      </c>
      <c r="N174" s="9">
        <f t="shared" si="6"/>
        <v>2200</v>
      </c>
    </row>
    <row r="175">
      <c r="A175" s="4" t="s">
        <v>18</v>
      </c>
      <c r="B175" s="10" t="s">
        <v>105</v>
      </c>
      <c r="C175" s="5"/>
      <c r="D175" s="10" t="s">
        <v>355</v>
      </c>
      <c r="E175" s="11" t="s">
        <v>356</v>
      </c>
      <c r="F175" s="10" t="s">
        <v>108</v>
      </c>
      <c r="G175" s="12">
        <v>2400.0</v>
      </c>
      <c r="H175" s="13"/>
      <c r="I175" s="8">
        <f t="shared" si="1"/>
        <v>3600</v>
      </c>
      <c r="J175" s="8">
        <f t="shared" si="2"/>
        <v>3120</v>
      </c>
      <c r="K175" s="9">
        <f t="shared" si="3"/>
        <v>3120</v>
      </c>
      <c r="L175" s="9">
        <f t="shared" si="4"/>
        <v>2880</v>
      </c>
      <c r="M175" s="9">
        <f t="shared" si="5"/>
        <v>2760</v>
      </c>
      <c r="N175" s="9">
        <f t="shared" si="6"/>
        <v>2640</v>
      </c>
    </row>
    <row r="176">
      <c r="A176" s="4" t="s">
        <v>18</v>
      </c>
      <c r="B176" s="10" t="s">
        <v>105</v>
      </c>
      <c r="C176" s="5"/>
      <c r="D176" s="10" t="s">
        <v>357</v>
      </c>
      <c r="E176" s="11" t="s">
        <v>358</v>
      </c>
      <c r="F176" s="10" t="s">
        <v>108</v>
      </c>
      <c r="G176" s="12">
        <v>2800.0</v>
      </c>
      <c r="H176" s="13"/>
      <c r="I176" s="8">
        <f t="shared" si="1"/>
        <v>4200</v>
      </c>
      <c r="J176" s="8">
        <f t="shared" si="2"/>
        <v>3640</v>
      </c>
      <c r="K176" s="9">
        <f t="shared" si="3"/>
        <v>3640</v>
      </c>
      <c r="L176" s="9">
        <f t="shared" si="4"/>
        <v>3360</v>
      </c>
      <c r="M176" s="9">
        <f t="shared" si="5"/>
        <v>3220</v>
      </c>
      <c r="N176" s="9">
        <f t="shared" si="6"/>
        <v>3080</v>
      </c>
    </row>
    <row r="177">
      <c r="A177" s="4" t="s">
        <v>18</v>
      </c>
      <c r="B177" s="10" t="s">
        <v>105</v>
      </c>
      <c r="C177" s="5"/>
      <c r="D177" s="10" t="s">
        <v>359</v>
      </c>
      <c r="E177" s="11" t="s">
        <v>360</v>
      </c>
      <c r="F177" s="10" t="s">
        <v>108</v>
      </c>
      <c r="G177" s="12">
        <v>3200.0</v>
      </c>
      <c r="H177" s="13"/>
      <c r="I177" s="8">
        <f t="shared" si="1"/>
        <v>4800</v>
      </c>
      <c r="J177" s="8">
        <f t="shared" si="2"/>
        <v>4160</v>
      </c>
      <c r="K177" s="9">
        <f t="shared" si="3"/>
        <v>4160</v>
      </c>
      <c r="L177" s="9">
        <f t="shared" si="4"/>
        <v>3840</v>
      </c>
      <c r="M177" s="9">
        <f t="shared" si="5"/>
        <v>3680</v>
      </c>
      <c r="N177" s="9">
        <f t="shared" si="6"/>
        <v>3520</v>
      </c>
    </row>
    <row r="178">
      <c r="A178" s="4" t="s">
        <v>18</v>
      </c>
      <c r="B178" s="10" t="s">
        <v>105</v>
      </c>
      <c r="C178" s="5"/>
      <c r="D178" s="10" t="s">
        <v>361</v>
      </c>
      <c r="E178" s="11" t="s">
        <v>362</v>
      </c>
      <c r="F178" s="10" t="s">
        <v>108</v>
      </c>
      <c r="G178" s="12">
        <v>1900.0</v>
      </c>
      <c r="H178" s="13"/>
      <c r="I178" s="8">
        <f t="shared" si="1"/>
        <v>2850</v>
      </c>
      <c r="J178" s="8">
        <f t="shared" si="2"/>
        <v>2470</v>
      </c>
      <c r="K178" s="9">
        <f t="shared" si="3"/>
        <v>2470</v>
      </c>
      <c r="L178" s="9">
        <f t="shared" si="4"/>
        <v>2280</v>
      </c>
      <c r="M178" s="9">
        <f t="shared" si="5"/>
        <v>2185</v>
      </c>
      <c r="N178" s="9">
        <f t="shared" si="6"/>
        <v>2090</v>
      </c>
    </row>
    <row r="179">
      <c r="A179" s="4" t="s">
        <v>18</v>
      </c>
      <c r="B179" s="10" t="s">
        <v>105</v>
      </c>
      <c r="C179" s="5"/>
      <c r="D179" s="10" t="s">
        <v>363</v>
      </c>
      <c r="E179" s="11" t="s">
        <v>364</v>
      </c>
      <c r="F179" s="10" t="s">
        <v>108</v>
      </c>
      <c r="G179" s="12">
        <v>2950.0</v>
      </c>
      <c r="H179" s="13"/>
      <c r="I179" s="8">
        <f t="shared" si="1"/>
        <v>4425</v>
      </c>
      <c r="J179" s="8">
        <f t="shared" si="2"/>
        <v>3835</v>
      </c>
      <c r="K179" s="9">
        <f t="shared" si="3"/>
        <v>3835</v>
      </c>
      <c r="L179" s="9">
        <f t="shared" si="4"/>
        <v>3540</v>
      </c>
      <c r="M179" s="9">
        <f t="shared" si="5"/>
        <v>3392.5</v>
      </c>
      <c r="N179" s="9">
        <f t="shared" si="6"/>
        <v>3245</v>
      </c>
    </row>
    <row r="180">
      <c r="A180" s="4" t="s">
        <v>18</v>
      </c>
      <c r="B180" s="10" t="s">
        <v>105</v>
      </c>
      <c r="C180" s="5"/>
      <c r="D180" s="10" t="s">
        <v>365</v>
      </c>
      <c r="E180" s="11" t="s">
        <v>366</v>
      </c>
      <c r="F180" s="10" t="s">
        <v>108</v>
      </c>
      <c r="G180" s="12">
        <v>3500.0</v>
      </c>
      <c r="H180" s="13"/>
      <c r="I180" s="8">
        <f t="shared" si="1"/>
        <v>5250</v>
      </c>
      <c r="J180" s="8">
        <f t="shared" si="2"/>
        <v>4550</v>
      </c>
      <c r="K180" s="9">
        <f t="shared" si="3"/>
        <v>4550</v>
      </c>
      <c r="L180" s="9">
        <f t="shared" si="4"/>
        <v>4200</v>
      </c>
      <c r="M180" s="9">
        <f t="shared" si="5"/>
        <v>4025</v>
      </c>
      <c r="N180" s="9">
        <f t="shared" si="6"/>
        <v>3850</v>
      </c>
    </row>
    <row r="181">
      <c r="A181" s="4" t="s">
        <v>18</v>
      </c>
      <c r="B181" s="10" t="s">
        <v>105</v>
      </c>
      <c r="C181" s="5"/>
      <c r="D181" s="10" t="s">
        <v>367</v>
      </c>
      <c r="E181" s="11" t="s">
        <v>368</v>
      </c>
      <c r="F181" s="10" t="s">
        <v>108</v>
      </c>
      <c r="G181" s="12">
        <v>4200.0</v>
      </c>
      <c r="H181" s="13"/>
      <c r="I181" s="8">
        <f t="shared" si="1"/>
        <v>6300</v>
      </c>
      <c r="J181" s="8">
        <f t="shared" si="2"/>
        <v>5460</v>
      </c>
      <c r="K181" s="9">
        <f t="shared" si="3"/>
        <v>5460</v>
      </c>
      <c r="L181" s="9">
        <f t="shared" si="4"/>
        <v>5040</v>
      </c>
      <c r="M181" s="9">
        <f t="shared" si="5"/>
        <v>4830</v>
      </c>
      <c r="N181" s="9">
        <f t="shared" si="6"/>
        <v>4620</v>
      </c>
    </row>
    <row r="182">
      <c r="A182" s="4" t="s">
        <v>18</v>
      </c>
      <c r="B182" s="10" t="s">
        <v>105</v>
      </c>
      <c r="C182" s="5"/>
      <c r="D182" s="10" t="s">
        <v>369</v>
      </c>
      <c r="E182" s="11" t="s">
        <v>370</v>
      </c>
      <c r="F182" s="10" t="s">
        <v>108</v>
      </c>
      <c r="G182" s="12">
        <v>4900.0</v>
      </c>
      <c r="H182" s="13"/>
      <c r="I182" s="8">
        <f t="shared" si="1"/>
        <v>7350</v>
      </c>
      <c r="J182" s="8">
        <f t="shared" si="2"/>
        <v>6370</v>
      </c>
      <c r="K182" s="9">
        <f t="shared" si="3"/>
        <v>6370</v>
      </c>
      <c r="L182" s="9">
        <f t="shared" si="4"/>
        <v>5880</v>
      </c>
      <c r="M182" s="9">
        <f t="shared" si="5"/>
        <v>5635</v>
      </c>
      <c r="N182" s="9">
        <f t="shared" si="6"/>
        <v>5390</v>
      </c>
    </row>
    <row r="183">
      <c r="A183" s="4" t="s">
        <v>18</v>
      </c>
      <c r="B183" s="10" t="s">
        <v>105</v>
      </c>
      <c r="C183" s="5"/>
      <c r="D183" s="10" t="s">
        <v>371</v>
      </c>
      <c r="E183" s="11" t="s">
        <v>372</v>
      </c>
      <c r="F183" s="10" t="s">
        <v>108</v>
      </c>
      <c r="G183" s="12">
        <v>5600.0</v>
      </c>
      <c r="H183" s="13"/>
      <c r="I183" s="8">
        <f t="shared" si="1"/>
        <v>8400</v>
      </c>
      <c r="J183" s="8">
        <f t="shared" si="2"/>
        <v>7280</v>
      </c>
      <c r="K183" s="9">
        <f t="shared" si="3"/>
        <v>7280</v>
      </c>
      <c r="L183" s="9">
        <f t="shared" si="4"/>
        <v>6720</v>
      </c>
      <c r="M183" s="9">
        <f t="shared" si="5"/>
        <v>6440</v>
      </c>
      <c r="N183" s="9">
        <f t="shared" si="6"/>
        <v>6160</v>
      </c>
    </row>
    <row r="184">
      <c r="A184" s="4" t="s">
        <v>18</v>
      </c>
      <c r="B184" s="10" t="s">
        <v>105</v>
      </c>
      <c r="C184" s="5"/>
      <c r="D184" s="10" t="s">
        <v>373</v>
      </c>
      <c r="E184" s="11" t="s">
        <v>374</v>
      </c>
      <c r="F184" s="10" t="s">
        <v>108</v>
      </c>
      <c r="G184" s="12">
        <v>1400.0</v>
      </c>
      <c r="H184" s="13"/>
      <c r="I184" s="8">
        <f t="shared" si="1"/>
        <v>2100</v>
      </c>
      <c r="J184" s="8">
        <f t="shared" si="2"/>
        <v>1820</v>
      </c>
      <c r="K184" s="9">
        <f t="shared" si="3"/>
        <v>1820</v>
      </c>
      <c r="L184" s="9">
        <f t="shared" si="4"/>
        <v>1680</v>
      </c>
      <c r="M184" s="9">
        <f t="shared" si="5"/>
        <v>1610</v>
      </c>
      <c r="N184" s="9">
        <f t="shared" si="6"/>
        <v>1540</v>
      </c>
    </row>
    <row r="185">
      <c r="A185" s="4" t="s">
        <v>18</v>
      </c>
      <c r="B185" s="10" t="s">
        <v>105</v>
      </c>
      <c r="C185" s="5"/>
      <c r="D185" s="10" t="s">
        <v>375</v>
      </c>
      <c r="E185" s="11" t="s">
        <v>376</v>
      </c>
      <c r="F185" s="10" t="s">
        <v>108</v>
      </c>
      <c r="G185" s="12">
        <v>2100.0</v>
      </c>
      <c r="H185" s="13"/>
      <c r="I185" s="8">
        <f t="shared" si="1"/>
        <v>3150</v>
      </c>
      <c r="J185" s="8">
        <f t="shared" si="2"/>
        <v>2730</v>
      </c>
      <c r="K185" s="9">
        <f t="shared" si="3"/>
        <v>2730</v>
      </c>
      <c r="L185" s="9">
        <f t="shared" si="4"/>
        <v>2520</v>
      </c>
      <c r="M185" s="9">
        <f t="shared" si="5"/>
        <v>2415</v>
      </c>
      <c r="N185" s="9">
        <f t="shared" si="6"/>
        <v>2310</v>
      </c>
    </row>
    <row r="186">
      <c r="A186" s="4" t="s">
        <v>18</v>
      </c>
      <c r="B186" s="10" t="s">
        <v>105</v>
      </c>
      <c r="C186" s="5"/>
      <c r="D186" s="10" t="s">
        <v>377</v>
      </c>
      <c r="E186" s="11" t="s">
        <v>378</v>
      </c>
      <c r="F186" s="10" t="s">
        <v>108</v>
      </c>
      <c r="G186" s="12">
        <v>2600.0</v>
      </c>
      <c r="H186" s="13"/>
      <c r="I186" s="8">
        <f t="shared" si="1"/>
        <v>3900</v>
      </c>
      <c r="J186" s="8">
        <f t="shared" si="2"/>
        <v>3380</v>
      </c>
      <c r="K186" s="9">
        <f t="shared" si="3"/>
        <v>3380</v>
      </c>
      <c r="L186" s="9">
        <f t="shared" si="4"/>
        <v>3120</v>
      </c>
      <c r="M186" s="9">
        <f t="shared" si="5"/>
        <v>2990</v>
      </c>
      <c r="N186" s="9">
        <f t="shared" si="6"/>
        <v>2860</v>
      </c>
    </row>
    <row r="187">
      <c r="A187" s="4" t="s">
        <v>18</v>
      </c>
      <c r="B187" s="10" t="s">
        <v>105</v>
      </c>
      <c r="C187" s="5"/>
      <c r="D187" s="10" t="s">
        <v>379</v>
      </c>
      <c r="E187" s="11" t="s">
        <v>380</v>
      </c>
      <c r="F187" s="10" t="s">
        <v>108</v>
      </c>
      <c r="G187" s="12">
        <v>3100.0</v>
      </c>
      <c r="H187" s="13"/>
      <c r="I187" s="8">
        <f t="shared" si="1"/>
        <v>4650</v>
      </c>
      <c r="J187" s="8">
        <f t="shared" si="2"/>
        <v>4030</v>
      </c>
      <c r="K187" s="9">
        <f t="shared" si="3"/>
        <v>4030</v>
      </c>
      <c r="L187" s="9">
        <f t="shared" si="4"/>
        <v>3720</v>
      </c>
      <c r="M187" s="9">
        <f t="shared" si="5"/>
        <v>3565</v>
      </c>
      <c r="N187" s="9">
        <f t="shared" si="6"/>
        <v>3410</v>
      </c>
    </row>
    <row r="188">
      <c r="A188" s="4" t="s">
        <v>18</v>
      </c>
      <c r="B188" s="10" t="s">
        <v>105</v>
      </c>
      <c r="C188" s="5"/>
      <c r="D188" s="10" t="s">
        <v>381</v>
      </c>
      <c r="E188" s="11" t="s">
        <v>382</v>
      </c>
      <c r="F188" s="10" t="s">
        <v>108</v>
      </c>
      <c r="G188" s="12">
        <v>3700.0</v>
      </c>
      <c r="H188" s="13"/>
      <c r="I188" s="8">
        <f t="shared" si="1"/>
        <v>5550</v>
      </c>
      <c r="J188" s="8">
        <f t="shared" si="2"/>
        <v>4810</v>
      </c>
      <c r="K188" s="9">
        <f t="shared" si="3"/>
        <v>4810</v>
      </c>
      <c r="L188" s="9">
        <f t="shared" si="4"/>
        <v>4440</v>
      </c>
      <c r="M188" s="9">
        <f t="shared" si="5"/>
        <v>4255</v>
      </c>
      <c r="N188" s="9">
        <f t="shared" si="6"/>
        <v>4070</v>
      </c>
    </row>
    <row r="189">
      <c r="A189" s="4" t="s">
        <v>18</v>
      </c>
      <c r="B189" s="10" t="s">
        <v>105</v>
      </c>
      <c r="C189" s="5"/>
      <c r="D189" s="10" t="s">
        <v>383</v>
      </c>
      <c r="E189" s="11" t="s">
        <v>384</v>
      </c>
      <c r="F189" s="10" t="s">
        <v>108</v>
      </c>
      <c r="G189" s="12">
        <v>4200.0</v>
      </c>
      <c r="H189" s="13"/>
      <c r="I189" s="8">
        <f t="shared" si="1"/>
        <v>6300</v>
      </c>
      <c r="J189" s="8">
        <f t="shared" si="2"/>
        <v>5460</v>
      </c>
      <c r="K189" s="9">
        <f t="shared" si="3"/>
        <v>5460</v>
      </c>
      <c r="L189" s="9">
        <f t="shared" si="4"/>
        <v>5040</v>
      </c>
      <c r="M189" s="9">
        <f t="shared" si="5"/>
        <v>4830</v>
      </c>
      <c r="N189" s="9">
        <f t="shared" si="6"/>
        <v>4620</v>
      </c>
    </row>
    <row r="190">
      <c r="A190" s="4" t="s">
        <v>18</v>
      </c>
      <c r="B190" s="10" t="s">
        <v>105</v>
      </c>
      <c r="C190" s="5"/>
      <c r="D190" s="10" t="s">
        <v>385</v>
      </c>
      <c r="E190" s="11" t="s">
        <v>386</v>
      </c>
      <c r="F190" s="10" t="s">
        <v>108</v>
      </c>
      <c r="G190" s="12">
        <v>1600.0</v>
      </c>
      <c r="H190" s="13"/>
      <c r="I190" s="8">
        <f t="shared" si="1"/>
        <v>2400</v>
      </c>
      <c r="J190" s="8">
        <f t="shared" si="2"/>
        <v>2080</v>
      </c>
      <c r="K190" s="9">
        <f t="shared" si="3"/>
        <v>2080</v>
      </c>
      <c r="L190" s="9">
        <f t="shared" si="4"/>
        <v>1920</v>
      </c>
      <c r="M190" s="9">
        <f t="shared" si="5"/>
        <v>1840</v>
      </c>
      <c r="N190" s="9">
        <f t="shared" si="6"/>
        <v>1760</v>
      </c>
    </row>
    <row r="191">
      <c r="A191" s="4" t="s">
        <v>18</v>
      </c>
      <c r="B191" s="10" t="s">
        <v>105</v>
      </c>
      <c r="C191" s="5"/>
      <c r="D191" s="10" t="s">
        <v>387</v>
      </c>
      <c r="E191" s="11" t="s">
        <v>388</v>
      </c>
      <c r="F191" s="10" t="s">
        <v>108</v>
      </c>
      <c r="G191" s="12">
        <v>2400.0</v>
      </c>
      <c r="H191" s="13"/>
      <c r="I191" s="8">
        <f t="shared" si="1"/>
        <v>3600</v>
      </c>
      <c r="J191" s="8">
        <f t="shared" si="2"/>
        <v>3120</v>
      </c>
      <c r="K191" s="9">
        <f t="shared" si="3"/>
        <v>3120</v>
      </c>
      <c r="L191" s="9">
        <f t="shared" si="4"/>
        <v>2880</v>
      </c>
      <c r="M191" s="9">
        <f t="shared" si="5"/>
        <v>2760</v>
      </c>
      <c r="N191" s="9">
        <f t="shared" si="6"/>
        <v>2640</v>
      </c>
    </row>
    <row r="192">
      <c r="A192" s="4" t="s">
        <v>18</v>
      </c>
      <c r="B192" s="10" t="s">
        <v>105</v>
      </c>
      <c r="C192" s="5"/>
      <c r="D192" s="10" t="s">
        <v>389</v>
      </c>
      <c r="E192" s="11" t="s">
        <v>390</v>
      </c>
      <c r="F192" s="10" t="s">
        <v>108</v>
      </c>
      <c r="G192" s="12">
        <v>2900.0</v>
      </c>
      <c r="H192" s="13"/>
      <c r="I192" s="8">
        <f t="shared" si="1"/>
        <v>4350</v>
      </c>
      <c r="J192" s="8">
        <f t="shared" si="2"/>
        <v>3770</v>
      </c>
      <c r="K192" s="9">
        <f t="shared" si="3"/>
        <v>3770</v>
      </c>
      <c r="L192" s="9">
        <f t="shared" si="4"/>
        <v>3480</v>
      </c>
      <c r="M192" s="9">
        <f t="shared" si="5"/>
        <v>3335</v>
      </c>
      <c r="N192" s="9">
        <f t="shared" si="6"/>
        <v>3190</v>
      </c>
    </row>
    <row r="193">
      <c r="A193" s="4" t="s">
        <v>18</v>
      </c>
      <c r="B193" s="10" t="s">
        <v>105</v>
      </c>
      <c r="C193" s="5"/>
      <c r="D193" s="10" t="s">
        <v>391</v>
      </c>
      <c r="E193" s="11" t="s">
        <v>392</v>
      </c>
      <c r="F193" s="10" t="s">
        <v>108</v>
      </c>
      <c r="G193" s="12">
        <v>3500.0</v>
      </c>
      <c r="H193" s="13"/>
      <c r="I193" s="8">
        <f t="shared" si="1"/>
        <v>5250</v>
      </c>
      <c r="J193" s="8">
        <f t="shared" si="2"/>
        <v>4550</v>
      </c>
      <c r="K193" s="9">
        <f t="shared" si="3"/>
        <v>4550</v>
      </c>
      <c r="L193" s="9">
        <f t="shared" si="4"/>
        <v>4200</v>
      </c>
      <c r="M193" s="9">
        <f t="shared" si="5"/>
        <v>4025</v>
      </c>
      <c r="N193" s="9">
        <f t="shared" si="6"/>
        <v>3850</v>
      </c>
    </row>
    <row r="194">
      <c r="A194" s="4" t="s">
        <v>18</v>
      </c>
      <c r="B194" s="10" t="s">
        <v>105</v>
      </c>
      <c r="C194" s="5"/>
      <c r="D194" s="10" t="s">
        <v>393</v>
      </c>
      <c r="E194" s="11" t="s">
        <v>394</v>
      </c>
      <c r="F194" s="10" t="s">
        <v>108</v>
      </c>
      <c r="G194" s="12">
        <v>4100.0</v>
      </c>
      <c r="H194" s="13"/>
      <c r="I194" s="8">
        <f t="shared" si="1"/>
        <v>6150</v>
      </c>
      <c r="J194" s="8">
        <f t="shared" si="2"/>
        <v>5330</v>
      </c>
      <c r="K194" s="9">
        <f t="shared" si="3"/>
        <v>5330</v>
      </c>
      <c r="L194" s="9">
        <f t="shared" si="4"/>
        <v>4920</v>
      </c>
      <c r="M194" s="9">
        <f t="shared" si="5"/>
        <v>4715</v>
      </c>
      <c r="N194" s="9">
        <f t="shared" si="6"/>
        <v>4510</v>
      </c>
    </row>
    <row r="195">
      <c r="A195" s="4" t="s">
        <v>18</v>
      </c>
      <c r="B195" s="10" t="s">
        <v>105</v>
      </c>
      <c r="C195" s="5"/>
      <c r="D195" s="10" t="s">
        <v>395</v>
      </c>
      <c r="E195" s="11" t="s">
        <v>396</v>
      </c>
      <c r="F195" s="10" t="s">
        <v>108</v>
      </c>
      <c r="G195" s="12">
        <v>4700.0</v>
      </c>
      <c r="H195" s="13"/>
      <c r="I195" s="8">
        <f t="shared" si="1"/>
        <v>7050</v>
      </c>
      <c r="J195" s="8">
        <f t="shared" si="2"/>
        <v>6110</v>
      </c>
      <c r="K195" s="9">
        <f t="shared" si="3"/>
        <v>6110</v>
      </c>
      <c r="L195" s="9">
        <f t="shared" si="4"/>
        <v>5640</v>
      </c>
      <c r="M195" s="9">
        <f t="shared" si="5"/>
        <v>5405</v>
      </c>
      <c r="N195" s="9">
        <f t="shared" si="6"/>
        <v>5170</v>
      </c>
    </row>
    <row r="196">
      <c r="A196" s="4" t="s">
        <v>18</v>
      </c>
      <c r="B196" s="10" t="s">
        <v>105</v>
      </c>
      <c r="C196" s="5"/>
      <c r="D196" s="10" t="s">
        <v>397</v>
      </c>
      <c r="E196" s="11" t="s">
        <v>398</v>
      </c>
      <c r="F196" s="10" t="s">
        <v>108</v>
      </c>
      <c r="G196" s="12">
        <v>1200.0</v>
      </c>
      <c r="H196" s="13"/>
      <c r="I196" s="8">
        <f t="shared" si="1"/>
        <v>1800</v>
      </c>
      <c r="J196" s="8">
        <f t="shared" si="2"/>
        <v>1560</v>
      </c>
      <c r="K196" s="9">
        <f t="shared" si="3"/>
        <v>1560</v>
      </c>
      <c r="L196" s="9">
        <f t="shared" si="4"/>
        <v>1440</v>
      </c>
      <c r="M196" s="9">
        <f t="shared" si="5"/>
        <v>1380</v>
      </c>
      <c r="N196" s="9">
        <f t="shared" si="6"/>
        <v>1320</v>
      </c>
    </row>
    <row r="197">
      <c r="A197" s="4" t="s">
        <v>18</v>
      </c>
      <c r="B197" s="10" t="s">
        <v>105</v>
      </c>
      <c r="C197" s="5"/>
      <c r="D197" s="10" t="s">
        <v>399</v>
      </c>
      <c r="E197" s="11" t="s">
        <v>400</v>
      </c>
      <c r="F197" s="10" t="s">
        <v>108</v>
      </c>
      <c r="G197" s="12">
        <v>1700.0</v>
      </c>
      <c r="H197" s="13"/>
      <c r="I197" s="8">
        <f t="shared" si="1"/>
        <v>2550</v>
      </c>
      <c r="J197" s="8">
        <f t="shared" si="2"/>
        <v>2210</v>
      </c>
      <c r="K197" s="9">
        <f t="shared" si="3"/>
        <v>2210</v>
      </c>
      <c r="L197" s="9">
        <f t="shared" si="4"/>
        <v>2040</v>
      </c>
      <c r="M197" s="9">
        <f t="shared" si="5"/>
        <v>1955</v>
      </c>
      <c r="N197" s="9">
        <f t="shared" si="6"/>
        <v>1870</v>
      </c>
    </row>
    <row r="198">
      <c r="A198" s="4" t="s">
        <v>18</v>
      </c>
      <c r="B198" s="10" t="s">
        <v>105</v>
      </c>
      <c r="C198" s="5"/>
      <c r="D198" s="10" t="s">
        <v>401</v>
      </c>
      <c r="E198" s="11" t="s">
        <v>402</v>
      </c>
      <c r="F198" s="10" t="s">
        <v>108</v>
      </c>
      <c r="G198" s="12">
        <v>2300.0</v>
      </c>
      <c r="H198" s="13"/>
      <c r="I198" s="8">
        <f t="shared" si="1"/>
        <v>3450</v>
      </c>
      <c r="J198" s="8">
        <f t="shared" si="2"/>
        <v>2990</v>
      </c>
      <c r="K198" s="9">
        <f t="shared" si="3"/>
        <v>2990</v>
      </c>
      <c r="L198" s="9">
        <f t="shared" si="4"/>
        <v>2760</v>
      </c>
      <c r="M198" s="9">
        <f t="shared" si="5"/>
        <v>2645</v>
      </c>
      <c r="N198" s="9">
        <f t="shared" si="6"/>
        <v>2530</v>
      </c>
    </row>
    <row r="199">
      <c r="A199" s="4" t="s">
        <v>18</v>
      </c>
      <c r="B199" s="10" t="s">
        <v>105</v>
      </c>
      <c r="C199" s="5"/>
      <c r="D199" s="10" t="s">
        <v>403</v>
      </c>
      <c r="E199" s="11" t="s">
        <v>404</v>
      </c>
      <c r="F199" s="10" t="s">
        <v>108</v>
      </c>
      <c r="G199" s="12">
        <v>3000.0</v>
      </c>
      <c r="H199" s="13"/>
      <c r="I199" s="8">
        <f t="shared" si="1"/>
        <v>4500</v>
      </c>
      <c r="J199" s="8">
        <f t="shared" si="2"/>
        <v>3900</v>
      </c>
      <c r="K199" s="9">
        <f t="shared" si="3"/>
        <v>3900</v>
      </c>
      <c r="L199" s="9">
        <f t="shared" si="4"/>
        <v>3600</v>
      </c>
      <c r="M199" s="9">
        <f t="shared" si="5"/>
        <v>3450</v>
      </c>
      <c r="N199" s="9">
        <f t="shared" si="6"/>
        <v>3300</v>
      </c>
    </row>
    <row r="200">
      <c r="A200" s="4" t="s">
        <v>18</v>
      </c>
      <c r="B200" s="25" t="s">
        <v>405</v>
      </c>
      <c r="C200" s="26" t="s">
        <v>20</v>
      </c>
      <c r="D200" s="25" t="s">
        <v>406</v>
      </c>
      <c r="E200" s="27" t="s">
        <v>407</v>
      </c>
      <c r="F200" s="5"/>
      <c r="G200" s="28">
        <v>6000.0</v>
      </c>
      <c r="H200" s="28"/>
      <c r="I200" s="8">
        <f t="shared" si="1"/>
        <v>9000</v>
      </c>
      <c r="J200" s="8">
        <f t="shared" si="2"/>
        <v>7800</v>
      </c>
      <c r="K200" s="9">
        <f t="shared" si="3"/>
        <v>7800</v>
      </c>
      <c r="L200" s="9">
        <f t="shared" si="4"/>
        <v>7200</v>
      </c>
      <c r="M200" s="9">
        <f t="shared" si="5"/>
        <v>6900</v>
      </c>
      <c r="N200" s="9">
        <f t="shared" si="6"/>
        <v>6600</v>
      </c>
    </row>
    <row r="201">
      <c r="A201" s="4" t="s">
        <v>18</v>
      </c>
      <c r="B201" s="25" t="s">
        <v>405</v>
      </c>
      <c r="C201" s="26" t="s">
        <v>20</v>
      </c>
      <c r="D201" s="25" t="s">
        <v>408</v>
      </c>
      <c r="E201" s="27" t="s">
        <v>409</v>
      </c>
      <c r="F201" s="5"/>
      <c r="G201" s="28">
        <v>7300.0</v>
      </c>
      <c r="H201" s="28"/>
      <c r="I201" s="8">
        <f t="shared" si="1"/>
        <v>10950</v>
      </c>
      <c r="J201" s="8">
        <f t="shared" si="2"/>
        <v>9490</v>
      </c>
      <c r="K201" s="9">
        <f t="shared" si="3"/>
        <v>9490</v>
      </c>
      <c r="L201" s="9">
        <f t="shared" si="4"/>
        <v>8760</v>
      </c>
      <c r="M201" s="9">
        <f t="shared" si="5"/>
        <v>8395</v>
      </c>
      <c r="N201" s="9">
        <f t="shared" si="6"/>
        <v>8030</v>
      </c>
    </row>
    <row r="202">
      <c r="A202" s="4" t="s">
        <v>18</v>
      </c>
      <c r="B202" s="25" t="s">
        <v>410</v>
      </c>
      <c r="C202" s="5"/>
      <c r="D202" s="25" t="s">
        <v>411</v>
      </c>
      <c r="E202" s="27" t="s">
        <v>412</v>
      </c>
      <c r="F202" s="25" t="s">
        <v>413</v>
      </c>
      <c r="G202" s="29">
        <v>300.0</v>
      </c>
      <c r="H202" s="30"/>
      <c r="I202" s="8">
        <f t="shared" si="1"/>
        <v>450</v>
      </c>
      <c r="J202" s="8">
        <f t="shared" si="2"/>
        <v>390</v>
      </c>
      <c r="K202" s="9">
        <f t="shared" si="3"/>
        <v>390</v>
      </c>
      <c r="L202" s="9">
        <f t="shared" si="4"/>
        <v>360</v>
      </c>
      <c r="M202" s="9">
        <f t="shared" si="5"/>
        <v>345</v>
      </c>
      <c r="N202" s="9">
        <f t="shared" si="6"/>
        <v>330</v>
      </c>
    </row>
    <row r="203">
      <c r="A203" s="4" t="s">
        <v>18</v>
      </c>
      <c r="B203" s="25" t="s">
        <v>410</v>
      </c>
      <c r="C203" s="5"/>
      <c r="D203" s="31" t="s">
        <v>414</v>
      </c>
      <c r="E203" s="27" t="s">
        <v>415</v>
      </c>
      <c r="F203" s="25" t="s">
        <v>416</v>
      </c>
      <c r="G203" s="29">
        <v>600.0</v>
      </c>
      <c r="H203" s="30"/>
      <c r="I203" s="8">
        <f t="shared" si="1"/>
        <v>900</v>
      </c>
      <c r="J203" s="8">
        <f t="shared" si="2"/>
        <v>780</v>
      </c>
      <c r="K203" s="9">
        <f t="shared" si="3"/>
        <v>780</v>
      </c>
      <c r="L203" s="9">
        <f t="shared" si="4"/>
        <v>720</v>
      </c>
      <c r="M203" s="9">
        <f t="shared" si="5"/>
        <v>690</v>
      </c>
      <c r="N203" s="9">
        <f t="shared" si="6"/>
        <v>660</v>
      </c>
    </row>
    <row r="204">
      <c r="A204" s="4" t="s">
        <v>18</v>
      </c>
      <c r="B204" s="25" t="s">
        <v>410</v>
      </c>
      <c r="C204" s="5"/>
      <c r="D204" s="31" t="s">
        <v>417</v>
      </c>
      <c r="E204" s="27" t="s">
        <v>418</v>
      </c>
      <c r="F204" s="25" t="s">
        <v>413</v>
      </c>
      <c r="G204" s="29">
        <v>200.0</v>
      </c>
      <c r="H204" s="30"/>
      <c r="I204" s="8">
        <f t="shared" si="1"/>
        <v>300</v>
      </c>
      <c r="J204" s="8">
        <f t="shared" si="2"/>
        <v>260</v>
      </c>
      <c r="K204" s="9">
        <f t="shared" si="3"/>
        <v>260</v>
      </c>
      <c r="L204" s="9">
        <f t="shared" si="4"/>
        <v>240</v>
      </c>
      <c r="M204" s="9">
        <f t="shared" si="5"/>
        <v>230</v>
      </c>
      <c r="N204" s="9">
        <f t="shared" si="6"/>
        <v>220</v>
      </c>
    </row>
    <row r="205">
      <c r="A205" s="4" t="s">
        <v>18</v>
      </c>
      <c r="B205" s="25" t="s">
        <v>410</v>
      </c>
      <c r="C205" s="5"/>
      <c r="D205" s="25" t="s">
        <v>419</v>
      </c>
      <c r="E205" s="27" t="s">
        <v>420</v>
      </c>
      <c r="F205" s="25" t="s">
        <v>416</v>
      </c>
      <c r="G205" s="29">
        <v>300.0</v>
      </c>
      <c r="H205" s="30"/>
      <c r="I205" s="8">
        <f t="shared" si="1"/>
        <v>450</v>
      </c>
      <c r="J205" s="8">
        <f t="shared" si="2"/>
        <v>390</v>
      </c>
      <c r="K205" s="9">
        <f t="shared" si="3"/>
        <v>390</v>
      </c>
      <c r="L205" s="9">
        <f t="shared" si="4"/>
        <v>360</v>
      </c>
      <c r="M205" s="9">
        <f t="shared" si="5"/>
        <v>345</v>
      </c>
      <c r="N205" s="9">
        <f t="shared" si="6"/>
        <v>330</v>
      </c>
    </row>
    <row r="206">
      <c r="A206" s="4" t="s">
        <v>18</v>
      </c>
      <c r="B206" s="25" t="s">
        <v>410</v>
      </c>
      <c r="C206" s="5"/>
      <c r="D206" s="25" t="s">
        <v>421</v>
      </c>
      <c r="E206" s="27" t="s">
        <v>422</v>
      </c>
      <c r="F206" s="25" t="s">
        <v>416</v>
      </c>
      <c r="G206" s="29">
        <v>500.0</v>
      </c>
      <c r="H206" s="30"/>
      <c r="I206" s="8">
        <f t="shared" si="1"/>
        <v>750</v>
      </c>
      <c r="J206" s="8">
        <f t="shared" si="2"/>
        <v>650</v>
      </c>
      <c r="K206" s="9">
        <f t="shared" si="3"/>
        <v>650</v>
      </c>
      <c r="L206" s="9">
        <f t="shared" si="4"/>
        <v>600</v>
      </c>
      <c r="M206" s="9">
        <f t="shared" si="5"/>
        <v>575</v>
      </c>
      <c r="N206" s="9">
        <f t="shared" si="6"/>
        <v>550</v>
      </c>
    </row>
    <row r="207">
      <c r="A207" s="4" t="s">
        <v>18</v>
      </c>
      <c r="B207" s="25" t="s">
        <v>410</v>
      </c>
      <c r="C207" s="5"/>
      <c r="D207" s="32" t="s">
        <v>423</v>
      </c>
      <c r="E207" s="33" t="s">
        <v>424</v>
      </c>
      <c r="F207" s="32" t="s">
        <v>416</v>
      </c>
      <c r="G207" s="29">
        <v>900.0</v>
      </c>
      <c r="H207" s="30"/>
      <c r="I207" s="8">
        <f t="shared" si="1"/>
        <v>1350</v>
      </c>
      <c r="J207" s="8">
        <f t="shared" si="2"/>
        <v>1170</v>
      </c>
      <c r="K207" s="9">
        <f t="shared" si="3"/>
        <v>1170</v>
      </c>
      <c r="L207" s="9">
        <f t="shared" si="4"/>
        <v>1080</v>
      </c>
      <c r="M207" s="9">
        <f t="shared" si="5"/>
        <v>1035</v>
      </c>
      <c r="N207" s="9">
        <f t="shared" si="6"/>
        <v>990</v>
      </c>
    </row>
    <row r="208">
      <c r="A208" s="4" t="s">
        <v>18</v>
      </c>
      <c r="B208" s="25" t="s">
        <v>410</v>
      </c>
      <c r="C208" s="5"/>
      <c r="D208" s="32" t="s">
        <v>425</v>
      </c>
      <c r="E208" s="33" t="s">
        <v>426</v>
      </c>
      <c r="F208" s="32" t="s">
        <v>416</v>
      </c>
      <c r="G208" s="29">
        <v>300.0</v>
      </c>
      <c r="H208" s="30"/>
      <c r="I208" s="8">
        <f t="shared" si="1"/>
        <v>450</v>
      </c>
      <c r="J208" s="8">
        <f t="shared" si="2"/>
        <v>390</v>
      </c>
      <c r="K208" s="9">
        <f t="shared" si="3"/>
        <v>390</v>
      </c>
      <c r="L208" s="9">
        <f t="shared" si="4"/>
        <v>360</v>
      </c>
      <c r="M208" s="9">
        <f t="shared" si="5"/>
        <v>345</v>
      </c>
      <c r="N208" s="9">
        <f t="shared" si="6"/>
        <v>330</v>
      </c>
    </row>
    <row r="209">
      <c r="A209" s="4" t="s">
        <v>18</v>
      </c>
      <c r="B209" s="25" t="s">
        <v>410</v>
      </c>
      <c r="C209" s="5"/>
      <c r="D209" s="32" t="s">
        <v>427</v>
      </c>
      <c r="E209" s="33" t="s">
        <v>428</v>
      </c>
      <c r="F209" s="32" t="s">
        <v>416</v>
      </c>
      <c r="G209" s="29">
        <v>300.0</v>
      </c>
      <c r="H209" s="30"/>
      <c r="I209" s="8">
        <f t="shared" si="1"/>
        <v>450</v>
      </c>
      <c r="J209" s="8">
        <f t="shared" si="2"/>
        <v>390</v>
      </c>
      <c r="K209" s="9">
        <f t="shared" si="3"/>
        <v>390</v>
      </c>
      <c r="L209" s="9">
        <f t="shared" si="4"/>
        <v>360</v>
      </c>
      <c r="M209" s="9">
        <f t="shared" si="5"/>
        <v>345</v>
      </c>
      <c r="N209" s="9">
        <f t="shared" si="6"/>
        <v>330</v>
      </c>
    </row>
    <row r="210">
      <c r="A210" s="4" t="s">
        <v>18</v>
      </c>
      <c r="B210" s="25" t="s">
        <v>410</v>
      </c>
      <c r="C210" s="5"/>
      <c r="D210" s="32" t="s">
        <v>429</v>
      </c>
      <c r="E210" s="33" t="s">
        <v>430</v>
      </c>
      <c r="F210" s="32" t="s">
        <v>416</v>
      </c>
      <c r="G210" s="29">
        <v>900.0</v>
      </c>
      <c r="H210" s="30"/>
      <c r="I210" s="8">
        <f t="shared" si="1"/>
        <v>1350</v>
      </c>
      <c r="J210" s="8">
        <f t="shared" si="2"/>
        <v>1170</v>
      </c>
      <c r="K210" s="9">
        <f t="shared" si="3"/>
        <v>1170</v>
      </c>
      <c r="L210" s="9">
        <f t="shared" si="4"/>
        <v>1080</v>
      </c>
      <c r="M210" s="9">
        <f t="shared" si="5"/>
        <v>1035</v>
      </c>
      <c r="N210" s="9">
        <f t="shared" si="6"/>
        <v>990</v>
      </c>
    </row>
    <row r="211">
      <c r="A211" s="4" t="s">
        <v>18</v>
      </c>
      <c r="B211" s="4" t="s">
        <v>431</v>
      </c>
      <c r="C211" s="5"/>
      <c r="D211" s="4" t="s">
        <v>432</v>
      </c>
      <c r="E211" s="34" t="s">
        <v>433</v>
      </c>
      <c r="F211" s="5"/>
      <c r="G211" s="35">
        <v>912800.0</v>
      </c>
      <c r="H211" s="36"/>
      <c r="I211" s="8">
        <f t="shared" si="1"/>
        <v>1369200</v>
      </c>
      <c r="J211" s="8">
        <f t="shared" si="2"/>
        <v>1186640</v>
      </c>
      <c r="K211" s="9">
        <f t="shared" si="3"/>
        <v>1186640</v>
      </c>
      <c r="L211" s="9">
        <f t="shared" si="4"/>
        <v>1095360</v>
      </c>
      <c r="M211" s="9">
        <f t="shared" si="5"/>
        <v>1049720</v>
      </c>
      <c r="N211" s="9">
        <f t="shared" si="6"/>
        <v>1004080</v>
      </c>
    </row>
    <row r="212">
      <c r="A212" s="4" t="s">
        <v>18</v>
      </c>
      <c r="B212" s="4" t="s">
        <v>431</v>
      </c>
      <c r="C212" s="5"/>
      <c r="D212" s="4" t="s">
        <v>434</v>
      </c>
      <c r="E212" s="34" t="s">
        <v>435</v>
      </c>
      <c r="F212" s="5"/>
      <c r="G212" s="35">
        <v>1342300.0</v>
      </c>
      <c r="H212" s="36"/>
      <c r="I212" s="8">
        <f t="shared" si="1"/>
        <v>2013450</v>
      </c>
      <c r="J212" s="8">
        <f t="shared" si="2"/>
        <v>1744990</v>
      </c>
      <c r="K212" s="9">
        <f t="shared" si="3"/>
        <v>1744990</v>
      </c>
      <c r="L212" s="9">
        <f t="shared" si="4"/>
        <v>1610760</v>
      </c>
      <c r="M212" s="9">
        <f t="shared" si="5"/>
        <v>1543645</v>
      </c>
      <c r="N212" s="9">
        <f t="shared" si="6"/>
        <v>1476530</v>
      </c>
    </row>
    <row r="213">
      <c r="A213" s="4" t="s">
        <v>18</v>
      </c>
      <c r="B213" s="4" t="s">
        <v>431</v>
      </c>
      <c r="C213" s="5"/>
      <c r="D213" s="4" t="s">
        <v>436</v>
      </c>
      <c r="E213" s="37" t="s">
        <v>437</v>
      </c>
      <c r="F213" s="5"/>
      <c r="G213" s="35">
        <v>3900.0</v>
      </c>
      <c r="H213" s="36"/>
      <c r="I213" s="8">
        <f t="shared" si="1"/>
        <v>5850</v>
      </c>
      <c r="J213" s="8">
        <f t="shared" si="2"/>
        <v>5070</v>
      </c>
      <c r="K213" s="9">
        <f t="shared" si="3"/>
        <v>5070</v>
      </c>
      <c r="L213" s="9">
        <f t="shared" si="4"/>
        <v>4680</v>
      </c>
      <c r="M213" s="9">
        <f t="shared" si="5"/>
        <v>4485</v>
      </c>
      <c r="N213" s="9">
        <f t="shared" si="6"/>
        <v>4290</v>
      </c>
    </row>
    <row r="214">
      <c r="A214" s="4" t="s">
        <v>18</v>
      </c>
      <c r="B214" s="4" t="s">
        <v>431</v>
      </c>
      <c r="C214" s="5"/>
      <c r="D214" s="4" t="s">
        <v>438</v>
      </c>
      <c r="E214" s="37" t="s">
        <v>439</v>
      </c>
      <c r="F214" s="5"/>
      <c r="G214" s="35">
        <v>48650.0</v>
      </c>
      <c r="H214" s="36"/>
      <c r="I214" s="8">
        <f t="shared" si="1"/>
        <v>72975</v>
      </c>
      <c r="J214" s="8">
        <f t="shared" si="2"/>
        <v>63245</v>
      </c>
      <c r="K214" s="9">
        <f t="shared" si="3"/>
        <v>63245</v>
      </c>
      <c r="L214" s="9">
        <f t="shared" si="4"/>
        <v>58380</v>
      </c>
      <c r="M214" s="9">
        <f t="shared" si="5"/>
        <v>55947.5</v>
      </c>
      <c r="N214" s="9">
        <f t="shared" si="6"/>
        <v>53515</v>
      </c>
    </row>
    <row r="215">
      <c r="A215" s="4" t="s">
        <v>18</v>
      </c>
      <c r="B215" s="4" t="s">
        <v>431</v>
      </c>
      <c r="C215" s="5"/>
      <c r="D215" s="4" t="s">
        <v>440</v>
      </c>
      <c r="E215" s="37" t="s">
        <v>441</v>
      </c>
      <c r="F215" s="5"/>
      <c r="G215" s="35">
        <v>54000.0</v>
      </c>
      <c r="H215" s="36"/>
      <c r="I215" s="8">
        <f t="shared" si="1"/>
        <v>81000</v>
      </c>
      <c r="J215" s="8">
        <f t="shared" si="2"/>
        <v>70200</v>
      </c>
      <c r="K215" s="9">
        <f t="shared" si="3"/>
        <v>70200</v>
      </c>
      <c r="L215" s="9">
        <f t="shared" si="4"/>
        <v>64800</v>
      </c>
      <c r="M215" s="9">
        <f t="shared" si="5"/>
        <v>62100</v>
      </c>
      <c r="N215" s="9">
        <f t="shared" si="6"/>
        <v>59400</v>
      </c>
    </row>
    <row r="216">
      <c r="A216" s="4" t="s">
        <v>18</v>
      </c>
      <c r="B216" s="4" t="s">
        <v>431</v>
      </c>
      <c r="C216" s="5"/>
      <c r="D216" s="4" t="s">
        <v>442</v>
      </c>
      <c r="E216" s="37" t="s">
        <v>443</v>
      </c>
      <c r="F216" s="5"/>
      <c r="G216" s="35">
        <v>147700.0</v>
      </c>
      <c r="H216" s="36"/>
      <c r="I216" s="8">
        <f t="shared" si="1"/>
        <v>221550</v>
      </c>
      <c r="J216" s="8">
        <f t="shared" si="2"/>
        <v>192010</v>
      </c>
      <c r="K216" s="9">
        <f t="shared" si="3"/>
        <v>192010</v>
      </c>
      <c r="L216" s="9">
        <f t="shared" si="4"/>
        <v>177240</v>
      </c>
      <c r="M216" s="9">
        <f t="shared" si="5"/>
        <v>169855</v>
      </c>
      <c r="N216" s="9">
        <f t="shared" si="6"/>
        <v>162470</v>
      </c>
    </row>
    <row r="217">
      <c r="A217" s="4" t="s">
        <v>18</v>
      </c>
      <c r="B217" s="4" t="s">
        <v>431</v>
      </c>
      <c r="C217" s="5"/>
      <c r="D217" s="4" t="s">
        <v>444</v>
      </c>
      <c r="E217" s="37" t="s">
        <v>445</v>
      </c>
      <c r="F217" s="5"/>
      <c r="G217" s="35">
        <v>83250.0</v>
      </c>
      <c r="H217" s="36"/>
      <c r="I217" s="8">
        <f t="shared" si="1"/>
        <v>124875</v>
      </c>
      <c r="J217" s="8">
        <f t="shared" si="2"/>
        <v>108225</v>
      </c>
      <c r="K217" s="9">
        <f t="shared" si="3"/>
        <v>108225</v>
      </c>
      <c r="L217" s="9">
        <f t="shared" si="4"/>
        <v>99900</v>
      </c>
      <c r="M217" s="9">
        <f t="shared" si="5"/>
        <v>95737.5</v>
      </c>
      <c r="N217" s="9">
        <f t="shared" si="6"/>
        <v>91575</v>
      </c>
    </row>
    <row r="218">
      <c r="A218" s="4" t="s">
        <v>18</v>
      </c>
      <c r="B218" s="4" t="s">
        <v>431</v>
      </c>
      <c r="C218" s="5"/>
      <c r="D218" s="4" t="s">
        <v>446</v>
      </c>
      <c r="E218" s="37" t="s">
        <v>445</v>
      </c>
      <c r="F218" s="5"/>
      <c r="G218" s="35">
        <v>111000.0</v>
      </c>
      <c r="H218" s="36"/>
      <c r="I218" s="8">
        <f t="shared" si="1"/>
        <v>166500</v>
      </c>
      <c r="J218" s="8">
        <f t="shared" si="2"/>
        <v>144300</v>
      </c>
      <c r="K218" s="9">
        <f t="shared" si="3"/>
        <v>144300</v>
      </c>
      <c r="L218" s="9">
        <f t="shared" si="4"/>
        <v>133200</v>
      </c>
      <c r="M218" s="9">
        <f t="shared" si="5"/>
        <v>127650</v>
      </c>
      <c r="N218" s="9">
        <f t="shared" si="6"/>
        <v>122100</v>
      </c>
    </row>
    <row r="219">
      <c r="A219" s="4" t="s">
        <v>18</v>
      </c>
      <c r="B219" s="4" t="s">
        <v>431</v>
      </c>
      <c r="C219" s="5"/>
      <c r="D219" s="4" t="s">
        <v>447</v>
      </c>
      <c r="E219" s="37" t="s">
        <v>445</v>
      </c>
      <c r="F219" s="5"/>
      <c r="G219" s="35">
        <v>137000.0</v>
      </c>
      <c r="H219" s="36"/>
      <c r="I219" s="8">
        <f t="shared" si="1"/>
        <v>205500</v>
      </c>
      <c r="J219" s="8">
        <f t="shared" si="2"/>
        <v>178100</v>
      </c>
      <c r="K219" s="9">
        <f t="shared" si="3"/>
        <v>178100</v>
      </c>
      <c r="L219" s="9">
        <f t="shared" si="4"/>
        <v>164400</v>
      </c>
      <c r="M219" s="9">
        <f t="shared" si="5"/>
        <v>157550</v>
      </c>
      <c r="N219" s="9">
        <f t="shared" si="6"/>
        <v>150700</v>
      </c>
    </row>
    <row r="220">
      <c r="A220" s="4" t="s">
        <v>18</v>
      </c>
      <c r="B220" s="4" t="s">
        <v>431</v>
      </c>
      <c r="C220" s="5"/>
      <c r="D220" s="4" t="s">
        <v>448</v>
      </c>
      <c r="E220" s="34" t="s">
        <v>449</v>
      </c>
      <c r="F220" s="5"/>
      <c r="G220" s="35">
        <v>87250.0</v>
      </c>
      <c r="H220" s="36"/>
      <c r="I220" s="8">
        <f t="shared" si="1"/>
        <v>130875</v>
      </c>
      <c r="J220" s="8">
        <f t="shared" si="2"/>
        <v>113425</v>
      </c>
      <c r="K220" s="9">
        <f t="shared" si="3"/>
        <v>113425</v>
      </c>
      <c r="L220" s="9">
        <f t="shared" si="4"/>
        <v>104700</v>
      </c>
      <c r="M220" s="9">
        <f t="shared" si="5"/>
        <v>100337.5</v>
      </c>
      <c r="N220" s="9">
        <f t="shared" si="6"/>
        <v>95975</v>
      </c>
    </row>
    <row r="221">
      <c r="A221" s="4" t="s">
        <v>18</v>
      </c>
      <c r="B221" s="4" t="s">
        <v>431</v>
      </c>
      <c r="C221" s="5"/>
      <c r="D221" s="4" t="s">
        <v>450</v>
      </c>
      <c r="E221" s="38" t="s">
        <v>451</v>
      </c>
      <c r="F221" s="5"/>
      <c r="G221" s="35">
        <v>32250.0</v>
      </c>
      <c r="H221" s="36"/>
      <c r="I221" s="8">
        <f t="shared" si="1"/>
        <v>48375</v>
      </c>
      <c r="J221" s="8">
        <f t="shared" si="2"/>
        <v>41925</v>
      </c>
      <c r="K221" s="9">
        <f t="shared" si="3"/>
        <v>41925</v>
      </c>
      <c r="L221" s="9">
        <f t="shared" si="4"/>
        <v>38700</v>
      </c>
      <c r="M221" s="9">
        <f t="shared" si="5"/>
        <v>37087.5</v>
      </c>
      <c r="N221" s="9">
        <f t="shared" si="6"/>
        <v>35475</v>
      </c>
    </row>
    <row r="222">
      <c r="A222" s="4" t="s">
        <v>18</v>
      </c>
      <c r="B222" s="4" t="s">
        <v>431</v>
      </c>
      <c r="C222" s="5"/>
      <c r="D222" s="4" t="s">
        <v>452</v>
      </c>
      <c r="E222" s="37" t="s">
        <v>453</v>
      </c>
      <c r="F222" s="5"/>
      <c r="G222" s="35">
        <v>168850.0</v>
      </c>
      <c r="H222" s="36"/>
      <c r="I222" s="8">
        <f t="shared" si="1"/>
        <v>253275</v>
      </c>
      <c r="J222" s="8">
        <f t="shared" si="2"/>
        <v>219505</v>
      </c>
      <c r="K222" s="9">
        <f t="shared" si="3"/>
        <v>219505</v>
      </c>
      <c r="L222" s="9">
        <f t="shared" si="4"/>
        <v>202620</v>
      </c>
      <c r="M222" s="9">
        <f t="shared" si="5"/>
        <v>194177.5</v>
      </c>
      <c r="N222" s="9">
        <f t="shared" si="6"/>
        <v>185735</v>
      </c>
    </row>
    <row r="223">
      <c r="A223" s="4" t="s">
        <v>18</v>
      </c>
      <c r="B223" s="4" t="s">
        <v>431</v>
      </c>
      <c r="C223" s="5"/>
      <c r="D223" s="4" t="s">
        <v>454</v>
      </c>
      <c r="E223" s="37" t="s">
        <v>455</v>
      </c>
      <c r="F223" s="5"/>
      <c r="G223" s="35">
        <v>206300.0</v>
      </c>
      <c r="H223" s="36"/>
      <c r="I223" s="8">
        <f t="shared" si="1"/>
        <v>309450</v>
      </c>
      <c r="J223" s="8">
        <f t="shared" si="2"/>
        <v>268190</v>
      </c>
      <c r="K223" s="9">
        <f t="shared" si="3"/>
        <v>268190</v>
      </c>
      <c r="L223" s="9">
        <f t="shared" si="4"/>
        <v>247560</v>
      </c>
      <c r="M223" s="9">
        <f t="shared" si="5"/>
        <v>237245</v>
      </c>
      <c r="N223" s="9">
        <f t="shared" si="6"/>
        <v>226930</v>
      </c>
    </row>
    <row r="224">
      <c r="A224" s="4" t="s">
        <v>18</v>
      </c>
      <c r="B224" s="4" t="s">
        <v>431</v>
      </c>
      <c r="C224" s="5"/>
      <c r="D224" s="4" t="s">
        <v>456</v>
      </c>
      <c r="E224" s="37" t="s">
        <v>457</v>
      </c>
      <c r="F224" s="5"/>
      <c r="G224" s="35">
        <v>243900.0</v>
      </c>
      <c r="H224" s="36"/>
      <c r="I224" s="8">
        <f t="shared" si="1"/>
        <v>365850</v>
      </c>
      <c r="J224" s="8">
        <f t="shared" si="2"/>
        <v>317070</v>
      </c>
      <c r="K224" s="9">
        <f t="shared" si="3"/>
        <v>317070</v>
      </c>
      <c r="L224" s="9">
        <f t="shared" si="4"/>
        <v>292680</v>
      </c>
      <c r="M224" s="9">
        <f t="shared" si="5"/>
        <v>280485</v>
      </c>
      <c r="N224" s="9">
        <f t="shared" si="6"/>
        <v>268290</v>
      </c>
    </row>
    <row r="225">
      <c r="A225" s="4" t="s">
        <v>18</v>
      </c>
      <c r="B225" s="4" t="s">
        <v>431</v>
      </c>
      <c r="C225" s="5"/>
      <c r="D225" s="4" t="s">
        <v>458</v>
      </c>
      <c r="E225" s="37" t="s">
        <v>459</v>
      </c>
      <c r="F225" s="5"/>
      <c r="G225" s="35">
        <v>281350.0</v>
      </c>
      <c r="H225" s="36"/>
      <c r="I225" s="8">
        <f t="shared" si="1"/>
        <v>422025</v>
      </c>
      <c r="J225" s="8">
        <f t="shared" si="2"/>
        <v>365755</v>
      </c>
      <c r="K225" s="9">
        <f t="shared" si="3"/>
        <v>365755</v>
      </c>
      <c r="L225" s="9">
        <f t="shared" si="4"/>
        <v>337620</v>
      </c>
      <c r="M225" s="9">
        <f t="shared" si="5"/>
        <v>323552.5</v>
      </c>
      <c r="N225" s="9">
        <f t="shared" si="6"/>
        <v>309485</v>
      </c>
    </row>
    <row r="226">
      <c r="A226" s="4" t="s">
        <v>18</v>
      </c>
      <c r="B226" s="4" t="s">
        <v>431</v>
      </c>
      <c r="C226" s="5"/>
      <c r="D226" s="4" t="s">
        <v>460</v>
      </c>
      <c r="E226" s="37" t="s">
        <v>461</v>
      </c>
      <c r="F226" s="5"/>
      <c r="G226" s="35">
        <v>318850.0</v>
      </c>
      <c r="H226" s="36"/>
      <c r="I226" s="8">
        <f t="shared" si="1"/>
        <v>478275</v>
      </c>
      <c r="J226" s="8">
        <f t="shared" si="2"/>
        <v>414505</v>
      </c>
      <c r="K226" s="9">
        <f t="shared" si="3"/>
        <v>414505</v>
      </c>
      <c r="L226" s="9">
        <f t="shared" si="4"/>
        <v>382620</v>
      </c>
      <c r="M226" s="9">
        <f t="shared" si="5"/>
        <v>366677.5</v>
      </c>
      <c r="N226" s="9">
        <f t="shared" si="6"/>
        <v>350735</v>
      </c>
    </row>
    <row r="227">
      <c r="A227" s="4" t="s">
        <v>18</v>
      </c>
      <c r="B227" s="4" t="s">
        <v>431</v>
      </c>
      <c r="C227" s="5"/>
      <c r="D227" s="4" t="s">
        <v>462</v>
      </c>
      <c r="E227" s="37" t="s">
        <v>463</v>
      </c>
      <c r="F227" s="5"/>
      <c r="G227" s="35">
        <v>356250.0</v>
      </c>
      <c r="H227" s="36"/>
      <c r="I227" s="8">
        <f t="shared" si="1"/>
        <v>534375</v>
      </c>
      <c r="J227" s="8">
        <f t="shared" si="2"/>
        <v>463125</v>
      </c>
      <c r="K227" s="9">
        <f t="shared" si="3"/>
        <v>463125</v>
      </c>
      <c r="L227" s="9">
        <f t="shared" si="4"/>
        <v>427500</v>
      </c>
      <c r="M227" s="9">
        <f t="shared" si="5"/>
        <v>409687.5</v>
      </c>
      <c r="N227" s="9">
        <f t="shared" si="6"/>
        <v>391875</v>
      </c>
    </row>
    <row r="228">
      <c r="A228" s="4" t="s">
        <v>18</v>
      </c>
      <c r="B228" s="4" t="s">
        <v>431</v>
      </c>
      <c r="C228" s="5"/>
      <c r="D228" s="4" t="s">
        <v>464</v>
      </c>
      <c r="E228" s="37" t="s">
        <v>465</v>
      </c>
      <c r="F228" s="5"/>
      <c r="G228" s="35">
        <v>393700.0</v>
      </c>
      <c r="H228" s="36"/>
      <c r="I228" s="8">
        <f t="shared" si="1"/>
        <v>590550</v>
      </c>
      <c r="J228" s="8">
        <f t="shared" si="2"/>
        <v>511810</v>
      </c>
      <c r="K228" s="9">
        <f t="shared" si="3"/>
        <v>511810</v>
      </c>
      <c r="L228" s="9">
        <f t="shared" si="4"/>
        <v>472440</v>
      </c>
      <c r="M228" s="9">
        <f t="shared" si="5"/>
        <v>452755</v>
      </c>
      <c r="N228" s="9">
        <f t="shared" si="6"/>
        <v>433070</v>
      </c>
    </row>
    <row r="229">
      <c r="A229" s="4" t="s">
        <v>18</v>
      </c>
      <c r="B229" s="4" t="s">
        <v>431</v>
      </c>
      <c r="C229" s="5"/>
      <c r="D229" s="4" t="s">
        <v>466</v>
      </c>
      <c r="E229" s="37" t="s">
        <v>467</v>
      </c>
      <c r="F229" s="5"/>
      <c r="G229" s="35">
        <v>433650.0</v>
      </c>
      <c r="H229" s="36"/>
      <c r="I229" s="8">
        <f t="shared" si="1"/>
        <v>650475</v>
      </c>
      <c r="J229" s="8">
        <f t="shared" si="2"/>
        <v>563745</v>
      </c>
      <c r="K229" s="9">
        <f t="shared" si="3"/>
        <v>563745</v>
      </c>
      <c r="L229" s="9">
        <f t="shared" si="4"/>
        <v>520380</v>
      </c>
      <c r="M229" s="9">
        <f t="shared" si="5"/>
        <v>498697.5</v>
      </c>
      <c r="N229" s="9">
        <f t="shared" si="6"/>
        <v>477015</v>
      </c>
    </row>
    <row r="230">
      <c r="A230" s="4" t="s">
        <v>18</v>
      </c>
      <c r="B230" s="4" t="s">
        <v>431</v>
      </c>
      <c r="C230" s="5"/>
      <c r="D230" s="4" t="s">
        <v>468</v>
      </c>
      <c r="E230" s="37" t="s">
        <v>469</v>
      </c>
      <c r="F230" s="5"/>
      <c r="G230" s="35">
        <v>468550.0</v>
      </c>
      <c r="H230" s="36"/>
      <c r="I230" s="8">
        <f t="shared" si="1"/>
        <v>702825</v>
      </c>
      <c r="J230" s="8">
        <f t="shared" si="2"/>
        <v>609115</v>
      </c>
      <c r="K230" s="9">
        <f t="shared" si="3"/>
        <v>609115</v>
      </c>
      <c r="L230" s="9">
        <f t="shared" si="4"/>
        <v>562260</v>
      </c>
      <c r="M230" s="9">
        <f t="shared" si="5"/>
        <v>538832.5</v>
      </c>
      <c r="N230" s="9">
        <f t="shared" si="6"/>
        <v>515405</v>
      </c>
    </row>
    <row r="231">
      <c r="A231" s="4" t="s">
        <v>18</v>
      </c>
      <c r="B231" s="4" t="s">
        <v>431</v>
      </c>
      <c r="C231" s="5"/>
      <c r="D231" s="4" t="s">
        <v>470</v>
      </c>
      <c r="E231" s="37" t="s">
        <v>471</v>
      </c>
      <c r="F231" s="5"/>
      <c r="G231" s="35">
        <v>506150.0</v>
      </c>
      <c r="H231" s="36"/>
      <c r="I231" s="8">
        <f t="shared" si="1"/>
        <v>759225</v>
      </c>
      <c r="J231" s="8">
        <f t="shared" si="2"/>
        <v>657995</v>
      </c>
      <c r="K231" s="9">
        <f t="shared" si="3"/>
        <v>657995</v>
      </c>
      <c r="L231" s="9">
        <f t="shared" si="4"/>
        <v>607380</v>
      </c>
      <c r="M231" s="9">
        <f t="shared" si="5"/>
        <v>582072.5</v>
      </c>
      <c r="N231" s="9">
        <f t="shared" si="6"/>
        <v>556765</v>
      </c>
    </row>
    <row r="232">
      <c r="A232" s="5"/>
      <c r="B232" s="4" t="s">
        <v>472</v>
      </c>
      <c r="C232" s="5"/>
      <c r="D232" s="39" t="s">
        <v>473</v>
      </c>
      <c r="E232" s="40" t="s">
        <v>474</v>
      </c>
      <c r="F232" s="5"/>
      <c r="G232" s="41">
        <f t="shared" ref="G232:G243" si="7">H232*60</f>
        <v>67320</v>
      </c>
      <c r="H232" s="42">
        <v>1122.0</v>
      </c>
      <c r="I232" s="8">
        <f t="shared" si="1"/>
        <v>100980</v>
      </c>
      <c r="J232" s="8">
        <f t="shared" si="2"/>
        <v>87516</v>
      </c>
      <c r="K232" s="9">
        <f t="shared" si="3"/>
        <v>87516</v>
      </c>
      <c r="L232" s="9">
        <f t="shared" si="4"/>
        <v>80784</v>
      </c>
      <c r="M232" s="9">
        <f t="shared" si="5"/>
        <v>77418</v>
      </c>
      <c r="N232" s="9">
        <f t="shared" si="6"/>
        <v>74052</v>
      </c>
    </row>
    <row r="233">
      <c r="A233" s="5"/>
      <c r="B233" s="4" t="s">
        <v>472</v>
      </c>
      <c r="C233" s="5"/>
      <c r="D233" s="39" t="s">
        <v>475</v>
      </c>
      <c r="E233" s="40" t="s">
        <v>476</v>
      </c>
      <c r="F233" s="5"/>
      <c r="G233" s="41">
        <f t="shared" si="7"/>
        <v>60840</v>
      </c>
      <c r="H233" s="42">
        <v>1014.0</v>
      </c>
      <c r="I233" s="8">
        <f t="shared" si="1"/>
        <v>91260</v>
      </c>
      <c r="J233" s="8">
        <f t="shared" si="2"/>
        <v>79092</v>
      </c>
      <c r="K233" s="9">
        <f t="shared" si="3"/>
        <v>79092</v>
      </c>
      <c r="L233" s="9">
        <f t="shared" si="4"/>
        <v>73008</v>
      </c>
      <c r="M233" s="9">
        <f t="shared" si="5"/>
        <v>69966</v>
      </c>
      <c r="N233" s="9">
        <f t="shared" si="6"/>
        <v>66924</v>
      </c>
    </row>
    <row r="234">
      <c r="A234" s="5"/>
      <c r="B234" s="4" t="s">
        <v>472</v>
      </c>
      <c r="C234" s="5"/>
      <c r="D234" s="39" t="s">
        <v>477</v>
      </c>
      <c r="E234" s="40" t="s">
        <v>478</v>
      </c>
      <c r="F234" s="5"/>
      <c r="G234" s="41">
        <f t="shared" si="7"/>
        <v>62760</v>
      </c>
      <c r="H234" s="42">
        <v>1046.0</v>
      </c>
      <c r="I234" s="8">
        <f t="shared" si="1"/>
        <v>94140</v>
      </c>
      <c r="J234" s="8">
        <f t="shared" si="2"/>
        <v>81588</v>
      </c>
      <c r="K234" s="9">
        <f t="shared" si="3"/>
        <v>81588</v>
      </c>
      <c r="L234" s="9">
        <f t="shared" si="4"/>
        <v>75312</v>
      </c>
      <c r="M234" s="9">
        <f t="shared" si="5"/>
        <v>72174</v>
      </c>
      <c r="N234" s="9">
        <f t="shared" si="6"/>
        <v>69036</v>
      </c>
    </row>
    <row r="235">
      <c r="A235" s="5"/>
      <c r="B235" s="4" t="s">
        <v>472</v>
      </c>
      <c r="C235" s="5"/>
      <c r="D235" s="39" t="s">
        <v>479</v>
      </c>
      <c r="E235" s="40" t="s">
        <v>480</v>
      </c>
      <c r="F235" s="5"/>
      <c r="G235" s="41">
        <f t="shared" si="7"/>
        <v>72720</v>
      </c>
      <c r="H235" s="42">
        <v>1212.0</v>
      </c>
      <c r="I235" s="8">
        <f t="shared" si="1"/>
        <v>109080</v>
      </c>
      <c r="J235" s="8">
        <f t="shared" si="2"/>
        <v>94536</v>
      </c>
      <c r="K235" s="9">
        <f t="shared" si="3"/>
        <v>94536</v>
      </c>
      <c r="L235" s="9">
        <f t="shared" si="4"/>
        <v>87264</v>
      </c>
      <c r="M235" s="9">
        <f t="shared" si="5"/>
        <v>83628</v>
      </c>
      <c r="N235" s="9">
        <f t="shared" si="6"/>
        <v>79992</v>
      </c>
    </row>
    <row r="236">
      <c r="A236" s="5"/>
      <c r="B236" s="4" t="s">
        <v>472</v>
      </c>
      <c r="C236" s="5"/>
      <c r="D236" s="39" t="s">
        <v>481</v>
      </c>
      <c r="E236" s="40" t="s">
        <v>482</v>
      </c>
      <c r="F236" s="5"/>
      <c r="G236" s="41">
        <f t="shared" si="7"/>
        <v>69240</v>
      </c>
      <c r="H236" s="42">
        <v>1154.0</v>
      </c>
      <c r="I236" s="8">
        <f t="shared" si="1"/>
        <v>103860</v>
      </c>
      <c r="J236" s="8">
        <f t="shared" si="2"/>
        <v>90012</v>
      </c>
      <c r="K236" s="9">
        <f t="shared" si="3"/>
        <v>90012</v>
      </c>
      <c r="L236" s="9">
        <f t="shared" si="4"/>
        <v>83088</v>
      </c>
      <c r="M236" s="9">
        <f t="shared" si="5"/>
        <v>79626</v>
      </c>
      <c r="N236" s="9">
        <f t="shared" si="6"/>
        <v>76164</v>
      </c>
    </row>
    <row r="237">
      <c r="A237" s="5"/>
      <c r="B237" s="4" t="s">
        <v>472</v>
      </c>
      <c r="C237" s="5"/>
      <c r="D237" s="39" t="s">
        <v>483</v>
      </c>
      <c r="E237" s="40" t="s">
        <v>484</v>
      </c>
      <c r="F237" s="5"/>
      <c r="G237" s="41">
        <f t="shared" si="7"/>
        <v>72720</v>
      </c>
      <c r="H237" s="42">
        <v>1212.0</v>
      </c>
      <c r="I237" s="8">
        <f t="shared" si="1"/>
        <v>109080</v>
      </c>
      <c r="J237" s="8">
        <f t="shared" si="2"/>
        <v>94536</v>
      </c>
      <c r="K237" s="9">
        <f t="shared" si="3"/>
        <v>94536</v>
      </c>
      <c r="L237" s="9">
        <f t="shared" si="4"/>
        <v>87264</v>
      </c>
      <c r="M237" s="9">
        <f t="shared" si="5"/>
        <v>83628</v>
      </c>
      <c r="N237" s="9">
        <f t="shared" si="6"/>
        <v>79992</v>
      </c>
    </row>
    <row r="238">
      <c r="A238" s="5"/>
      <c r="B238" s="4" t="s">
        <v>472</v>
      </c>
      <c r="C238" s="5"/>
      <c r="D238" s="43" t="s">
        <v>485</v>
      </c>
      <c r="E238" s="40" t="s">
        <v>486</v>
      </c>
      <c r="F238" s="5"/>
      <c r="G238" s="41">
        <f t="shared" si="7"/>
        <v>7800</v>
      </c>
      <c r="H238" s="44">
        <v>130.0</v>
      </c>
      <c r="I238" s="8">
        <f t="shared" si="1"/>
        <v>11700</v>
      </c>
      <c r="J238" s="8">
        <f t="shared" si="2"/>
        <v>10140</v>
      </c>
      <c r="K238" s="9">
        <f t="shared" si="3"/>
        <v>10140</v>
      </c>
      <c r="L238" s="9">
        <f t="shared" si="4"/>
        <v>9360</v>
      </c>
      <c r="M238" s="9">
        <f t="shared" si="5"/>
        <v>8970</v>
      </c>
      <c r="N238" s="9">
        <f t="shared" si="6"/>
        <v>8580</v>
      </c>
    </row>
    <row r="239">
      <c r="A239" s="5"/>
      <c r="B239" s="4" t="s">
        <v>472</v>
      </c>
      <c r="C239" s="5"/>
      <c r="D239" s="45" t="s">
        <v>487</v>
      </c>
      <c r="E239" s="40" t="s">
        <v>488</v>
      </c>
      <c r="F239" s="5"/>
      <c r="G239" s="41">
        <f t="shared" si="7"/>
        <v>1680</v>
      </c>
      <c r="H239" s="44">
        <v>28.0</v>
      </c>
      <c r="I239" s="8">
        <f t="shared" si="1"/>
        <v>2520</v>
      </c>
      <c r="J239" s="8">
        <f t="shared" si="2"/>
        <v>2184</v>
      </c>
      <c r="K239" s="9">
        <f t="shared" si="3"/>
        <v>2184</v>
      </c>
      <c r="L239" s="9">
        <f t="shared" si="4"/>
        <v>2016</v>
      </c>
      <c r="M239" s="9">
        <f t="shared" si="5"/>
        <v>1932</v>
      </c>
      <c r="N239" s="9">
        <f t="shared" si="6"/>
        <v>1848</v>
      </c>
    </row>
    <row r="240">
      <c r="A240" s="5"/>
      <c r="B240" s="4" t="s">
        <v>472</v>
      </c>
      <c r="C240" s="5"/>
      <c r="D240" s="43" t="s">
        <v>489</v>
      </c>
      <c r="E240" s="40" t="s">
        <v>490</v>
      </c>
      <c r="F240" s="5"/>
      <c r="G240" s="41">
        <f t="shared" si="7"/>
        <v>11760</v>
      </c>
      <c r="H240" s="44">
        <v>196.0</v>
      </c>
      <c r="I240" s="8">
        <f t="shared" si="1"/>
        <v>17640</v>
      </c>
      <c r="J240" s="8">
        <f t="shared" si="2"/>
        <v>15288</v>
      </c>
      <c r="K240" s="9">
        <f t="shared" si="3"/>
        <v>15288</v>
      </c>
      <c r="L240" s="9">
        <f t="shared" si="4"/>
        <v>14112</v>
      </c>
      <c r="M240" s="9">
        <f t="shared" si="5"/>
        <v>13524</v>
      </c>
      <c r="N240" s="9">
        <f t="shared" si="6"/>
        <v>12936</v>
      </c>
    </row>
    <row r="241">
      <c r="A241" s="5"/>
      <c r="B241" s="4" t="s">
        <v>472</v>
      </c>
      <c r="C241" s="5"/>
      <c r="D241" s="45" t="s">
        <v>491</v>
      </c>
      <c r="E241" s="40" t="s">
        <v>492</v>
      </c>
      <c r="F241" s="5"/>
      <c r="G241" s="41">
        <f t="shared" si="7"/>
        <v>1320</v>
      </c>
      <c r="H241" s="44">
        <v>22.0</v>
      </c>
      <c r="I241" s="8">
        <f t="shared" si="1"/>
        <v>1980</v>
      </c>
      <c r="J241" s="8">
        <f t="shared" si="2"/>
        <v>1716</v>
      </c>
      <c r="K241" s="9">
        <f t="shared" si="3"/>
        <v>1716</v>
      </c>
      <c r="L241" s="9">
        <f t="shared" si="4"/>
        <v>1584</v>
      </c>
      <c r="M241" s="9">
        <f t="shared" si="5"/>
        <v>1518</v>
      </c>
      <c r="N241" s="9">
        <f t="shared" si="6"/>
        <v>1452</v>
      </c>
    </row>
    <row r="242">
      <c r="A242" s="5"/>
      <c r="B242" s="4" t="s">
        <v>472</v>
      </c>
      <c r="C242" s="5"/>
      <c r="D242" s="45" t="s">
        <v>493</v>
      </c>
      <c r="E242" s="40" t="s">
        <v>494</v>
      </c>
      <c r="F242" s="5"/>
      <c r="G242" s="41">
        <f t="shared" si="7"/>
        <v>720</v>
      </c>
      <c r="H242" s="44">
        <v>12.0</v>
      </c>
      <c r="I242" s="8">
        <f t="shared" si="1"/>
        <v>1080</v>
      </c>
      <c r="J242" s="8">
        <f t="shared" si="2"/>
        <v>936</v>
      </c>
      <c r="K242" s="9">
        <f t="shared" si="3"/>
        <v>936</v>
      </c>
      <c r="L242" s="9">
        <f t="shared" si="4"/>
        <v>864</v>
      </c>
      <c r="M242" s="9">
        <f t="shared" si="5"/>
        <v>828</v>
      </c>
      <c r="N242" s="9">
        <f t="shared" si="6"/>
        <v>792</v>
      </c>
    </row>
    <row r="243">
      <c r="A243" s="5"/>
      <c r="B243" s="4" t="s">
        <v>472</v>
      </c>
      <c r="C243" s="5"/>
      <c r="D243" s="45" t="s">
        <v>495</v>
      </c>
      <c r="E243" s="40" t="s">
        <v>496</v>
      </c>
      <c r="F243" s="5"/>
      <c r="G243" s="41">
        <f t="shared" si="7"/>
        <v>960</v>
      </c>
      <c r="H243" s="44">
        <v>16.0</v>
      </c>
      <c r="I243" s="8">
        <f t="shared" si="1"/>
        <v>1440</v>
      </c>
      <c r="J243" s="8">
        <f t="shared" si="2"/>
        <v>1248</v>
      </c>
      <c r="K243" s="9">
        <f t="shared" si="3"/>
        <v>1248</v>
      </c>
      <c r="L243" s="9">
        <f t="shared" si="4"/>
        <v>1152</v>
      </c>
      <c r="M243" s="9">
        <f t="shared" si="5"/>
        <v>1104</v>
      </c>
      <c r="N243" s="9">
        <f t="shared" si="6"/>
        <v>1056</v>
      </c>
    </row>
  </sheetData>
  <autoFilter ref="$A$2:$N$243"/>
  <mergeCells count="5">
    <mergeCell ref="A1:H1"/>
    <mergeCell ref="I1:J1"/>
    <mergeCell ref="K1:L1"/>
    <mergeCell ref="M1:N1"/>
    <mergeCell ref="F75:F77"/>
  </mergeCells>
  <drawing r:id="rId4"/>
  <legacyDrawing r:id="rId5"/>
</worksheet>
</file>