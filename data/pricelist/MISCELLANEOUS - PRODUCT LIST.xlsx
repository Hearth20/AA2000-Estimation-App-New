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PRICELIST!$B$2:$N$159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tc={986d3bf2-1b6e-45c6-abd8-93b12db25165}</author>
  </authors>
  <commentList>
    <comment authorId="0" xr:uid="{986d3bf2-1b6e-45c6-abd8-93b12db25165}" ref="F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VERIFY THE PRICE
</t>
      </text>
    </comment>
  </commentList>
</comments>
</file>

<file path=xl/sharedStrings.xml><?xml version="1.0" encoding="utf-8"?>
<sst xmlns="http://schemas.openxmlformats.org/spreadsheetml/2006/main" count="698" uniqueCount="375">
  <si>
    <t>PRODUCT INFORMATION</t>
  </si>
  <si>
    <t>SRP (End-User)</t>
  </si>
  <si>
    <t>DEALER's PRICE</t>
  </si>
  <si>
    <t>CONTRACTOR's PRICE</t>
  </si>
  <si>
    <t>CATEGORY</t>
  </si>
  <si>
    <t>BRAND</t>
  </si>
  <si>
    <t>SUB-CATEGORY</t>
  </si>
  <si>
    <t>TYPE</t>
  </si>
  <si>
    <t>MODEL</t>
  </si>
  <si>
    <t>ITEM DESCRIPTION</t>
  </si>
  <si>
    <t>OTHER DESCRIPTION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</si>
  <si>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</si>
  <si>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</si>
  <si>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</si>
  <si>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</si>
  <si>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</si>
  <si>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</si>
  <si>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</si>
  <si>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EMERGENCY LIGHTS AND SIGNAGES</t>
  </si>
  <si>
    <t>EMERGENCY HEADLIGHTS</t>
  </si>
  <si>
    <t>QHL-2021 LED SERIES</t>
  </si>
  <si>
    <t>NI-CD 6V 1.8AH</t>
  </si>
  <si>
    <t>16LED - SMD; 2x2W 200Lumens; Metallic w/ glass; 6-7 hrs duration</t>
  </si>
  <si>
    <t>NI-CD 6V 2.5AH</t>
  </si>
  <si>
    <t>16LED - SMD
2x2W  200Lumens
Metallic w/ glass
8-9 hrs duration</t>
  </si>
  <si>
    <t>24LED - SMD
2x3W  200Lumens
Metallic w/ glass
4-5 hrs duration</t>
  </si>
  <si>
    <t>NI-CD 12V 2.8AH</t>
  </si>
  <si>
    <t>24LED - SMD
2x3W  200Lumens
Metallic w/ glass
7-8 hrs duration</t>
  </si>
  <si>
    <t>SLA 12V 7AH</t>
  </si>
  <si>
    <t>24LED - SMD
2x3W  200Lumens
Metallic w/ glass
30 hrs duration</t>
  </si>
  <si>
    <t>QHL-2021 HALOGEN SERIES</t>
  </si>
  <si>
    <t>Tungsten Halogen
2x10W
Metallic w/ glass
4 hrs duration</t>
  </si>
  <si>
    <t>Tungsten Halogen
2x20W
Metallic w/ glass
2hrs duration</t>
  </si>
  <si>
    <t>QHL-6001 LED SERIES</t>
  </si>
  <si>
    <t>24LED - SMD
2x3W  200Lumens
Metallic w/ glass
4 hrs duration</t>
  </si>
  <si>
    <t>SLA 6V 4.5AH</t>
  </si>
  <si>
    <t>24LED - SMD
2x3W  200Lumens
Metallic w/ glass
8 hrs duration</t>
  </si>
  <si>
    <t>WEXL-1 000 IP65 WEATHER SERIES</t>
  </si>
  <si>
    <t>NI-CD 6V 2.8AH</t>
  </si>
  <si>
    <t>COB LED
2x6W  200Lumens
Plastic w/ glass
4-5 hrs duration</t>
  </si>
  <si>
    <t>LM-ZFZD Series Explosion Proof IP65</t>
  </si>
  <si>
    <t>NI-CD 3.6V 2.0AH</t>
  </si>
  <si>
    <t>COB LED
2x2W  200Lumens
Explosion Proof
2 hrs duration</t>
  </si>
  <si>
    <t>QHL-1008 LED SERIES</t>
  </si>
  <si>
    <t>COB LED
2x3W  300Lumens
Plastic w/ glass</t>
  </si>
  <si>
    <t>COB LED
2x3W  300Lumens
Plastic w/ glass
7-8 hrs duration</t>
  </si>
  <si>
    <t>QHL-6003 NC</t>
  </si>
  <si>
    <t>COB LED
2x6W  400Lumens
Plastic w/ glass
4-5 hrs duration</t>
  </si>
  <si>
    <t>COB LED  G4
2x5W  500Lumens
Plastic w/ glass
8 hrs duration</t>
  </si>
  <si>
    <t>QHL-1200 NC-LED</t>
  </si>
  <si>
    <t>NI-CD 12V 4.5AH</t>
  </si>
  <si>
    <t>Twin Floodlight 2x20W
2x20W  200Lumens
Metalic w/ glass
60 mins. Duration</t>
  </si>
  <si>
    <t>EXL-960 LED SERIES</t>
  </si>
  <si>
    <t>NI-CD 6V 1.2AH</t>
  </si>
  <si>
    <t>24LED - SMD
2x2W  200Lumens
Plastic w/ glass
2-3 hrs duration</t>
  </si>
  <si>
    <t>24LED - SMD
2x2W 200Lumens
Plastic w/ glass
8 hrs duration</t>
  </si>
  <si>
    <t>AE603B UFO Series</t>
  </si>
  <si>
    <t>NI-CD 6V 800mAH</t>
  </si>
  <si>
    <t>COB 3W, 3000K
Daylight: Non-maintained
Warm White: M
2 hrs duration</t>
  </si>
  <si>
    <t>COB 3W, 3000K
Daylight: Non-maintained
Warm White: NM
2 hrs duration</t>
  </si>
  <si>
    <t>NI-CD 6V 1.0AH</t>
  </si>
  <si>
    <t>Maintained COB 5W 6500K Daylight
3 hrs duration</t>
  </si>
  <si>
    <t>QHL-900 LED SERIES</t>
  </si>
  <si>
    <t>Suface
COB LED 2x2W 200Lumens Metallic w/ glass
6-8 hrs duration</t>
  </si>
  <si>
    <t>Recessed Mount
COB LED 2x2W 200Lumens Metallic w/ glass
6-8 hrs duration</t>
  </si>
  <si>
    <t>EXL-950 NC</t>
  </si>
  <si>
    <t>NI-CD 6V 2.0AH</t>
  </si>
  <si>
    <t>24LED - SMD
2x3W  200Lumens
Plastic w/ glass
5 hrs duration</t>
  </si>
  <si>
    <t>YD-650M/NM HO IP65</t>
  </si>
  <si>
    <t xml:space="preserve">NI-CD 6V 2.0AH </t>
  </si>
  <si>
    <t>24LED-SMD Warm White 6W  200Lumens
Plastic w/ glass
5 hrs duration</t>
  </si>
  <si>
    <t>50LED-DIP, Daylight
6W  100Lumens
Plastic w/ glass
3 hrs duration</t>
  </si>
  <si>
    <t>QHL-900 NC-RX  (Recessed Mount)</t>
  </si>
  <si>
    <t>24LED - SMD
2x3W  200Lumens
Metallic w/ glass
6 hrs duration</t>
  </si>
  <si>
    <t>EXL-980 NC</t>
  </si>
  <si>
    <t>24LED - SMD
2x2W  200Lumens
Plastic w/ glass
4-5 hrs duration</t>
  </si>
  <si>
    <t>Inventory Sale with 2 years Warranty</t>
  </si>
  <si>
    <t>AE208A Ni-Cd</t>
  </si>
  <si>
    <t>6V 1.8Ah 24LED-SMD
2x3W Platic w/ glass
4 hrs duration</t>
  </si>
  <si>
    <t>SEL-1010 Ni-Cd</t>
  </si>
  <si>
    <t>6V 2.8Ah 24LED-SMD
2x3W  Metalic w/ glass
6-8 hrs duration</t>
  </si>
  <si>
    <t>QHL-600E SLA</t>
  </si>
  <si>
    <t>6V 4.5Ah
24LED-DIP
2x2W 
Metalic w/ Glass
8 hrs duration</t>
  </si>
  <si>
    <t>QHL-6005 Ni-Cd</t>
  </si>
  <si>
    <t>3.6V 2.0Ah COB-LED
2x2W Plastic w/ glass
2-3 hrs duration</t>
  </si>
  <si>
    <t>Additional Charges</t>
  </si>
  <si>
    <t>AC Cord</t>
  </si>
  <si>
    <t>Transformer 277VAC</t>
  </si>
  <si>
    <t>EMERGENCY EXIT SIGNS</t>
  </si>
  <si>
    <t>SE-2 Green Exit Light with Emergency Light</t>
  </si>
  <si>
    <t>Ni-Cd 9.6V Ni-Cd 9.6V 1000mah</t>
  </si>
  <si>
    <t>1.2Wx2 LED
3 Hrs. Duration</t>
  </si>
  <si>
    <t>EEL-24LED BT</t>
  </si>
  <si>
    <t>Box Type                                                                                                                    NI-CD 3.6V 700mAH</t>
  </si>
  <si>
    <t>24LED - SMD
2-3 hrs duration
Single Face</t>
  </si>
  <si>
    <t>24LED - SMD
2-3 hrs duration
Double Face</t>
  </si>
  <si>
    <t>EEL-LED165 BT</t>
  </si>
  <si>
    <t>Boc Type                                                                                                                     NI-CD 3.6V 700mAH</t>
  </si>
  <si>
    <t>YD-650M IP20 V-Shape Surface</t>
  </si>
  <si>
    <t>50LED-DIP
Single Face
2-3 hrs duration</t>
  </si>
  <si>
    <t>ELS-800S/D</t>
  </si>
  <si>
    <t>Slim Type
NI-CD 3.6V 700mah</t>
  </si>
  <si>
    <t xml:space="preserve">  2-3 hrs duration
Single/Double Face
Transparent</t>
  </si>
  <si>
    <t xml:space="preserve">  2-3 hrs duration
Single/Double Face
Mirrorized</t>
  </si>
  <si>
    <t>EX-800 GX/RX</t>
  </si>
  <si>
    <t>Slim Type
3.6V 700mah - Green
 	2.4V 300mAH - Red</t>
  </si>
  <si>
    <t>2-3 hrs duration
Single/Double Face</t>
  </si>
  <si>
    <t>EXL-800 GX/RX</t>
  </si>
  <si>
    <t xml:space="preserve">Slim Type
4.8V 650mah </t>
  </si>
  <si>
    <t xml:space="preserve"> 	3 hrs duration
Single/Double Face</t>
  </si>
  <si>
    <t>YD-650 LED IP65 (Warm White)</t>
  </si>
  <si>
    <t>3M HEAT RESISTANT
NI-CD 3.6V 2.0AH
50LED - DIP</t>
  </si>
  <si>
    <t xml:space="preserve">  Single Face
3 hrs duration</t>
  </si>
  <si>
    <t>AE102B-SG</t>
  </si>
  <si>
    <t>Slim Type Laser-cut
NI-CD 3.6V 800mah</t>
  </si>
  <si>
    <t xml:space="preserve">  12LED - SMD
2-3 hrs duration
Transparent</t>
  </si>
  <si>
    <t xml:space="preserve">  12LED - SMD
2-3 hrs duration
Double Face</t>
  </si>
  <si>
    <t>YD-968</t>
  </si>
  <si>
    <t>Slim Type Laser-cut
NI-CD 1.2V 700mah</t>
  </si>
  <si>
    <t xml:space="preserve">  24LED - SMD
2-3 hrs duration
Transparent</t>
  </si>
  <si>
    <t>ESL-LED Recessed Mount</t>
  </si>
  <si>
    <t>24LED - SMD
 2-3 hrs duration
Single Face</t>
  </si>
  <si>
    <t>24LED - SMD
 2-3 hrs duration
Double Face</t>
  </si>
  <si>
    <r>
      <rPr>
        <rFont val="Arial"/>
        <color theme="1"/>
        <sz val="10.0"/>
      </rPr>
      <t xml:space="preserve">EL-800D </t>
    </r>
    <r>
      <rPr>
        <rFont val="Arial"/>
        <color theme="1"/>
        <sz val="10.0"/>
      </rPr>
      <t>(Runningman &amp; Stairs)</t>
    </r>
  </si>
  <si>
    <t>Slim Type
NI-CD 3.6V 600mAH</t>
  </si>
  <si>
    <t>2-3 hrs duration
 	UL-90V-0 flame rating
Single Face</t>
  </si>
  <si>
    <t>2-3 hrs duration
 	UL-90V-0 flame rating
Double Face</t>
  </si>
  <si>
    <t>SL-EX24</t>
  </si>
  <si>
    <t>Slim Type
NI-CD 3.6V 800mAH</t>
  </si>
  <si>
    <t xml:space="preserve">  24LED - SMD
2-3 hrs duration
Single Face</t>
  </si>
  <si>
    <t xml:space="preserve">  24LED - SMD
2-3 hrs duration
Double Face</t>
  </si>
  <si>
    <t>AE102B-DW</t>
  </si>
  <si>
    <t>Slim Type
NI-CD 6V 800mah</t>
  </si>
  <si>
    <t xml:space="preserve"> 	24LED - SMD
2-3 hrs duration
Double Face</t>
  </si>
  <si>
    <t>ESA-10 IP20</t>
  </si>
  <si>
    <t xml:space="preserve">  2-3 hrs duration
 	UL-90V-0 Flame rating
 	Single Face</t>
  </si>
  <si>
    <t xml:space="preserve">  2-3 hrs duration
 	UL-90V-0 Flame rating
 	Double Face</t>
  </si>
  <si>
    <t>LM-BLZD Explosion Proof</t>
  </si>
  <si>
    <t>Box Type
3.6V 700mAH</t>
  </si>
  <si>
    <t xml:space="preserve"> 	Explosion Proof 
Single Face
2-3 hrs duration</t>
  </si>
  <si>
    <r>
      <rPr>
        <rFont val="Arial"/>
        <color theme="1"/>
        <sz val="10.0"/>
      </rPr>
      <t xml:space="preserve">ELS-24LED </t>
    </r>
    <r>
      <rPr>
        <rFont val="Arial"/>
        <color theme="1"/>
        <sz val="10.0"/>
      </rPr>
      <t>(Surface Mount / Recessed Mount)</t>
    </r>
  </si>
  <si>
    <t xml:space="preserve">Slim Type
NI-CD 3.6V </t>
  </si>
  <si>
    <t>700mAH
Casing: White/Black 2-3 hrs duration
Single Face</t>
  </si>
  <si>
    <t>700mAH
Casing: White/Black 2-3 hrs duration
Double Face</t>
  </si>
  <si>
    <t>Additional Charge  In Every Special Designs</t>
  </si>
  <si>
    <t>EEL-24LED Box Type</t>
  </si>
  <si>
    <t>Single Face</t>
  </si>
  <si>
    <t>Double Face</t>
  </si>
  <si>
    <t>ELS-24LED / SL-EX24 / ESL-LED Slim Type</t>
  </si>
  <si>
    <t>ESA-10 Slim type</t>
  </si>
  <si>
    <t>BATTERY BACK-UP (Emergency Lighting Modules)</t>
  </si>
  <si>
    <t>AE607LED NC-XL-IS</t>
  </si>
  <si>
    <t>Panel Lights LED 7W
  LED Bulb 7W
9-55V 100mA
&lt; 2 hrs duration</t>
  </si>
  <si>
    <t>AE612LED</t>
  </si>
  <si>
    <t xml:space="preserve">NI-CD 9.6V 1.5AH </t>
  </si>
  <si>
    <t>Panel Lights 6W-12
 Downlight 9-55V
with Driver
9V-55V</t>
  </si>
  <si>
    <t>AE615 DL-IS</t>
  </si>
  <si>
    <t>NI-CD 7.2V 2.5AH</t>
  </si>
  <si>
    <t>LED Bulb
Downlight 8W-15W
  with or w/o Driver
10V-240V</t>
  </si>
  <si>
    <t>AE624 LED</t>
  </si>
  <si>
    <t>NI-CD 9.6V 1.8AH</t>
  </si>
  <si>
    <t>E27 ESL 18W
Panel Lights 18W
 	15-91V CD 25W Max</t>
  </si>
  <si>
    <t>ELM 9E-I IS</t>
  </si>
  <si>
    <t xml:space="preserve">NI-CD 12V 2.0AH </t>
  </si>
  <si>
    <t>9W LED Lamp
ESL, FL, 24W LED Tube
  100-230V DC 24W Max</t>
  </si>
  <si>
    <t>ELM 8E</t>
  </si>
  <si>
    <t>Life Po4 Battery
3-10W LV LED Lamp
 Max 12V 20W Halogen
± 2 hrs duration</t>
  </si>
  <si>
    <t>AE625LED V1A.2.2</t>
  </si>
  <si>
    <t xml:space="preserve">NI-CD 12V 2.8AH </t>
  </si>
  <si>
    <t xml:space="preserve">  Panel Light
Downlight 25W
 	with Driver
DC 20-80V</t>
  </si>
  <si>
    <t>AE640DL-YL</t>
  </si>
  <si>
    <t xml:space="preserve">  High Power Floodlight
High Bay LEDs 100W
 	95-125V DC 40W Max</t>
  </si>
  <si>
    <t xml:space="preserve">AE645LED-X </t>
  </si>
  <si>
    <t xml:space="preserve">NI-CD 12V 4.5AH </t>
  </si>
  <si>
    <t xml:space="preserve">  Panel Light
Downlight 40W/60W
 	with or w/o Driver</t>
  </si>
  <si>
    <t xml:space="preserve">ELM4E-I </t>
  </si>
  <si>
    <t xml:space="preserve">NI-CD 6V 2.5Ah </t>
  </si>
  <si>
    <t xml:space="preserve"> 	FL Tube 8-40W
PLC 26W
Sugarcane/Sideways
	 	4-Pin</t>
  </si>
  <si>
    <t xml:space="preserve"> 	FL Tube 8-40W
PLC 26W
Sugarcane/Sideways
	 	8-Pin</t>
  </si>
  <si>
    <t xml:space="preserve">ELM-8E </t>
  </si>
  <si>
    <t xml:space="preserve">NI-CD 7.2V 4.5AH </t>
  </si>
  <si>
    <t xml:space="preserve">  Life Po4 Battery
MR16 3W-25W
	 	12VDC Ribbon LEDs
± 2 hrs duration</t>
  </si>
  <si>
    <t>ELM-9E 6VNC</t>
  </si>
  <si>
    <t xml:space="preserve"> 	LED DownLight
Maintained / 
	 	Non-Maintained
160-240V 3-7W</t>
  </si>
  <si>
    <t xml:space="preserve">ELM9E-I V2 </t>
  </si>
  <si>
    <t xml:space="preserve">  LED SpotLight 25W
ESL, FL, 24W LED Tube
 	90-230V DC 30W Max</t>
  </si>
  <si>
    <t xml:space="preserve">ELM9E-II </t>
  </si>
  <si>
    <t xml:space="preserve">NI-CD 12V 2.8Ah </t>
  </si>
  <si>
    <t xml:space="preserve"> 	IP20 230/277VAC
10W-40W
 	Philips PLC 30W</t>
  </si>
  <si>
    <t xml:space="preserve">ELM9E-II V1.2-K </t>
  </si>
  <si>
    <t xml:space="preserve">NI-CD 12V 3.5AH </t>
  </si>
  <si>
    <t xml:space="preserve">  LED SpotLight 35W
ESL, FL, 28W LED Tube
 	110-160V DC 45W Max</t>
  </si>
  <si>
    <t>ELM9E-III OAC</t>
  </si>
  <si>
    <t xml:space="preserve">  LED SpotLight 50W
ESL, FL, 50W LED Tube
 	160-200V DC 50W Max</t>
  </si>
  <si>
    <t>ELM-12E HP-150</t>
  </si>
  <si>
    <t>NI-CD 24V 7000mAH</t>
  </si>
  <si>
    <t>Spiral Bulb 65W
Incandescent 100W
Linear Halogen 100W</t>
  </si>
  <si>
    <t xml:space="preserve">AE680DL-IS </t>
  </si>
  <si>
    <t>Ni-Cd 36V 4.5ah</t>
  </si>
  <si>
    <t>Load: 50-150W</t>
  </si>
  <si>
    <t>Addditional Charges for the following</t>
  </si>
  <si>
    <t>With Gearbox</t>
  </si>
  <si>
    <t>With Assembly</t>
  </si>
  <si>
    <t>Male &amp; Female Connector</t>
  </si>
  <si>
    <t>ELECTRONIC BALLAST</t>
  </si>
  <si>
    <t>General Applications Standard Series</t>
  </si>
  <si>
    <t>QEC 401 HPF IC</t>
  </si>
  <si>
    <t>T8/T12  36-40W x1
180-265VAC</t>
  </si>
  <si>
    <t>QEC 321 HPF IC</t>
  </si>
  <si>
    <t>T8  32W  x1
180-265VAC</t>
  </si>
  <si>
    <t>QEC 201 HPF IC</t>
  </si>
  <si>
    <t>T8/T12  18-20W x1
180-265VAC</t>
  </si>
  <si>
    <t>QEC 202 HPF IC</t>
  </si>
  <si>
    <t>T8/T12 18-20W x2
180-265VAC</t>
  </si>
  <si>
    <t>General Applications PL, PLC, Circular Flourescent Lamps Slim Aluminum Casing Refrigirant Ballast</t>
  </si>
  <si>
    <t xml:space="preserve">QEC 201 LC </t>
  </si>
  <si>
    <t>T8/T12  18-20W x1
230VAC 60Hz</t>
  </si>
  <si>
    <t xml:space="preserve">QEC 281 LC </t>
  </si>
  <si>
    <t>T8/T12  28W  x1
230VAC 60Hz</t>
  </si>
  <si>
    <t xml:space="preserve">QEC 282 LC </t>
  </si>
  <si>
    <t>T5/T8  28W x2
230VAC 60Hz</t>
  </si>
  <si>
    <t>QEC 401 HP</t>
  </si>
  <si>
    <t>T8/T12  36-40 x1 165-260VAC</t>
  </si>
  <si>
    <t xml:space="preserve">QEC 322 LC </t>
  </si>
  <si>
    <t>T5/T8 32W x2
230VAC 60Hz</t>
  </si>
  <si>
    <t xml:space="preserve">QEC 402 LC </t>
  </si>
  <si>
    <t>T8/T12  36-40W x2
230VAC 60Hz</t>
  </si>
  <si>
    <t>1HI UNV 232 T8</t>
  </si>
  <si>
    <t>T8 25W, 32W, 40W
110-277VAC
UP to -40°C</t>
  </si>
  <si>
    <t>Sealed Lead Acid Battery</t>
  </si>
  <si>
    <t>Heavy Duty Series</t>
  </si>
  <si>
    <t>6V 4.5AH- Quantum</t>
  </si>
  <si>
    <t>12V 7AH- Motolite</t>
  </si>
  <si>
    <t>Nickle Cadmium Battery</t>
  </si>
  <si>
    <t>6V 2.8AH</t>
  </si>
  <si>
    <t xml:space="preserve">UL Listed                            Replacement Ni-Cd </t>
  </si>
  <si>
    <t>3.6V 2AH</t>
  </si>
  <si>
    <t>UL Listed                         Replacement NC</t>
  </si>
  <si>
    <t>AC Cord - White</t>
  </si>
  <si>
    <t>1.2Meters</t>
  </si>
  <si>
    <t>Pure Copper
#18 AWG
0.50 sq.mm.</t>
  </si>
  <si>
    <t xml:space="preserve">Cable Gland </t>
  </si>
  <si>
    <t>PG-9</t>
  </si>
  <si>
    <t>Dirty White</t>
  </si>
  <si>
    <t>PG-11</t>
  </si>
  <si>
    <t>Cambric Tube</t>
  </si>
  <si>
    <t>6.0mm</t>
  </si>
  <si>
    <t>High Quality CT
Dirty White
100mtr</t>
  </si>
  <si>
    <t>High Quality CT
Dirty White
Roll</t>
  </si>
  <si>
    <t>MISC-LED-001</t>
  </si>
  <si>
    <t>LED Emergency Light
Twin Head Color White</t>
  </si>
  <si>
    <t>Technical Description:
Wattage 2 x 3 Watts
Light Heads Two fully adjustable glare-free 
round shape light heads
Burning Time Up to &gt; 90 Minutes
Material Injection - molded thermoplastic ABS housing.
Input Voltage: AC 220V – 265V 50/60 Hz
Battery Type ni-cd battery
Battery Protection Over-Charge and Over discharge Protection
Light Source High Brightness LED SMD
Housing Color White
IP Rating IP 40</t>
  </si>
  <si>
    <t>MISC-LED-002</t>
  </si>
  <si>
    <t>LED Emergency Light Twin Head Color Black</t>
  </si>
  <si>
    <t xml:space="preserve">Technical Description:
Wattage 2 x 3 Watts
Light Heads Two fully adjustable glare-free round shape light heads
Burning Time Up to &gt;90 Minutes
Material Injection-molded thermoplastic ABS housing
Input Voltage: AC 220V – 265V 50/60 Hz
Battery Type ni-cd battery
Battery Protection Over-Charge and Over discharge Protection
Light Source High Brightness LED SMD
Housing Color Matte Black
IP Rating IP 40
</t>
  </si>
  <si>
    <t>MISC-LED-003</t>
  </si>
  <si>
    <t>LED Emergency Light Twin Head – Mickey Type</t>
  </si>
  <si>
    <t xml:space="preserve">Technical Description:
Wattage 2 x 5 Watts
Light Heads Two fully adjustable glare-free 
round shape light heads
Burning Time Up to &gt;90 Minutes
Material Electro galvanized steel with epoxy powder coating
Input Voltage: AC 220V – 265V 50/60 Hz
Battery Type Ni-Cad
Battery Protection Low Voltage cut-off
Light Source High Brightness LED COB
Housing Color White
IP Rating IP 40
</t>
  </si>
  <si>
    <t>MISC-LED-004</t>
  </si>
  <si>
    <t>LED UFO Emergency Light Ceiling Mounted</t>
  </si>
  <si>
    <t xml:space="preserve">Technical Description:
Wattage3 Watts
Luminous flux200lm
Light Source1pc High Brightness LED COB
Burning Time Up to &gt; 90 Minutes
Material Aluminum + PC Lens
Input Voltage: AC 220V – 240V 50/60 Hz
Battery Type Ni-Cd SC
Battery Protection Over-Charge and Over discharge Protection
Body Color White IP Rating IP 40
</t>
  </si>
  <si>
    <t>MISC-LED-005</t>
  </si>
  <si>
    <t>LED Exit Sign Glass Exit Word Double 
Face</t>
  </si>
  <si>
    <t xml:space="preserve">Technical Description:
Design Label Exit Sign
Label Double Face
Wattage 4 Watts
Burning Time Upto &gt;90 Minutes
Material Aluminum Housing+ Glass Panel
Input Voltage AC 220V – 265V 50/60 Hz
Battery Type ni-cd battery
Battery Protection Over-Charge and Over discharge Protection
Light Source High Brightness LED SMD IP Rating IP 40
</t>
  </si>
  <si>
    <t>MISC-LED-006</t>
  </si>
  <si>
    <t>LED Exit Sign Acrylic Single Face</t>
  </si>
  <si>
    <t xml:space="preserve">Technical Description:
Design Label Exit Sign
Label Single Face
Wattage 4 Watts
Burning Time Up to &gt;90 Minutes
Material Aluminum Housing + Acrylic Panel
Input Voltage AC 220V – 265V 50/60 Hz
Battery Type ni-cd battery
Battery Protection Over-Charge and Over discharge Protection
Light Source High Brightness LED SMD IP Rating IP 40
</t>
  </si>
  <si>
    <t>MISC-LED-007</t>
  </si>
  <si>
    <t xml:space="preserve">LED Exit Sign Acrylic Double Face 
Left/Right
</t>
  </si>
  <si>
    <t xml:space="preserve">Technical Description:
Design Label Arrow Left, Exit, Arrow Right
Label Double Face
Wattage 4 Watts
Burning Time Up to &gt;90 Minutes
Material Aluminum Housing+ Acrylic Panel
Input Voltage AC 220V – 265V 50/60 Hz Battery Type ni-cd battery
Battery Protection Over-Charge and Over discharge Protection
Light Source High Brightness LED SMD IP Rating IP 40
</t>
  </si>
  <si>
    <t>MISC-LED-008</t>
  </si>
  <si>
    <t>LED Exit Sign Acrylic Left Arrow Double Face</t>
  </si>
  <si>
    <t xml:space="preserve">Technical Description:
Design Label Arrow Left, Running Man, Exit
Label Double Face
Wattage 4 Watts
Burning Time Up to &gt;90 Minutes
Material Aluminum Housing+ Acrylic Panel
Input Voltage AC 220V – 265V 50/60 Hz
Battery Type ni-cd battery
Battery Protection Over-Charge and Over discharge Protection
Light Source High Brightness LED SMD IP Rating IP 40
</t>
  </si>
  <si>
    <t>MISC-LED-009</t>
  </si>
  <si>
    <t>LED Exit Sign Acrylic Right Arrow Double Face</t>
  </si>
  <si>
    <t xml:space="preserve">Technical Description:
Design Label Exit, Running Man, Arrow Right
Label Double Face
Wattage 4 Watts
Burning Time Up to &gt;90 Minutes
Material Aluminum Housing+ Acrylic Panel
Input Voltage AC 220V – 265V 50/60 Hz
Battery Type ni-cd battery
Battery Protection Over-Charge and Over discharge Protection
Light Source High Brightness LED SMD IP Rating IP 40
</t>
  </si>
  <si>
    <t>OTHERS</t>
  </si>
  <si>
    <t>Mechanical Certification</t>
  </si>
  <si>
    <t>MECHANICALCERT</t>
  </si>
  <si>
    <t>MECHANICAL CERTIFICATE EQUIPMENT</t>
  </si>
  <si>
    <t>MISC-BARRIER</t>
  </si>
  <si>
    <t>ACRYLIC BARRIER</t>
  </si>
  <si>
    <t>MISC-THERMOMETER</t>
  </si>
  <si>
    <t>THERMOMETER INFRARED FOREHEAD TYPE</t>
  </si>
  <si>
    <t>FACEMASK</t>
  </si>
  <si>
    <t>MISC-MASK-001</t>
  </si>
  <si>
    <t>SURGICAL FACE MASK (50pcs/pack)</t>
  </si>
  <si>
    <t>MISC-MASK-002</t>
  </si>
  <si>
    <t>MEDICLEAN BRAND SURGICAL FACE MASK 3-PLY MASK</t>
  </si>
  <si>
    <t>CUSTOMIZED ITEMS</t>
  </si>
  <si>
    <t>MISC-CUSTOM-001</t>
  </si>
  <si>
    <t>CUSTOMIZED FACE MASK</t>
  </si>
  <si>
    <t>2-PLY NEOPRENE + PROTEK WASHABLE FACE MASK
FILTER POCKET: 2ND PLY PROTEK+ FABRIC MATERIAL
SIZE: 5.5INCHES H X 7.5INCHES L
PROCESS: FULL COLOR SUBLIMATION</t>
  </si>
  <si>
    <t>MISC-CUSTOM-002</t>
  </si>
  <si>
    <t>CUSTOMIZED FACE MASK HOLDER</t>
  </si>
  <si>
    <t>DIMENSION: 9 X 11 X 1.2 CM
MATERIAL: HARD PLASTIC,
COLOR: WHITE
WITH PRINTED TEXT/LOGO
(MULTICOLORED 3.5X2")</t>
  </si>
  <si>
    <t>MISC-CUSTOM-003</t>
  </si>
  <si>
    <t>CUSTOMIZED ID LANYARD WITH ALCOHOL HOLDER</t>
  </si>
  <si>
    <t>INCLUSIONS:
- ALCOHOL HOLDER (FAUX/VEGAN LEATHER)
- SPRAY BOTTLE
- POUCH
- CUSTOMIZABLE DESIGN
- FREEE: 4 LETTERS STAMPING (AHRC)</t>
  </si>
  <si>
    <t>MISC-CUSTOM-004</t>
  </si>
  <si>
    <t>CUSTOMIZED TOTE (KATSA) BAG WITH PRINT</t>
  </si>
  <si>
    <t>SIZE: 14 X 16 INCHES
WITH SUBLIMATION PRINT
(SIZE: 10.5 X 7 INCHES)
INCLUSIONS:
INDIVIDUAL PLASTIC PACKAGING</t>
  </si>
  <si>
    <t>MISC-CUSTOM-005</t>
  </si>
  <si>
    <t>WATERPROOF VINYL STICKER LABERL FOR NOTEBOOKS (3.5x2 inches)</t>
  </si>
  <si>
    <t>ALCOHOL</t>
  </si>
  <si>
    <t>ALCO CLEAN</t>
  </si>
  <si>
    <t>MISC-ALCOHOL-001</t>
  </si>
  <si>
    <t>ALCO CLEAN ETHYL ALCOHOL - Charm / Cucumber Melon Scent</t>
  </si>
  <si>
    <t>MISC-ALCOHOL-002</t>
  </si>
  <si>
    <t>ALCO CLEAN ETHYL ALCOHOL - Angel's Breath Scent</t>
  </si>
  <si>
    <t>MISC-ALCOHOL-003</t>
  </si>
  <si>
    <t>ALCO CLEAN ETHYL ALCOHOL - Green Tea Scent</t>
  </si>
  <si>
    <t>MISC-ALCOHOL-004</t>
  </si>
  <si>
    <t>ALCO CLEAN ETHYL ALCOHOL - CK Scent</t>
  </si>
  <si>
    <t>MISC-ALCOHOL-005</t>
  </si>
  <si>
    <t>ALCO CLEAN ETHYL ALCOHOL - Nectarine Scent</t>
  </si>
  <si>
    <t>MISC-ALCOHOL-006</t>
  </si>
  <si>
    <t>ALCO CLEAN ETHYL ALCOHOL - Magic Spell Scent</t>
  </si>
  <si>
    <t>MISC-ALCOHOL-007</t>
  </si>
  <si>
    <t>ALCO CLEAN ETHYL ALCOHOL - Ocean Fresh Scent</t>
  </si>
  <si>
    <t>MISC-ALCOHOL-008</t>
  </si>
  <si>
    <t>ALCO CLEAN ISOPROPHYL ALCOHOL - Safeguard Scent</t>
  </si>
  <si>
    <t>MISC-ALCOHOL-009</t>
  </si>
  <si>
    <t>ALCO CLEAN ISOPROPHYL ALCOHOL - Blooming Petals Scent</t>
  </si>
  <si>
    <t>MISC-ALCOHOL-010</t>
  </si>
  <si>
    <t>ALCO CLEAN ISOPROPHYL ALCOHOL - Polo Sports Scent</t>
  </si>
  <si>
    <t>MISC-ALCOHOL-011</t>
  </si>
  <si>
    <t>ALCO CLEAN ISOPROPHYL ALCOHOL - Angel's Love Scent</t>
  </si>
  <si>
    <t>MISC-ALCOHOL-012</t>
  </si>
  <si>
    <t>ALCO CLEAN ISOPROPHYL ALCOHOL - Nenuco Scent</t>
  </si>
  <si>
    <t>MISC-ALCOHOL-013</t>
  </si>
  <si>
    <t>ALCO CLEAN ISOPROPHYL ALCOHOL - Champagne Scent</t>
  </si>
  <si>
    <t>MISC-ALCOHOL-014</t>
  </si>
  <si>
    <t>ALCO CLEAN ISOPROPHYL ALCOHOL - Vanilla Scent</t>
  </si>
  <si>
    <t>MISC-ALCOHOL-015</t>
  </si>
  <si>
    <t>ALCO CLEAN ISOPROPHYL ALCOHOL - Angel's Breath Scent</t>
  </si>
  <si>
    <t>FEDERAL</t>
  </si>
  <si>
    <t>MISC-ALCOHOL-016</t>
  </si>
  <si>
    <t>FEDERAL ISOPROPHYL ALCOHOL - Baby Powder Scent</t>
  </si>
  <si>
    <t>MISC-ALCOHOL-017</t>
  </si>
  <si>
    <t>FEDERAL ISOPROPHYL ALCOHOL - Unscented Scent</t>
  </si>
  <si>
    <t>MISC-ALCOHOL-018</t>
  </si>
  <si>
    <t>FEDERAL ETHYL ALCOHOL - Dove Scent</t>
  </si>
  <si>
    <t>MISC-ALCOHOL-019</t>
  </si>
  <si>
    <t>FEDERAL ETHYL ALCOHOL - Cucumber Melon Scent</t>
  </si>
  <si>
    <t>ALCOHOL DISPENSER</t>
  </si>
  <si>
    <t>N/A</t>
  </si>
  <si>
    <t>MISC-ALCOHOL-020</t>
  </si>
  <si>
    <t>ALCOHOL DISPENSER WITH STAND</t>
  </si>
  <si>
    <t>MISC-ALCOHOL-021</t>
  </si>
  <si>
    <t>ALCOHOL DISPENSER
Inclusions: 
4 Type C Batteries
1 Charger
1 Bracket
1 Adhesive</t>
  </si>
  <si>
    <t>PURIFIER</t>
  </si>
  <si>
    <t>AIZEN</t>
  </si>
  <si>
    <t>AP-H27UV</t>
  </si>
  <si>
    <t>Aizen Air Home 27 UV</t>
  </si>
  <si>
    <t>UV Air Purifier, 7-stage Purification, 27sqm</t>
  </si>
  <si>
    <t>AP-E50UVSH</t>
  </si>
  <si>
    <t>Aizen SmartAir Elite 50 UVSH</t>
  </si>
  <si>
    <t>Smart UV Air Purifier with Humidifier, 8-stage Purification, 50sqm</t>
  </si>
  <si>
    <t>AP-P120UVS</t>
  </si>
  <si>
    <t>Aizen SmartAir Pro 120 UVS</t>
  </si>
  <si>
    <t>Smart UV Air Purifier, Dual Filter with 6-stage Purification, 120sqm</t>
  </si>
  <si>
    <t>APF-H27</t>
  </si>
  <si>
    <t>Aizen Filter H27</t>
  </si>
  <si>
    <t>Replacement Filter for Air Home 27 UV</t>
  </si>
  <si>
    <t>APF-E50</t>
  </si>
  <si>
    <t>Aizen Filter E50</t>
  </si>
  <si>
    <t>Replacement Filter for SmartAir Elite 50 UVSH</t>
  </si>
  <si>
    <t>APF-P120</t>
  </si>
  <si>
    <t>Aizen Filter P120</t>
  </si>
  <si>
    <t>Replacement Filter for SmartAir Pro 120 UVS (1-side)</t>
  </si>
  <si>
    <t>THERMOSTAT</t>
  </si>
  <si>
    <t>HONEYWELL</t>
  </si>
  <si>
    <t>T6861H2WG</t>
  </si>
  <si>
    <t>HONEYWELL THERMOSTAT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</si>
</sst>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₱]#,##0.00"/>
    <numFmt numFmtId="165" formatCode="_(* #,##0.00_);_(* \(#,##0.00\);_(* &quot;-&quot;??_);_(@_)"/>
  </numFmts>
  <fonts count="7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/>
    <font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shrinkToFit="0" vertical="center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right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4" fontId="5" numFmtId="16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164" xfId="0" applyAlignment="1" applyBorder="1" applyFont="1" applyNumberFormat="1">
      <alignment shrinkToFit="0" vertical="center" wrapText="1"/>
    </xf>
    <xf borderId="4" fillId="0" fontId="5" numFmtId="0" xfId="0" applyBorder="1" applyFont="1"/>
    <xf borderId="4" fillId="0" fontId="5" numFmtId="0" xfId="0" applyAlignment="1" applyBorder="1" applyFont="1">
      <alignment shrinkToFit="0" wrapText="1"/>
    </xf>
    <xf borderId="4" fillId="0" fontId="5" numFmtId="164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chaela Buela" id="{db24650f-9051-4370-a126-8e561c87313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22" dT="2026-03-11T07:22:21.00" personId="{db24650f-9051-4370-a126-8e561c87313e}" id="{986d3bf2-1b6e-45c6-abd8-93b12db25165}" done="0">
    <x18tc:text xml:space="preserve">VERIFY THE PRICE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/>
      <c r="K1" s="4" t="s">
        <v>2</v>
      </c>
      <c r="L1" s="3"/>
      <c r="M1" s="4" t="s">
        <v>3</v>
      </c>
      <c r="N1" s="3"/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6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</row>
    <row r="3">
      <c r="A3" s="8" t="s">
        <v>18</v>
      </c>
      <c r="B3" s="9"/>
      <c r="C3" s="10" t="s">
        <v>19</v>
      </c>
      <c r="D3" s="10" t="s">
        <v>20</v>
      </c>
      <c r="E3" s="10" t="s">
        <v>21</v>
      </c>
      <c r="F3" s="10" t="s">
        <v>22</v>
      </c>
      <c r="G3" s="11"/>
      <c r="H3" s="7">
        <v>2400.0</v>
      </c>
      <c r="I3" s="12">
        <f t="shared" ref="I3:I121" si="1">H3*1.5</f>
        <v>3600</v>
      </c>
      <c r="J3" s="12">
        <f t="shared" ref="J3:J121" si="2">H3*1.3</f>
        <v>3120</v>
      </c>
      <c r="K3" s="7">
        <f t="shared" ref="K3:K121" si="3">H3*1.3</f>
        <v>3120</v>
      </c>
      <c r="L3" s="7">
        <f t="shared" ref="L3:L121" si="4">H3*1.2</f>
        <v>2880</v>
      </c>
      <c r="M3" s="7">
        <f t="shared" ref="M3:M121" si="5">I3*1.15</f>
        <v>4140</v>
      </c>
      <c r="N3" s="7">
        <f t="shared" ref="N3:N121" si="6">J3*1.1</f>
        <v>3432</v>
      </c>
    </row>
    <row r="4">
      <c r="A4" s="8" t="s">
        <v>18</v>
      </c>
      <c r="B4" s="9"/>
      <c r="C4" s="10" t="s">
        <v>19</v>
      </c>
      <c r="D4" s="9"/>
      <c r="E4" s="10" t="s">
        <v>23</v>
      </c>
      <c r="F4" s="10" t="s">
        <v>24</v>
      </c>
      <c r="G4" s="11"/>
      <c r="H4" s="7">
        <v>2550.0</v>
      </c>
      <c r="I4" s="12">
        <f t="shared" si="1"/>
        <v>3825</v>
      </c>
      <c r="J4" s="12">
        <f t="shared" si="2"/>
        <v>3315</v>
      </c>
      <c r="K4" s="7">
        <f t="shared" si="3"/>
        <v>3315</v>
      </c>
      <c r="L4" s="7">
        <f t="shared" si="4"/>
        <v>3060</v>
      </c>
      <c r="M4" s="7">
        <f t="shared" si="5"/>
        <v>4398.75</v>
      </c>
      <c r="N4" s="7">
        <f t="shared" si="6"/>
        <v>3646.5</v>
      </c>
    </row>
    <row r="5">
      <c r="A5" s="8" t="s">
        <v>18</v>
      </c>
      <c r="B5" s="9"/>
      <c r="C5" s="10" t="s">
        <v>19</v>
      </c>
      <c r="D5" s="9"/>
      <c r="E5" s="10" t="s">
        <v>23</v>
      </c>
      <c r="F5" s="10" t="s">
        <v>25</v>
      </c>
      <c r="G5" s="11"/>
      <c r="H5" s="7">
        <v>2850.0</v>
      </c>
      <c r="I5" s="12">
        <f t="shared" si="1"/>
        <v>4275</v>
      </c>
      <c r="J5" s="12">
        <f t="shared" si="2"/>
        <v>3705</v>
      </c>
      <c r="K5" s="7">
        <f t="shared" si="3"/>
        <v>3705</v>
      </c>
      <c r="L5" s="7">
        <f t="shared" si="4"/>
        <v>3420</v>
      </c>
      <c r="M5" s="7">
        <f t="shared" si="5"/>
        <v>4916.25</v>
      </c>
      <c r="N5" s="7">
        <f t="shared" si="6"/>
        <v>4075.5</v>
      </c>
    </row>
    <row r="6">
      <c r="A6" s="8" t="s">
        <v>18</v>
      </c>
      <c r="B6" s="9"/>
      <c r="C6" s="10" t="s">
        <v>19</v>
      </c>
      <c r="D6" s="9"/>
      <c r="E6" s="10" t="s">
        <v>26</v>
      </c>
      <c r="F6" s="10" t="s">
        <v>27</v>
      </c>
      <c r="G6" s="11"/>
      <c r="H6" s="7">
        <v>3500.0</v>
      </c>
      <c r="I6" s="12">
        <f t="shared" si="1"/>
        <v>5250</v>
      </c>
      <c r="J6" s="12">
        <f t="shared" si="2"/>
        <v>4550</v>
      </c>
      <c r="K6" s="7">
        <f t="shared" si="3"/>
        <v>4550</v>
      </c>
      <c r="L6" s="7">
        <f t="shared" si="4"/>
        <v>4200</v>
      </c>
      <c r="M6" s="7">
        <f t="shared" si="5"/>
        <v>6037.5</v>
      </c>
      <c r="N6" s="7">
        <f t="shared" si="6"/>
        <v>5005</v>
      </c>
    </row>
    <row r="7">
      <c r="A7" s="8" t="s">
        <v>18</v>
      </c>
      <c r="B7" s="9"/>
      <c r="C7" s="10" t="s">
        <v>19</v>
      </c>
      <c r="D7" s="9"/>
      <c r="E7" s="10" t="s">
        <v>28</v>
      </c>
      <c r="F7" s="10" t="s">
        <v>29</v>
      </c>
      <c r="G7" s="11"/>
      <c r="H7" s="7">
        <v>3350.0</v>
      </c>
      <c r="I7" s="12">
        <f t="shared" si="1"/>
        <v>5025</v>
      </c>
      <c r="J7" s="12">
        <f t="shared" si="2"/>
        <v>4355</v>
      </c>
      <c r="K7" s="7">
        <f t="shared" si="3"/>
        <v>4355</v>
      </c>
      <c r="L7" s="7">
        <f t="shared" si="4"/>
        <v>4020</v>
      </c>
      <c r="M7" s="7">
        <f t="shared" si="5"/>
        <v>5778.75</v>
      </c>
      <c r="N7" s="7">
        <f t="shared" si="6"/>
        <v>4790.5</v>
      </c>
    </row>
    <row r="8">
      <c r="A8" s="8" t="s">
        <v>18</v>
      </c>
      <c r="B8" s="9"/>
      <c r="C8" s="10" t="s">
        <v>19</v>
      </c>
      <c r="D8" s="10" t="s">
        <v>30</v>
      </c>
      <c r="E8" s="10" t="s">
        <v>28</v>
      </c>
      <c r="F8" s="10" t="s">
        <v>31</v>
      </c>
      <c r="G8" s="11"/>
      <c r="H8" s="7">
        <v>3250.0</v>
      </c>
      <c r="I8" s="12">
        <f t="shared" si="1"/>
        <v>4875</v>
      </c>
      <c r="J8" s="12">
        <f t="shared" si="2"/>
        <v>4225</v>
      </c>
      <c r="K8" s="7">
        <f t="shared" si="3"/>
        <v>4225</v>
      </c>
      <c r="L8" s="7">
        <f t="shared" si="4"/>
        <v>3900</v>
      </c>
      <c r="M8" s="7">
        <f t="shared" si="5"/>
        <v>5606.25</v>
      </c>
      <c r="N8" s="7">
        <f t="shared" si="6"/>
        <v>4647.5</v>
      </c>
    </row>
    <row r="9">
      <c r="A9" s="8" t="s">
        <v>18</v>
      </c>
      <c r="B9" s="9"/>
      <c r="C9" s="10" t="s">
        <v>19</v>
      </c>
      <c r="D9" s="9"/>
      <c r="E9" s="10" t="s">
        <v>28</v>
      </c>
      <c r="F9" s="10" t="s">
        <v>32</v>
      </c>
      <c r="G9" s="11"/>
      <c r="H9" s="7">
        <v>3250.0</v>
      </c>
      <c r="I9" s="12">
        <f t="shared" si="1"/>
        <v>4875</v>
      </c>
      <c r="J9" s="12">
        <f t="shared" si="2"/>
        <v>4225</v>
      </c>
      <c r="K9" s="7">
        <f t="shared" si="3"/>
        <v>4225</v>
      </c>
      <c r="L9" s="7">
        <f t="shared" si="4"/>
        <v>3900</v>
      </c>
      <c r="M9" s="7">
        <f t="shared" si="5"/>
        <v>5606.25</v>
      </c>
      <c r="N9" s="7">
        <f t="shared" si="6"/>
        <v>4647.5</v>
      </c>
    </row>
    <row r="10">
      <c r="A10" s="8" t="s">
        <v>18</v>
      </c>
      <c r="B10" s="9"/>
      <c r="C10" s="10" t="s">
        <v>19</v>
      </c>
      <c r="D10" s="10" t="s">
        <v>33</v>
      </c>
      <c r="E10" s="10" t="s">
        <v>23</v>
      </c>
      <c r="F10" s="10" t="s">
        <v>34</v>
      </c>
      <c r="G10" s="11"/>
      <c r="H10" s="7">
        <v>2500.0</v>
      </c>
      <c r="I10" s="12">
        <f t="shared" si="1"/>
        <v>3750</v>
      </c>
      <c r="J10" s="12">
        <f t="shared" si="2"/>
        <v>3250</v>
      </c>
      <c r="K10" s="7">
        <f t="shared" si="3"/>
        <v>3250</v>
      </c>
      <c r="L10" s="7">
        <f t="shared" si="4"/>
        <v>3000</v>
      </c>
      <c r="M10" s="7">
        <f t="shared" si="5"/>
        <v>4312.5</v>
      </c>
      <c r="N10" s="7">
        <f t="shared" si="6"/>
        <v>3575</v>
      </c>
    </row>
    <row r="11">
      <c r="A11" s="8" t="s">
        <v>18</v>
      </c>
      <c r="B11" s="9"/>
      <c r="C11" s="10" t="s">
        <v>19</v>
      </c>
      <c r="D11" s="9"/>
      <c r="E11" s="10" t="s">
        <v>35</v>
      </c>
      <c r="F11" s="10" t="s">
        <v>36</v>
      </c>
      <c r="G11" s="11"/>
      <c r="H11" s="7">
        <v>2000.0</v>
      </c>
      <c r="I11" s="12">
        <f t="shared" si="1"/>
        <v>3000</v>
      </c>
      <c r="J11" s="12">
        <f t="shared" si="2"/>
        <v>2600</v>
      </c>
      <c r="K11" s="7">
        <f t="shared" si="3"/>
        <v>2600</v>
      </c>
      <c r="L11" s="7">
        <f t="shared" si="4"/>
        <v>2400</v>
      </c>
      <c r="M11" s="7">
        <f t="shared" si="5"/>
        <v>3450</v>
      </c>
      <c r="N11" s="7">
        <f t="shared" si="6"/>
        <v>2860</v>
      </c>
    </row>
    <row r="12">
      <c r="A12" s="8" t="s">
        <v>18</v>
      </c>
      <c r="B12" s="9"/>
      <c r="C12" s="10" t="s">
        <v>19</v>
      </c>
      <c r="D12" s="10" t="s">
        <v>37</v>
      </c>
      <c r="E12" s="10" t="s">
        <v>38</v>
      </c>
      <c r="F12" s="10" t="s">
        <v>39</v>
      </c>
      <c r="G12" s="11"/>
      <c r="H12" s="7">
        <v>10800.0</v>
      </c>
      <c r="I12" s="12">
        <f t="shared" si="1"/>
        <v>16200</v>
      </c>
      <c r="J12" s="12">
        <f t="shared" si="2"/>
        <v>14040</v>
      </c>
      <c r="K12" s="7">
        <f t="shared" si="3"/>
        <v>14040</v>
      </c>
      <c r="L12" s="7">
        <f t="shared" si="4"/>
        <v>12960</v>
      </c>
      <c r="M12" s="7">
        <f t="shared" si="5"/>
        <v>18630</v>
      </c>
      <c r="N12" s="7">
        <f t="shared" si="6"/>
        <v>15444</v>
      </c>
    </row>
    <row r="13">
      <c r="A13" s="8" t="s">
        <v>18</v>
      </c>
      <c r="B13" s="9"/>
      <c r="C13" s="10" t="s">
        <v>19</v>
      </c>
      <c r="D13" s="9"/>
      <c r="E13" s="10" t="s">
        <v>35</v>
      </c>
      <c r="F13" s="10" t="s">
        <v>39</v>
      </c>
      <c r="G13" s="11"/>
      <c r="H13" s="7">
        <v>11000.0</v>
      </c>
      <c r="I13" s="12">
        <f t="shared" si="1"/>
        <v>16500</v>
      </c>
      <c r="J13" s="12">
        <f t="shared" si="2"/>
        <v>14300</v>
      </c>
      <c r="K13" s="7">
        <f t="shared" si="3"/>
        <v>14300</v>
      </c>
      <c r="L13" s="7">
        <f t="shared" si="4"/>
        <v>13200</v>
      </c>
      <c r="M13" s="7">
        <f t="shared" si="5"/>
        <v>18975</v>
      </c>
      <c r="N13" s="7">
        <f t="shared" si="6"/>
        <v>15730</v>
      </c>
    </row>
    <row r="14">
      <c r="A14" s="8" t="s">
        <v>18</v>
      </c>
      <c r="B14" s="9"/>
      <c r="C14" s="10" t="s">
        <v>19</v>
      </c>
      <c r="D14" s="10" t="s">
        <v>40</v>
      </c>
      <c r="E14" s="10" t="s">
        <v>41</v>
      </c>
      <c r="F14" s="10" t="s">
        <v>42</v>
      </c>
      <c r="G14" s="11"/>
      <c r="H14" s="7">
        <v>22500.0</v>
      </c>
      <c r="I14" s="12">
        <f t="shared" si="1"/>
        <v>33750</v>
      </c>
      <c r="J14" s="12">
        <f t="shared" si="2"/>
        <v>29250</v>
      </c>
      <c r="K14" s="7">
        <f t="shared" si="3"/>
        <v>29250</v>
      </c>
      <c r="L14" s="7">
        <f t="shared" si="4"/>
        <v>27000</v>
      </c>
      <c r="M14" s="7">
        <f t="shared" si="5"/>
        <v>38812.5</v>
      </c>
      <c r="N14" s="7">
        <f t="shared" si="6"/>
        <v>32175</v>
      </c>
    </row>
    <row r="15">
      <c r="A15" s="8" t="s">
        <v>18</v>
      </c>
      <c r="B15" s="9"/>
      <c r="C15" s="10" t="s">
        <v>19</v>
      </c>
      <c r="D15" s="10" t="s">
        <v>43</v>
      </c>
      <c r="E15" s="10" t="s">
        <v>35</v>
      </c>
      <c r="F15" s="10" t="s">
        <v>44</v>
      </c>
      <c r="G15" s="11"/>
      <c r="H15" s="7">
        <v>2650.0</v>
      </c>
      <c r="I15" s="12">
        <f t="shared" si="1"/>
        <v>3975</v>
      </c>
      <c r="J15" s="12">
        <f t="shared" si="2"/>
        <v>3445</v>
      </c>
      <c r="K15" s="7">
        <f t="shared" si="3"/>
        <v>3445</v>
      </c>
      <c r="L15" s="7">
        <f t="shared" si="4"/>
        <v>3180</v>
      </c>
      <c r="M15" s="7">
        <f t="shared" si="5"/>
        <v>4571.25</v>
      </c>
      <c r="N15" s="7">
        <f t="shared" si="6"/>
        <v>3789.5</v>
      </c>
    </row>
    <row r="16">
      <c r="A16" s="8" t="s">
        <v>18</v>
      </c>
      <c r="B16" s="9"/>
      <c r="C16" s="10" t="s">
        <v>19</v>
      </c>
      <c r="D16" s="9"/>
      <c r="E16" s="10" t="s">
        <v>38</v>
      </c>
      <c r="F16" s="10" t="s">
        <v>45</v>
      </c>
      <c r="G16" s="11"/>
      <c r="H16" s="7">
        <v>2850.0</v>
      </c>
      <c r="I16" s="12">
        <f t="shared" si="1"/>
        <v>4275</v>
      </c>
      <c r="J16" s="12">
        <f t="shared" si="2"/>
        <v>3705</v>
      </c>
      <c r="K16" s="7">
        <f t="shared" si="3"/>
        <v>3705</v>
      </c>
      <c r="L16" s="7">
        <f t="shared" si="4"/>
        <v>3420</v>
      </c>
      <c r="M16" s="7">
        <f t="shared" si="5"/>
        <v>4916.25</v>
      </c>
      <c r="N16" s="7">
        <f t="shared" si="6"/>
        <v>4075.5</v>
      </c>
    </row>
    <row r="17">
      <c r="A17" s="8" t="s">
        <v>18</v>
      </c>
      <c r="B17" s="9"/>
      <c r="C17" s="10" t="s">
        <v>19</v>
      </c>
      <c r="D17" s="10" t="s">
        <v>46</v>
      </c>
      <c r="E17" s="10" t="s">
        <v>38</v>
      </c>
      <c r="F17" s="10" t="s">
        <v>47</v>
      </c>
      <c r="G17" s="11"/>
      <c r="H17" s="7">
        <v>3250.0</v>
      </c>
      <c r="I17" s="12">
        <f t="shared" si="1"/>
        <v>4875</v>
      </c>
      <c r="J17" s="12">
        <f t="shared" si="2"/>
        <v>4225</v>
      </c>
      <c r="K17" s="7">
        <f t="shared" si="3"/>
        <v>4225</v>
      </c>
      <c r="L17" s="7">
        <f t="shared" si="4"/>
        <v>3900</v>
      </c>
      <c r="M17" s="7">
        <f t="shared" si="5"/>
        <v>5606.25</v>
      </c>
      <c r="N17" s="7">
        <f t="shared" si="6"/>
        <v>4647.5</v>
      </c>
    </row>
    <row r="18">
      <c r="A18" s="8" t="s">
        <v>18</v>
      </c>
      <c r="B18" s="9"/>
      <c r="C18" s="10" t="s">
        <v>19</v>
      </c>
      <c r="D18" s="9"/>
      <c r="E18" s="10" t="s">
        <v>26</v>
      </c>
      <c r="F18" s="10" t="s">
        <v>48</v>
      </c>
      <c r="G18" s="11"/>
      <c r="H18" s="7">
        <v>4300.0</v>
      </c>
      <c r="I18" s="12">
        <f t="shared" si="1"/>
        <v>6450</v>
      </c>
      <c r="J18" s="12">
        <f t="shared" si="2"/>
        <v>5590</v>
      </c>
      <c r="K18" s="7">
        <f t="shared" si="3"/>
        <v>5590</v>
      </c>
      <c r="L18" s="7">
        <f t="shared" si="4"/>
        <v>5160</v>
      </c>
      <c r="M18" s="7">
        <f t="shared" si="5"/>
        <v>7417.5</v>
      </c>
      <c r="N18" s="7">
        <f t="shared" si="6"/>
        <v>6149</v>
      </c>
    </row>
    <row r="19">
      <c r="A19" s="8" t="s">
        <v>18</v>
      </c>
      <c r="B19" s="9"/>
      <c r="C19" s="10" t="s">
        <v>19</v>
      </c>
      <c r="D19" s="10" t="s">
        <v>49</v>
      </c>
      <c r="E19" s="10" t="s">
        <v>50</v>
      </c>
      <c r="F19" s="10" t="s">
        <v>51</v>
      </c>
      <c r="G19" s="11"/>
      <c r="H19" s="7">
        <v>10500.0</v>
      </c>
      <c r="I19" s="12">
        <f t="shared" si="1"/>
        <v>15750</v>
      </c>
      <c r="J19" s="12">
        <f t="shared" si="2"/>
        <v>13650</v>
      </c>
      <c r="K19" s="7">
        <f t="shared" si="3"/>
        <v>13650</v>
      </c>
      <c r="L19" s="7">
        <f t="shared" si="4"/>
        <v>12600</v>
      </c>
      <c r="M19" s="7">
        <f t="shared" si="5"/>
        <v>18112.5</v>
      </c>
      <c r="N19" s="7">
        <f t="shared" si="6"/>
        <v>15015</v>
      </c>
    </row>
    <row r="20">
      <c r="A20" s="8" t="s">
        <v>18</v>
      </c>
      <c r="B20" s="9"/>
      <c r="C20" s="10" t="s">
        <v>19</v>
      </c>
      <c r="D20" s="10" t="s">
        <v>52</v>
      </c>
      <c r="E20" s="10" t="s">
        <v>53</v>
      </c>
      <c r="F20" s="10" t="s">
        <v>54</v>
      </c>
      <c r="G20" s="11"/>
      <c r="H20" s="7">
        <v>2200.0</v>
      </c>
      <c r="I20" s="12">
        <f t="shared" si="1"/>
        <v>3300</v>
      </c>
      <c r="J20" s="12">
        <f t="shared" si="2"/>
        <v>2860</v>
      </c>
      <c r="K20" s="7">
        <f t="shared" si="3"/>
        <v>2860</v>
      </c>
      <c r="L20" s="7">
        <f t="shared" si="4"/>
        <v>2640</v>
      </c>
      <c r="M20" s="7">
        <f t="shared" si="5"/>
        <v>3795</v>
      </c>
      <c r="N20" s="7">
        <f t="shared" si="6"/>
        <v>3146</v>
      </c>
    </row>
    <row r="21">
      <c r="A21" s="8" t="s">
        <v>18</v>
      </c>
      <c r="B21" s="9"/>
      <c r="C21" s="10" t="s">
        <v>19</v>
      </c>
      <c r="D21" s="9"/>
      <c r="E21" s="10" t="s">
        <v>38</v>
      </c>
      <c r="F21" s="10" t="s">
        <v>55</v>
      </c>
      <c r="G21" s="11"/>
      <c r="H21" s="7">
        <v>2350.0</v>
      </c>
      <c r="I21" s="12">
        <f t="shared" si="1"/>
        <v>3525</v>
      </c>
      <c r="J21" s="12">
        <f t="shared" si="2"/>
        <v>3055</v>
      </c>
      <c r="K21" s="7">
        <f t="shared" si="3"/>
        <v>3055</v>
      </c>
      <c r="L21" s="7">
        <f t="shared" si="4"/>
        <v>2820</v>
      </c>
      <c r="M21" s="7">
        <f t="shared" si="5"/>
        <v>4053.75</v>
      </c>
      <c r="N21" s="7">
        <f t="shared" si="6"/>
        <v>3360.5</v>
      </c>
    </row>
    <row r="22">
      <c r="A22" s="8" t="s">
        <v>18</v>
      </c>
      <c r="B22" s="9"/>
      <c r="C22" s="10" t="s">
        <v>19</v>
      </c>
      <c r="D22" s="10" t="s">
        <v>56</v>
      </c>
      <c r="E22" s="10" t="s">
        <v>57</v>
      </c>
      <c r="F22" s="10" t="s">
        <v>58</v>
      </c>
      <c r="G22" s="11"/>
      <c r="H22" s="7">
        <v>2500.0</v>
      </c>
      <c r="I22" s="12">
        <f t="shared" si="1"/>
        <v>3750</v>
      </c>
      <c r="J22" s="12">
        <f t="shared" si="2"/>
        <v>3250</v>
      </c>
      <c r="K22" s="7">
        <f t="shared" si="3"/>
        <v>3250</v>
      </c>
      <c r="L22" s="7">
        <f t="shared" si="4"/>
        <v>3000</v>
      </c>
      <c r="M22" s="7">
        <f t="shared" si="5"/>
        <v>4312.5</v>
      </c>
      <c r="N22" s="7">
        <f t="shared" si="6"/>
        <v>3575</v>
      </c>
    </row>
    <row r="23">
      <c r="A23" s="8" t="s">
        <v>18</v>
      </c>
      <c r="B23" s="9"/>
      <c r="C23" s="10" t="s">
        <v>19</v>
      </c>
      <c r="D23" s="9"/>
      <c r="E23" s="10" t="s">
        <v>57</v>
      </c>
      <c r="F23" s="10" t="s">
        <v>59</v>
      </c>
      <c r="G23" s="11"/>
      <c r="H23" s="7">
        <v>2400.0</v>
      </c>
      <c r="I23" s="12">
        <f t="shared" si="1"/>
        <v>3600</v>
      </c>
      <c r="J23" s="12">
        <f t="shared" si="2"/>
        <v>3120</v>
      </c>
      <c r="K23" s="7">
        <f t="shared" si="3"/>
        <v>3120</v>
      </c>
      <c r="L23" s="7">
        <f t="shared" si="4"/>
        <v>2880</v>
      </c>
      <c r="M23" s="7">
        <f t="shared" si="5"/>
        <v>4140</v>
      </c>
      <c r="N23" s="7">
        <f t="shared" si="6"/>
        <v>3432</v>
      </c>
    </row>
    <row r="24">
      <c r="A24" s="8" t="s">
        <v>18</v>
      </c>
      <c r="B24" s="9"/>
      <c r="C24" s="10" t="s">
        <v>19</v>
      </c>
      <c r="D24" s="9"/>
      <c r="E24" s="10" t="s">
        <v>60</v>
      </c>
      <c r="F24" s="10" t="s">
        <v>61</v>
      </c>
      <c r="G24" s="11"/>
      <c r="H24" s="7">
        <v>2850.0</v>
      </c>
      <c r="I24" s="12">
        <f t="shared" si="1"/>
        <v>4275</v>
      </c>
      <c r="J24" s="12">
        <f t="shared" si="2"/>
        <v>3705</v>
      </c>
      <c r="K24" s="7">
        <f t="shared" si="3"/>
        <v>3705</v>
      </c>
      <c r="L24" s="7">
        <f t="shared" si="4"/>
        <v>3420</v>
      </c>
      <c r="M24" s="7">
        <f t="shared" si="5"/>
        <v>4916.25</v>
      </c>
      <c r="N24" s="7">
        <f t="shared" si="6"/>
        <v>4075.5</v>
      </c>
    </row>
    <row r="25">
      <c r="A25" s="8" t="s">
        <v>18</v>
      </c>
      <c r="B25" s="9"/>
      <c r="C25" s="10" t="s">
        <v>19</v>
      </c>
      <c r="D25" s="10" t="s">
        <v>62</v>
      </c>
      <c r="E25" s="10" t="s">
        <v>38</v>
      </c>
      <c r="F25" s="10" t="s">
        <v>63</v>
      </c>
      <c r="G25" s="11"/>
      <c r="H25" s="7">
        <v>2800.0</v>
      </c>
      <c r="I25" s="12">
        <f t="shared" si="1"/>
        <v>4200</v>
      </c>
      <c r="J25" s="12">
        <f t="shared" si="2"/>
        <v>3640</v>
      </c>
      <c r="K25" s="7">
        <f t="shared" si="3"/>
        <v>3640</v>
      </c>
      <c r="L25" s="7">
        <f t="shared" si="4"/>
        <v>3360</v>
      </c>
      <c r="M25" s="7">
        <f t="shared" si="5"/>
        <v>4830</v>
      </c>
      <c r="N25" s="7">
        <f t="shared" si="6"/>
        <v>4004</v>
      </c>
    </row>
    <row r="26">
      <c r="A26" s="8" t="s">
        <v>18</v>
      </c>
      <c r="B26" s="9"/>
      <c r="C26" s="10" t="s">
        <v>19</v>
      </c>
      <c r="D26" s="9"/>
      <c r="E26" s="10" t="s">
        <v>38</v>
      </c>
      <c r="F26" s="10" t="s">
        <v>64</v>
      </c>
      <c r="G26" s="11"/>
      <c r="H26" s="7">
        <v>2850.0</v>
      </c>
      <c r="I26" s="12">
        <f t="shared" si="1"/>
        <v>4275</v>
      </c>
      <c r="J26" s="12">
        <f t="shared" si="2"/>
        <v>3705</v>
      </c>
      <c r="K26" s="7">
        <f t="shared" si="3"/>
        <v>3705</v>
      </c>
      <c r="L26" s="7">
        <f t="shared" si="4"/>
        <v>3420</v>
      </c>
      <c r="M26" s="7">
        <f t="shared" si="5"/>
        <v>4916.25</v>
      </c>
      <c r="N26" s="7">
        <f t="shared" si="6"/>
        <v>4075.5</v>
      </c>
    </row>
    <row r="27">
      <c r="A27" s="8" t="s">
        <v>18</v>
      </c>
      <c r="B27" s="9"/>
      <c r="C27" s="10" t="s">
        <v>19</v>
      </c>
      <c r="D27" s="10" t="s">
        <v>65</v>
      </c>
      <c r="E27" s="10" t="s">
        <v>66</v>
      </c>
      <c r="F27" s="10" t="s">
        <v>67</v>
      </c>
      <c r="G27" s="11"/>
      <c r="H27" s="7">
        <v>2400.0</v>
      </c>
      <c r="I27" s="12">
        <f t="shared" si="1"/>
        <v>3600</v>
      </c>
      <c r="J27" s="12">
        <f t="shared" si="2"/>
        <v>3120</v>
      </c>
      <c r="K27" s="7">
        <f t="shared" si="3"/>
        <v>3120</v>
      </c>
      <c r="L27" s="7">
        <f t="shared" si="4"/>
        <v>2880</v>
      </c>
      <c r="M27" s="7">
        <f t="shared" si="5"/>
        <v>4140</v>
      </c>
      <c r="N27" s="7">
        <f t="shared" si="6"/>
        <v>3432</v>
      </c>
    </row>
    <row r="28">
      <c r="A28" s="8" t="s">
        <v>18</v>
      </c>
      <c r="B28" s="9"/>
      <c r="C28" s="10" t="s">
        <v>19</v>
      </c>
      <c r="D28" s="10" t="s">
        <v>68</v>
      </c>
      <c r="E28" s="10" t="s">
        <v>69</v>
      </c>
      <c r="F28" s="10" t="s">
        <v>70</v>
      </c>
      <c r="G28" s="11"/>
      <c r="H28" s="7">
        <v>3150.0</v>
      </c>
      <c r="I28" s="12">
        <f t="shared" si="1"/>
        <v>4725</v>
      </c>
      <c r="J28" s="12">
        <f t="shared" si="2"/>
        <v>4095</v>
      </c>
      <c r="K28" s="7">
        <f t="shared" si="3"/>
        <v>4095</v>
      </c>
      <c r="L28" s="7">
        <f t="shared" si="4"/>
        <v>3780</v>
      </c>
      <c r="M28" s="7">
        <f t="shared" si="5"/>
        <v>5433.75</v>
      </c>
      <c r="N28" s="7">
        <f t="shared" si="6"/>
        <v>4504.5</v>
      </c>
    </row>
    <row r="29">
      <c r="A29" s="8" t="s">
        <v>18</v>
      </c>
      <c r="B29" s="9"/>
      <c r="C29" s="10" t="s">
        <v>19</v>
      </c>
      <c r="D29" s="9"/>
      <c r="E29" s="10" t="s">
        <v>41</v>
      </c>
      <c r="F29" s="10" t="s">
        <v>71</v>
      </c>
      <c r="G29" s="11"/>
      <c r="H29" s="7">
        <v>2250.0</v>
      </c>
      <c r="I29" s="12">
        <f t="shared" si="1"/>
        <v>3375</v>
      </c>
      <c r="J29" s="12">
        <f t="shared" si="2"/>
        <v>2925</v>
      </c>
      <c r="K29" s="7">
        <f t="shared" si="3"/>
        <v>2925</v>
      </c>
      <c r="L29" s="7">
        <f t="shared" si="4"/>
        <v>2700</v>
      </c>
      <c r="M29" s="7">
        <f t="shared" si="5"/>
        <v>3881.25</v>
      </c>
      <c r="N29" s="7">
        <f t="shared" si="6"/>
        <v>3217.5</v>
      </c>
    </row>
    <row r="30">
      <c r="A30" s="8" t="s">
        <v>18</v>
      </c>
      <c r="B30" s="9"/>
      <c r="C30" s="10" t="s">
        <v>19</v>
      </c>
      <c r="D30" s="10" t="s">
        <v>72</v>
      </c>
      <c r="E30" s="10" t="s">
        <v>38</v>
      </c>
      <c r="F30" s="10" t="s">
        <v>73</v>
      </c>
      <c r="G30" s="11"/>
      <c r="H30" s="7">
        <v>3100.0</v>
      </c>
      <c r="I30" s="12">
        <f t="shared" si="1"/>
        <v>4650</v>
      </c>
      <c r="J30" s="12">
        <f t="shared" si="2"/>
        <v>4030</v>
      </c>
      <c r="K30" s="7">
        <f t="shared" si="3"/>
        <v>4030</v>
      </c>
      <c r="L30" s="7">
        <f t="shared" si="4"/>
        <v>3720</v>
      </c>
      <c r="M30" s="7">
        <f t="shared" si="5"/>
        <v>5347.5</v>
      </c>
      <c r="N30" s="7">
        <f t="shared" si="6"/>
        <v>4433</v>
      </c>
    </row>
    <row r="31">
      <c r="A31" s="8" t="s">
        <v>18</v>
      </c>
      <c r="B31" s="9"/>
      <c r="C31" s="10" t="s">
        <v>19</v>
      </c>
      <c r="D31" s="10" t="s">
        <v>74</v>
      </c>
      <c r="E31" s="10" t="s">
        <v>66</v>
      </c>
      <c r="F31" s="10" t="s">
        <v>75</v>
      </c>
      <c r="G31" s="11"/>
      <c r="H31" s="7">
        <v>2400.0</v>
      </c>
      <c r="I31" s="12">
        <f t="shared" si="1"/>
        <v>3600</v>
      </c>
      <c r="J31" s="12">
        <f t="shared" si="2"/>
        <v>3120</v>
      </c>
      <c r="K31" s="7">
        <f t="shared" si="3"/>
        <v>3120</v>
      </c>
      <c r="L31" s="7">
        <f t="shared" si="4"/>
        <v>2880</v>
      </c>
      <c r="M31" s="7">
        <f t="shared" si="5"/>
        <v>4140</v>
      </c>
      <c r="N31" s="7">
        <f t="shared" si="6"/>
        <v>3432</v>
      </c>
    </row>
    <row r="32">
      <c r="A32" s="8" t="s">
        <v>18</v>
      </c>
      <c r="B32" s="9"/>
      <c r="C32" s="10" t="s">
        <v>19</v>
      </c>
      <c r="D32" s="10" t="s">
        <v>76</v>
      </c>
      <c r="E32" s="10" t="s">
        <v>77</v>
      </c>
      <c r="F32" s="10" t="s">
        <v>78</v>
      </c>
      <c r="G32" s="11"/>
      <c r="H32" s="7">
        <v>1620.0</v>
      </c>
      <c r="I32" s="12">
        <f t="shared" si="1"/>
        <v>2430</v>
      </c>
      <c r="J32" s="12">
        <f t="shared" si="2"/>
        <v>2106</v>
      </c>
      <c r="K32" s="7">
        <f t="shared" si="3"/>
        <v>2106</v>
      </c>
      <c r="L32" s="7">
        <f t="shared" si="4"/>
        <v>1944</v>
      </c>
      <c r="M32" s="7">
        <f t="shared" si="5"/>
        <v>2794.5</v>
      </c>
      <c r="N32" s="7">
        <f t="shared" si="6"/>
        <v>2316.6</v>
      </c>
    </row>
    <row r="33">
      <c r="A33" s="8" t="s">
        <v>18</v>
      </c>
      <c r="B33" s="9"/>
      <c r="C33" s="10" t="s">
        <v>19</v>
      </c>
      <c r="D33" s="9"/>
      <c r="E33" s="10" t="s">
        <v>79</v>
      </c>
      <c r="F33" s="10" t="s">
        <v>80</v>
      </c>
      <c r="G33" s="11"/>
      <c r="H33" s="7">
        <v>1620.0</v>
      </c>
      <c r="I33" s="12">
        <f t="shared" si="1"/>
        <v>2430</v>
      </c>
      <c r="J33" s="12">
        <f t="shared" si="2"/>
        <v>2106</v>
      </c>
      <c r="K33" s="7">
        <f t="shared" si="3"/>
        <v>2106</v>
      </c>
      <c r="L33" s="7">
        <f t="shared" si="4"/>
        <v>1944</v>
      </c>
      <c r="M33" s="7">
        <f t="shared" si="5"/>
        <v>2794.5</v>
      </c>
      <c r="N33" s="7">
        <f t="shared" si="6"/>
        <v>2316.6</v>
      </c>
    </row>
    <row r="34">
      <c r="A34" s="8" t="s">
        <v>18</v>
      </c>
      <c r="B34" s="9"/>
      <c r="C34" s="10" t="s">
        <v>19</v>
      </c>
      <c r="D34" s="9"/>
      <c r="E34" s="10" t="s">
        <v>81</v>
      </c>
      <c r="F34" s="10" t="s">
        <v>82</v>
      </c>
      <c r="G34" s="11"/>
      <c r="H34" s="7">
        <v>1620.0</v>
      </c>
      <c r="I34" s="12">
        <f t="shared" si="1"/>
        <v>2430</v>
      </c>
      <c r="J34" s="12">
        <f t="shared" si="2"/>
        <v>2106</v>
      </c>
      <c r="K34" s="7">
        <f t="shared" si="3"/>
        <v>2106</v>
      </c>
      <c r="L34" s="7">
        <f t="shared" si="4"/>
        <v>1944</v>
      </c>
      <c r="M34" s="7">
        <f t="shared" si="5"/>
        <v>2794.5</v>
      </c>
      <c r="N34" s="7">
        <f t="shared" si="6"/>
        <v>2316.6</v>
      </c>
    </row>
    <row r="35">
      <c r="A35" s="8" t="s">
        <v>18</v>
      </c>
      <c r="B35" s="9"/>
      <c r="C35" s="10" t="s">
        <v>19</v>
      </c>
      <c r="D35" s="9"/>
      <c r="E35" s="10" t="s">
        <v>83</v>
      </c>
      <c r="F35" s="10" t="s">
        <v>84</v>
      </c>
      <c r="G35" s="11"/>
      <c r="H35" s="7">
        <v>1620.0</v>
      </c>
      <c r="I35" s="12">
        <f t="shared" si="1"/>
        <v>2430</v>
      </c>
      <c r="J35" s="12">
        <f t="shared" si="2"/>
        <v>2106</v>
      </c>
      <c r="K35" s="7">
        <f t="shared" si="3"/>
        <v>2106</v>
      </c>
      <c r="L35" s="7">
        <f t="shared" si="4"/>
        <v>1944</v>
      </c>
      <c r="M35" s="7">
        <f t="shared" si="5"/>
        <v>2794.5</v>
      </c>
      <c r="N35" s="7">
        <f t="shared" si="6"/>
        <v>2316.6</v>
      </c>
    </row>
    <row r="36">
      <c r="A36" s="8" t="s">
        <v>18</v>
      </c>
      <c r="B36" s="9"/>
      <c r="C36" s="10" t="s">
        <v>19</v>
      </c>
      <c r="D36" s="10" t="s">
        <v>85</v>
      </c>
      <c r="E36" s="10" t="s">
        <v>86</v>
      </c>
      <c r="F36" s="9"/>
      <c r="G36" s="11"/>
      <c r="H36" s="7">
        <v>50.0</v>
      </c>
      <c r="I36" s="12">
        <f t="shared" si="1"/>
        <v>75</v>
      </c>
      <c r="J36" s="12">
        <f t="shared" si="2"/>
        <v>65</v>
      </c>
      <c r="K36" s="7">
        <f t="shared" si="3"/>
        <v>65</v>
      </c>
      <c r="L36" s="7">
        <f t="shared" si="4"/>
        <v>60</v>
      </c>
      <c r="M36" s="7">
        <f t="shared" si="5"/>
        <v>86.25</v>
      </c>
      <c r="N36" s="7">
        <f t="shared" si="6"/>
        <v>71.5</v>
      </c>
    </row>
    <row r="37">
      <c r="A37" s="8" t="s">
        <v>18</v>
      </c>
      <c r="B37" s="9"/>
      <c r="C37" s="10" t="s">
        <v>19</v>
      </c>
      <c r="D37" s="9"/>
      <c r="E37" s="10" t="s">
        <v>87</v>
      </c>
      <c r="F37" s="9"/>
      <c r="G37" s="11"/>
      <c r="H37" s="7">
        <v>500.0</v>
      </c>
      <c r="I37" s="12">
        <f t="shared" si="1"/>
        <v>750</v>
      </c>
      <c r="J37" s="12">
        <f t="shared" si="2"/>
        <v>650</v>
      </c>
      <c r="K37" s="7">
        <f t="shared" si="3"/>
        <v>650</v>
      </c>
      <c r="L37" s="7">
        <f t="shared" si="4"/>
        <v>600</v>
      </c>
      <c r="M37" s="7">
        <f t="shared" si="5"/>
        <v>862.5</v>
      </c>
      <c r="N37" s="7">
        <f t="shared" si="6"/>
        <v>715</v>
      </c>
    </row>
    <row r="38">
      <c r="A38" s="8" t="s">
        <v>18</v>
      </c>
      <c r="B38" s="9"/>
      <c r="C38" s="10" t="s">
        <v>88</v>
      </c>
      <c r="D38" s="10" t="s">
        <v>89</v>
      </c>
      <c r="E38" s="10" t="s">
        <v>90</v>
      </c>
      <c r="F38" s="10" t="s">
        <v>91</v>
      </c>
      <c r="G38" s="11"/>
      <c r="H38" s="7">
        <v>3000.0</v>
      </c>
      <c r="I38" s="12">
        <f t="shared" si="1"/>
        <v>4500</v>
      </c>
      <c r="J38" s="12">
        <f t="shared" si="2"/>
        <v>3900</v>
      </c>
      <c r="K38" s="7">
        <f t="shared" si="3"/>
        <v>3900</v>
      </c>
      <c r="L38" s="7">
        <f t="shared" si="4"/>
        <v>3600</v>
      </c>
      <c r="M38" s="7">
        <f t="shared" si="5"/>
        <v>5175</v>
      </c>
      <c r="N38" s="7">
        <f t="shared" si="6"/>
        <v>4290</v>
      </c>
    </row>
    <row r="39">
      <c r="A39" s="8" t="s">
        <v>18</v>
      </c>
      <c r="B39" s="9"/>
      <c r="C39" s="10" t="s">
        <v>88</v>
      </c>
      <c r="D39" s="10" t="s">
        <v>92</v>
      </c>
      <c r="E39" s="10" t="s">
        <v>93</v>
      </c>
      <c r="F39" s="10" t="s">
        <v>94</v>
      </c>
      <c r="G39" s="11"/>
      <c r="H39" s="7">
        <v>3350.0</v>
      </c>
      <c r="I39" s="12">
        <f t="shared" si="1"/>
        <v>5025</v>
      </c>
      <c r="J39" s="12">
        <f t="shared" si="2"/>
        <v>4355</v>
      </c>
      <c r="K39" s="7">
        <f t="shared" si="3"/>
        <v>4355</v>
      </c>
      <c r="L39" s="7">
        <f t="shared" si="4"/>
        <v>4020</v>
      </c>
      <c r="M39" s="7">
        <f t="shared" si="5"/>
        <v>5778.75</v>
      </c>
      <c r="N39" s="7">
        <f t="shared" si="6"/>
        <v>4790.5</v>
      </c>
    </row>
    <row r="40">
      <c r="A40" s="8" t="s">
        <v>18</v>
      </c>
      <c r="B40" s="9"/>
      <c r="C40" s="10" t="s">
        <v>88</v>
      </c>
      <c r="D40" s="9"/>
      <c r="E40" s="10" t="s">
        <v>93</v>
      </c>
      <c r="F40" s="10" t="s">
        <v>95</v>
      </c>
      <c r="G40" s="11"/>
      <c r="H40" s="7">
        <v>3900.0</v>
      </c>
      <c r="I40" s="12">
        <f t="shared" si="1"/>
        <v>5850</v>
      </c>
      <c r="J40" s="12">
        <f t="shared" si="2"/>
        <v>5070</v>
      </c>
      <c r="K40" s="7">
        <f t="shared" si="3"/>
        <v>5070</v>
      </c>
      <c r="L40" s="7">
        <f t="shared" si="4"/>
        <v>4680</v>
      </c>
      <c r="M40" s="7">
        <f t="shared" si="5"/>
        <v>6727.5</v>
      </c>
      <c r="N40" s="7">
        <f t="shared" si="6"/>
        <v>5577</v>
      </c>
    </row>
    <row r="41">
      <c r="A41" s="8" t="s">
        <v>18</v>
      </c>
      <c r="B41" s="9"/>
      <c r="C41" s="10" t="s">
        <v>88</v>
      </c>
      <c r="D41" s="10" t="s">
        <v>96</v>
      </c>
      <c r="E41" s="10" t="s">
        <v>97</v>
      </c>
      <c r="F41" s="10" t="s">
        <v>94</v>
      </c>
      <c r="G41" s="11"/>
      <c r="H41" s="7">
        <v>2300.0</v>
      </c>
      <c r="I41" s="12">
        <f t="shared" si="1"/>
        <v>3450</v>
      </c>
      <c r="J41" s="12">
        <f t="shared" si="2"/>
        <v>2990</v>
      </c>
      <c r="K41" s="7">
        <f t="shared" si="3"/>
        <v>2990</v>
      </c>
      <c r="L41" s="7">
        <f t="shared" si="4"/>
        <v>2760</v>
      </c>
      <c r="M41" s="7">
        <f t="shared" si="5"/>
        <v>3967.5</v>
      </c>
      <c r="N41" s="7">
        <f t="shared" si="6"/>
        <v>3289</v>
      </c>
    </row>
    <row r="42">
      <c r="A42" s="8" t="s">
        <v>18</v>
      </c>
      <c r="B42" s="9"/>
      <c r="C42" s="10" t="s">
        <v>88</v>
      </c>
      <c r="D42" s="9"/>
      <c r="E42" s="10" t="s">
        <v>97</v>
      </c>
      <c r="F42" s="10" t="s">
        <v>95</v>
      </c>
      <c r="G42" s="11"/>
      <c r="H42" s="7">
        <v>2500.0</v>
      </c>
      <c r="I42" s="12">
        <f t="shared" si="1"/>
        <v>3750</v>
      </c>
      <c r="J42" s="12">
        <f t="shared" si="2"/>
        <v>3250</v>
      </c>
      <c r="K42" s="7">
        <f t="shared" si="3"/>
        <v>3250</v>
      </c>
      <c r="L42" s="7">
        <f t="shared" si="4"/>
        <v>3000</v>
      </c>
      <c r="M42" s="7">
        <f t="shared" si="5"/>
        <v>4312.5</v>
      </c>
      <c r="N42" s="7">
        <f t="shared" si="6"/>
        <v>3575</v>
      </c>
    </row>
    <row r="43">
      <c r="A43" s="8" t="s">
        <v>18</v>
      </c>
      <c r="B43" s="9"/>
      <c r="C43" s="10" t="s">
        <v>88</v>
      </c>
      <c r="D43" s="10" t="s">
        <v>98</v>
      </c>
      <c r="E43" s="10" t="s">
        <v>41</v>
      </c>
      <c r="F43" s="10" t="s">
        <v>99</v>
      </c>
      <c r="G43" s="11"/>
      <c r="H43" s="7">
        <v>2000.0</v>
      </c>
      <c r="I43" s="12">
        <f t="shared" si="1"/>
        <v>3000</v>
      </c>
      <c r="J43" s="12">
        <f t="shared" si="2"/>
        <v>2600</v>
      </c>
      <c r="K43" s="7">
        <f t="shared" si="3"/>
        <v>2600</v>
      </c>
      <c r="L43" s="7">
        <f t="shared" si="4"/>
        <v>2400</v>
      </c>
      <c r="M43" s="7">
        <f t="shared" si="5"/>
        <v>3450</v>
      </c>
      <c r="N43" s="7">
        <f t="shared" si="6"/>
        <v>2860</v>
      </c>
    </row>
    <row r="44">
      <c r="A44" s="8" t="s">
        <v>18</v>
      </c>
      <c r="B44" s="9"/>
      <c r="C44" s="10" t="s">
        <v>88</v>
      </c>
      <c r="D44" s="10" t="s">
        <v>100</v>
      </c>
      <c r="E44" s="10" t="s">
        <v>101</v>
      </c>
      <c r="F44" s="10" t="s">
        <v>102</v>
      </c>
      <c r="G44" s="11"/>
      <c r="H44" s="7">
        <v>3000.0</v>
      </c>
      <c r="I44" s="12">
        <f t="shared" si="1"/>
        <v>4500</v>
      </c>
      <c r="J44" s="12">
        <f t="shared" si="2"/>
        <v>3900</v>
      </c>
      <c r="K44" s="7">
        <f t="shared" si="3"/>
        <v>3900</v>
      </c>
      <c r="L44" s="7">
        <f t="shared" si="4"/>
        <v>3600</v>
      </c>
      <c r="M44" s="7">
        <f t="shared" si="5"/>
        <v>5175</v>
      </c>
      <c r="N44" s="7">
        <f t="shared" si="6"/>
        <v>4290</v>
      </c>
    </row>
    <row r="45">
      <c r="A45" s="8" t="s">
        <v>18</v>
      </c>
      <c r="B45" s="9"/>
      <c r="C45" s="10" t="s">
        <v>88</v>
      </c>
      <c r="D45" s="9"/>
      <c r="E45" s="10" t="s">
        <v>101</v>
      </c>
      <c r="F45" s="10" t="s">
        <v>103</v>
      </c>
      <c r="G45" s="11"/>
      <c r="H45" s="7">
        <v>3250.0</v>
      </c>
      <c r="I45" s="12">
        <f t="shared" si="1"/>
        <v>4875</v>
      </c>
      <c r="J45" s="12">
        <f t="shared" si="2"/>
        <v>4225</v>
      </c>
      <c r="K45" s="7">
        <f t="shared" si="3"/>
        <v>4225</v>
      </c>
      <c r="L45" s="7">
        <f t="shared" si="4"/>
        <v>3900</v>
      </c>
      <c r="M45" s="7">
        <f t="shared" si="5"/>
        <v>5606.25</v>
      </c>
      <c r="N45" s="7">
        <f t="shared" si="6"/>
        <v>4647.5</v>
      </c>
    </row>
    <row r="46">
      <c r="A46" s="8" t="s">
        <v>18</v>
      </c>
      <c r="B46" s="9"/>
      <c r="C46" s="10" t="s">
        <v>88</v>
      </c>
      <c r="D46" s="10" t="s">
        <v>104</v>
      </c>
      <c r="E46" s="10" t="s">
        <v>105</v>
      </c>
      <c r="F46" s="10" t="s">
        <v>106</v>
      </c>
      <c r="G46" s="11"/>
      <c r="H46" s="7">
        <v>1500.0</v>
      </c>
      <c r="I46" s="12">
        <f t="shared" si="1"/>
        <v>2250</v>
      </c>
      <c r="J46" s="12">
        <f t="shared" si="2"/>
        <v>1950</v>
      </c>
      <c r="K46" s="7">
        <f t="shared" si="3"/>
        <v>1950</v>
      </c>
      <c r="L46" s="7">
        <f t="shared" si="4"/>
        <v>1800</v>
      </c>
      <c r="M46" s="7">
        <f t="shared" si="5"/>
        <v>2587.5</v>
      </c>
      <c r="N46" s="7">
        <f t="shared" si="6"/>
        <v>2145</v>
      </c>
    </row>
    <row r="47">
      <c r="A47" s="8" t="s">
        <v>18</v>
      </c>
      <c r="B47" s="9"/>
      <c r="C47" s="10" t="s">
        <v>88</v>
      </c>
      <c r="D47" s="10" t="s">
        <v>107</v>
      </c>
      <c r="E47" s="10" t="s">
        <v>108</v>
      </c>
      <c r="F47" s="10" t="s">
        <v>109</v>
      </c>
      <c r="G47" s="11"/>
      <c r="H47" s="7">
        <v>1500.0</v>
      </c>
      <c r="I47" s="12">
        <f t="shared" si="1"/>
        <v>2250</v>
      </c>
      <c r="J47" s="12">
        <f t="shared" si="2"/>
        <v>1950</v>
      </c>
      <c r="K47" s="7">
        <f t="shared" si="3"/>
        <v>1950</v>
      </c>
      <c r="L47" s="7">
        <f t="shared" si="4"/>
        <v>1800</v>
      </c>
      <c r="M47" s="7">
        <f t="shared" si="5"/>
        <v>2587.5</v>
      </c>
      <c r="N47" s="7">
        <f t="shared" si="6"/>
        <v>2145</v>
      </c>
    </row>
    <row r="48">
      <c r="A48" s="8" t="s">
        <v>18</v>
      </c>
      <c r="B48" s="9"/>
      <c r="C48" s="10" t="s">
        <v>88</v>
      </c>
      <c r="D48" s="10" t="s">
        <v>110</v>
      </c>
      <c r="E48" s="10" t="s">
        <v>111</v>
      </c>
      <c r="F48" s="10" t="s">
        <v>112</v>
      </c>
      <c r="G48" s="11"/>
      <c r="H48" s="7">
        <v>4400.0</v>
      </c>
      <c r="I48" s="12">
        <f t="shared" si="1"/>
        <v>6600</v>
      </c>
      <c r="J48" s="12">
        <f t="shared" si="2"/>
        <v>5720</v>
      </c>
      <c r="K48" s="7">
        <f t="shared" si="3"/>
        <v>5720</v>
      </c>
      <c r="L48" s="7">
        <f t="shared" si="4"/>
        <v>5280</v>
      </c>
      <c r="M48" s="7">
        <f t="shared" si="5"/>
        <v>7590</v>
      </c>
      <c r="N48" s="7">
        <f t="shared" si="6"/>
        <v>6292</v>
      </c>
    </row>
    <row r="49">
      <c r="A49" s="8" t="s">
        <v>18</v>
      </c>
      <c r="B49" s="9"/>
      <c r="C49" s="10" t="s">
        <v>88</v>
      </c>
      <c r="D49" s="10" t="s">
        <v>113</v>
      </c>
      <c r="E49" s="10" t="s">
        <v>114</v>
      </c>
      <c r="F49" s="10" t="s">
        <v>115</v>
      </c>
      <c r="G49" s="11"/>
      <c r="H49" s="7">
        <v>3150.0</v>
      </c>
      <c r="I49" s="12">
        <f t="shared" si="1"/>
        <v>4725</v>
      </c>
      <c r="J49" s="12">
        <f t="shared" si="2"/>
        <v>4095</v>
      </c>
      <c r="K49" s="7">
        <f t="shared" si="3"/>
        <v>4095</v>
      </c>
      <c r="L49" s="7">
        <f t="shared" si="4"/>
        <v>3780</v>
      </c>
      <c r="M49" s="7">
        <f t="shared" si="5"/>
        <v>5433.75</v>
      </c>
      <c r="N49" s="7">
        <f t="shared" si="6"/>
        <v>4504.5</v>
      </c>
    </row>
    <row r="50">
      <c r="A50" s="8" t="s">
        <v>18</v>
      </c>
      <c r="B50" s="9"/>
      <c r="C50" s="10" t="s">
        <v>88</v>
      </c>
      <c r="D50" s="9"/>
      <c r="E50" s="10" t="s">
        <v>114</v>
      </c>
      <c r="F50" s="10" t="s">
        <v>116</v>
      </c>
      <c r="G50" s="11"/>
      <c r="H50" s="7">
        <v>3350.0</v>
      </c>
      <c r="I50" s="12">
        <f t="shared" si="1"/>
        <v>5025</v>
      </c>
      <c r="J50" s="12">
        <f t="shared" si="2"/>
        <v>4355</v>
      </c>
      <c r="K50" s="7">
        <f t="shared" si="3"/>
        <v>4355</v>
      </c>
      <c r="L50" s="7">
        <f t="shared" si="4"/>
        <v>4020</v>
      </c>
      <c r="M50" s="7">
        <f t="shared" si="5"/>
        <v>5778.75</v>
      </c>
      <c r="N50" s="7">
        <f t="shared" si="6"/>
        <v>4790.5</v>
      </c>
    </row>
    <row r="51">
      <c r="A51" s="8" t="s">
        <v>18</v>
      </c>
      <c r="B51" s="9"/>
      <c r="C51" s="10" t="s">
        <v>88</v>
      </c>
      <c r="D51" s="10" t="s">
        <v>117</v>
      </c>
      <c r="E51" s="10" t="s">
        <v>118</v>
      </c>
      <c r="F51" s="10" t="s">
        <v>119</v>
      </c>
      <c r="G51" s="11"/>
      <c r="H51" s="7">
        <v>2850.0</v>
      </c>
      <c r="I51" s="12">
        <f t="shared" si="1"/>
        <v>4275</v>
      </c>
      <c r="J51" s="12">
        <f t="shared" si="2"/>
        <v>3705</v>
      </c>
      <c r="K51" s="7">
        <f t="shared" si="3"/>
        <v>3705</v>
      </c>
      <c r="L51" s="7">
        <f t="shared" si="4"/>
        <v>3420</v>
      </c>
      <c r="M51" s="7">
        <f t="shared" si="5"/>
        <v>4916.25</v>
      </c>
      <c r="N51" s="7">
        <f t="shared" si="6"/>
        <v>4075.5</v>
      </c>
    </row>
    <row r="52">
      <c r="A52" s="8" t="s">
        <v>18</v>
      </c>
      <c r="B52" s="9"/>
      <c r="C52" s="10" t="s">
        <v>88</v>
      </c>
      <c r="D52" s="10" t="s">
        <v>120</v>
      </c>
      <c r="E52" s="10" t="s">
        <v>101</v>
      </c>
      <c r="F52" s="10" t="s">
        <v>121</v>
      </c>
      <c r="G52" s="11"/>
      <c r="H52" s="7">
        <v>4300.0</v>
      </c>
      <c r="I52" s="12">
        <f t="shared" si="1"/>
        <v>6450</v>
      </c>
      <c r="J52" s="12">
        <f t="shared" si="2"/>
        <v>5590</v>
      </c>
      <c r="K52" s="7">
        <f t="shared" si="3"/>
        <v>5590</v>
      </c>
      <c r="L52" s="7">
        <f t="shared" si="4"/>
        <v>5160</v>
      </c>
      <c r="M52" s="7">
        <f t="shared" si="5"/>
        <v>7417.5</v>
      </c>
      <c r="N52" s="7">
        <f t="shared" si="6"/>
        <v>6149</v>
      </c>
    </row>
    <row r="53">
      <c r="A53" s="8" t="s">
        <v>18</v>
      </c>
      <c r="B53" s="9"/>
      <c r="C53" s="10" t="s">
        <v>88</v>
      </c>
      <c r="D53" s="9"/>
      <c r="E53" s="10" t="s">
        <v>101</v>
      </c>
      <c r="F53" s="10" t="s">
        <v>122</v>
      </c>
      <c r="G53" s="11"/>
      <c r="H53" s="7">
        <v>4650.0</v>
      </c>
      <c r="I53" s="12">
        <f t="shared" si="1"/>
        <v>6975</v>
      </c>
      <c r="J53" s="12">
        <f t="shared" si="2"/>
        <v>6045</v>
      </c>
      <c r="K53" s="7">
        <f t="shared" si="3"/>
        <v>6045</v>
      </c>
      <c r="L53" s="7">
        <f t="shared" si="4"/>
        <v>5580</v>
      </c>
      <c r="M53" s="7">
        <f t="shared" si="5"/>
        <v>8021.25</v>
      </c>
      <c r="N53" s="7">
        <f t="shared" si="6"/>
        <v>6649.5</v>
      </c>
    </row>
    <row r="54">
      <c r="A54" s="8" t="s">
        <v>18</v>
      </c>
      <c r="B54" s="9"/>
      <c r="C54" s="10" t="s">
        <v>88</v>
      </c>
      <c r="D54" s="10" t="s">
        <v>123</v>
      </c>
      <c r="E54" s="10" t="s">
        <v>124</v>
      </c>
      <c r="F54" s="10" t="s">
        <v>125</v>
      </c>
      <c r="G54" s="11"/>
      <c r="H54" s="7">
        <v>3200.0</v>
      </c>
      <c r="I54" s="12">
        <f t="shared" si="1"/>
        <v>4800</v>
      </c>
      <c r="J54" s="12">
        <f t="shared" si="2"/>
        <v>4160</v>
      </c>
      <c r="K54" s="7">
        <f t="shared" si="3"/>
        <v>4160</v>
      </c>
      <c r="L54" s="7">
        <f t="shared" si="4"/>
        <v>3840</v>
      </c>
      <c r="M54" s="7">
        <f t="shared" si="5"/>
        <v>5520</v>
      </c>
      <c r="N54" s="7">
        <f t="shared" si="6"/>
        <v>4576</v>
      </c>
    </row>
    <row r="55">
      <c r="A55" s="8" t="s">
        <v>18</v>
      </c>
      <c r="B55" s="9"/>
      <c r="C55" s="10" t="s">
        <v>88</v>
      </c>
      <c r="D55" s="9"/>
      <c r="E55" s="10" t="s">
        <v>124</v>
      </c>
      <c r="F55" s="10" t="s">
        <v>126</v>
      </c>
      <c r="G55" s="11"/>
      <c r="H55" s="7">
        <v>3500.0</v>
      </c>
      <c r="I55" s="12">
        <f t="shared" si="1"/>
        <v>5250</v>
      </c>
      <c r="J55" s="12">
        <f t="shared" si="2"/>
        <v>4550</v>
      </c>
      <c r="K55" s="7">
        <f t="shared" si="3"/>
        <v>4550</v>
      </c>
      <c r="L55" s="7">
        <f t="shared" si="4"/>
        <v>4200</v>
      </c>
      <c r="M55" s="7">
        <f t="shared" si="5"/>
        <v>6037.5</v>
      </c>
      <c r="N55" s="7">
        <f t="shared" si="6"/>
        <v>5005</v>
      </c>
    </row>
    <row r="56">
      <c r="A56" s="8" t="s">
        <v>18</v>
      </c>
      <c r="B56" s="9"/>
      <c r="C56" s="10" t="s">
        <v>88</v>
      </c>
      <c r="D56" s="10" t="s">
        <v>127</v>
      </c>
      <c r="E56" s="10" t="s">
        <v>128</v>
      </c>
      <c r="F56" s="10" t="s">
        <v>129</v>
      </c>
      <c r="G56" s="11"/>
      <c r="H56" s="7">
        <v>3650.0</v>
      </c>
      <c r="I56" s="12">
        <f t="shared" si="1"/>
        <v>5475</v>
      </c>
      <c r="J56" s="12">
        <f t="shared" si="2"/>
        <v>4745</v>
      </c>
      <c r="K56" s="7">
        <f t="shared" si="3"/>
        <v>4745</v>
      </c>
      <c r="L56" s="7">
        <f t="shared" si="4"/>
        <v>4380</v>
      </c>
      <c r="M56" s="7">
        <f t="shared" si="5"/>
        <v>6296.25</v>
      </c>
      <c r="N56" s="7">
        <f t="shared" si="6"/>
        <v>5219.5</v>
      </c>
    </row>
    <row r="57">
      <c r="A57" s="8" t="s">
        <v>18</v>
      </c>
      <c r="B57" s="9"/>
      <c r="C57" s="10" t="s">
        <v>88</v>
      </c>
      <c r="D57" s="9"/>
      <c r="E57" s="10" t="s">
        <v>128</v>
      </c>
      <c r="F57" s="10" t="s">
        <v>130</v>
      </c>
      <c r="G57" s="11"/>
      <c r="H57" s="7">
        <v>4150.0</v>
      </c>
      <c r="I57" s="12">
        <f t="shared" si="1"/>
        <v>6225</v>
      </c>
      <c r="J57" s="12">
        <f t="shared" si="2"/>
        <v>5395</v>
      </c>
      <c r="K57" s="7">
        <f t="shared" si="3"/>
        <v>5395</v>
      </c>
      <c r="L57" s="7">
        <f t="shared" si="4"/>
        <v>4980</v>
      </c>
      <c r="M57" s="7">
        <f t="shared" si="5"/>
        <v>7158.75</v>
      </c>
      <c r="N57" s="7">
        <f t="shared" si="6"/>
        <v>5934.5</v>
      </c>
    </row>
    <row r="58">
      <c r="A58" s="8" t="s">
        <v>18</v>
      </c>
      <c r="B58" s="9"/>
      <c r="C58" s="10" t="s">
        <v>88</v>
      </c>
      <c r="D58" s="10" t="s">
        <v>131</v>
      </c>
      <c r="E58" s="10" t="s">
        <v>132</v>
      </c>
      <c r="F58" s="10" t="s">
        <v>133</v>
      </c>
      <c r="G58" s="11"/>
      <c r="H58" s="7">
        <v>2000.0</v>
      </c>
      <c r="I58" s="12">
        <f t="shared" si="1"/>
        <v>3000</v>
      </c>
      <c r="J58" s="12">
        <f t="shared" si="2"/>
        <v>2600</v>
      </c>
      <c r="K58" s="7">
        <f t="shared" si="3"/>
        <v>2600</v>
      </c>
      <c r="L58" s="7">
        <f t="shared" si="4"/>
        <v>2400</v>
      </c>
      <c r="M58" s="7">
        <f t="shared" si="5"/>
        <v>3450</v>
      </c>
      <c r="N58" s="7">
        <f t="shared" si="6"/>
        <v>2860</v>
      </c>
    </row>
    <row r="59">
      <c r="A59" s="8" t="s">
        <v>18</v>
      </c>
      <c r="B59" s="9"/>
      <c r="C59" s="10" t="s">
        <v>88</v>
      </c>
      <c r="D59" s="10" t="s">
        <v>134</v>
      </c>
      <c r="E59" s="10" t="s">
        <v>124</v>
      </c>
      <c r="F59" s="10" t="s">
        <v>135</v>
      </c>
      <c r="G59" s="11"/>
      <c r="H59" s="7">
        <v>3200.0</v>
      </c>
      <c r="I59" s="12">
        <f t="shared" si="1"/>
        <v>4800</v>
      </c>
      <c r="J59" s="12">
        <f t="shared" si="2"/>
        <v>4160</v>
      </c>
      <c r="K59" s="7">
        <f t="shared" si="3"/>
        <v>4160</v>
      </c>
      <c r="L59" s="7">
        <f t="shared" si="4"/>
        <v>3840</v>
      </c>
      <c r="M59" s="7">
        <f t="shared" si="5"/>
        <v>5520</v>
      </c>
      <c r="N59" s="7">
        <f t="shared" si="6"/>
        <v>4576</v>
      </c>
    </row>
    <row r="60">
      <c r="A60" s="8" t="s">
        <v>18</v>
      </c>
      <c r="B60" s="9"/>
      <c r="C60" s="10" t="s">
        <v>88</v>
      </c>
      <c r="D60" s="9"/>
      <c r="E60" s="10" t="s">
        <v>124</v>
      </c>
      <c r="F60" s="10" t="s">
        <v>136</v>
      </c>
      <c r="G60" s="11"/>
      <c r="H60" s="7">
        <v>3500.0</v>
      </c>
      <c r="I60" s="12">
        <f t="shared" si="1"/>
        <v>5250</v>
      </c>
      <c r="J60" s="12">
        <f t="shared" si="2"/>
        <v>4550</v>
      </c>
      <c r="K60" s="7">
        <f t="shared" si="3"/>
        <v>4550</v>
      </c>
      <c r="L60" s="7">
        <f t="shared" si="4"/>
        <v>4200</v>
      </c>
      <c r="M60" s="7">
        <f t="shared" si="5"/>
        <v>6037.5</v>
      </c>
      <c r="N60" s="7">
        <f t="shared" si="6"/>
        <v>5005</v>
      </c>
    </row>
    <row r="61">
      <c r="A61" s="8" t="s">
        <v>18</v>
      </c>
      <c r="B61" s="9"/>
      <c r="C61" s="10" t="s">
        <v>88</v>
      </c>
      <c r="D61" s="10" t="s">
        <v>137</v>
      </c>
      <c r="E61" s="10" t="s">
        <v>138</v>
      </c>
      <c r="F61" s="10" t="s">
        <v>139</v>
      </c>
      <c r="G61" s="11"/>
      <c r="H61" s="7">
        <v>19500.0</v>
      </c>
      <c r="I61" s="12">
        <f t="shared" si="1"/>
        <v>29250</v>
      </c>
      <c r="J61" s="12">
        <f t="shared" si="2"/>
        <v>25350</v>
      </c>
      <c r="K61" s="7">
        <f t="shared" si="3"/>
        <v>25350</v>
      </c>
      <c r="L61" s="7">
        <f t="shared" si="4"/>
        <v>23400</v>
      </c>
      <c r="M61" s="7">
        <f t="shared" si="5"/>
        <v>33637.5</v>
      </c>
      <c r="N61" s="7">
        <f t="shared" si="6"/>
        <v>27885</v>
      </c>
    </row>
    <row r="62">
      <c r="A62" s="8" t="s">
        <v>18</v>
      </c>
      <c r="B62" s="9"/>
      <c r="C62" s="10" t="s">
        <v>88</v>
      </c>
      <c r="D62" s="10" t="s">
        <v>140</v>
      </c>
      <c r="E62" s="10" t="s">
        <v>141</v>
      </c>
      <c r="F62" s="10" t="s">
        <v>142</v>
      </c>
      <c r="G62" s="11"/>
      <c r="H62" s="7">
        <v>4750.0</v>
      </c>
      <c r="I62" s="12">
        <f t="shared" si="1"/>
        <v>7125</v>
      </c>
      <c r="J62" s="12">
        <f t="shared" si="2"/>
        <v>6175</v>
      </c>
      <c r="K62" s="7">
        <f t="shared" si="3"/>
        <v>6175</v>
      </c>
      <c r="L62" s="7">
        <f t="shared" si="4"/>
        <v>5700</v>
      </c>
      <c r="M62" s="7">
        <f t="shared" si="5"/>
        <v>8193.75</v>
      </c>
      <c r="N62" s="7">
        <f t="shared" si="6"/>
        <v>6792.5</v>
      </c>
    </row>
    <row r="63">
      <c r="A63" s="8" t="s">
        <v>18</v>
      </c>
      <c r="B63" s="9"/>
      <c r="C63" s="10" t="s">
        <v>88</v>
      </c>
      <c r="D63" s="9"/>
      <c r="E63" s="10" t="s">
        <v>141</v>
      </c>
      <c r="F63" s="10" t="s">
        <v>143</v>
      </c>
      <c r="G63" s="11"/>
      <c r="H63" s="7">
        <v>5150.0</v>
      </c>
      <c r="I63" s="12">
        <f t="shared" si="1"/>
        <v>7725</v>
      </c>
      <c r="J63" s="12">
        <f t="shared" si="2"/>
        <v>6695</v>
      </c>
      <c r="K63" s="7">
        <f t="shared" si="3"/>
        <v>6695</v>
      </c>
      <c r="L63" s="7">
        <f t="shared" si="4"/>
        <v>6180</v>
      </c>
      <c r="M63" s="7">
        <f t="shared" si="5"/>
        <v>8883.75</v>
      </c>
      <c r="N63" s="7">
        <f t="shared" si="6"/>
        <v>7364.5</v>
      </c>
    </row>
    <row r="64">
      <c r="A64" s="8" t="s">
        <v>18</v>
      </c>
      <c r="B64" s="9"/>
      <c r="C64" s="10" t="s">
        <v>88</v>
      </c>
      <c r="D64" s="10" t="s">
        <v>144</v>
      </c>
      <c r="E64" s="10" t="s">
        <v>145</v>
      </c>
      <c r="F64" s="10" t="s">
        <v>146</v>
      </c>
      <c r="G64" s="11"/>
      <c r="H64" s="7">
        <v>500.0</v>
      </c>
      <c r="I64" s="12">
        <f t="shared" si="1"/>
        <v>750</v>
      </c>
      <c r="J64" s="12">
        <f t="shared" si="2"/>
        <v>650</v>
      </c>
      <c r="K64" s="7">
        <f t="shared" si="3"/>
        <v>650</v>
      </c>
      <c r="L64" s="7">
        <f t="shared" si="4"/>
        <v>600</v>
      </c>
      <c r="M64" s="7">
        <f t="shared" si="5"/>
        <v>862.5</v>
      </c>
      <c r="N64" s="7">
        <f t="shared" si="6"/>
        <v>715</v>
      </c>
    </row>
    <row r="65">
      <c r="A65" s="8" t="s">
        <v>18</v>
      </c>
      <c r="B65" s="9"/>
      <c r="C65" s="10" t="s">
        <v>88</v>
      </c>
      <c r="D65" s="9"/>
      <c r="E65" s="9"/>
      <c r="F65" s="10" t="s">
        <v>147</v>
      </c>
      <c r="G65" s="11"/>
      <c r="H65" s="7">
        <v>1000.0</v>
      </c>
      <c r="I65" s="12">
        <f t="shared" si="1"/>
        <v>1500</v>
      </c>
      <c r="J65" s="12">
        <f t="shared" si="2"/>
        <v>1300</v>
      </c>
      <c r="K65" s="7">
        <f t="shared" si="3"/>
        <v>1300</v>
      </c>
      <c r="L65" s="7">
        <f t="shared" si="4"/>
        <v>1200</v>
      </c>
      <c r="M65" s="7">
        <f t="shared" si="5"/>
        <v>1725</v>
      </c>
      <c r="N65" s="7">
        <f t="shared" si="6"/>
        <v>1430</v>
      </c>
    </row>
    <row r="66">
      <c r="A66" s="8" t="s">
        <v>18</v>
      </c>
      <c r="B66" s="9"/>
      <c r="C66" s="10" t="s">
        <v>88</v>
      </c>
      <c r="D66" s="9"/>
      <c r="E66" s="10" t="s">
        <v>148</v>
      </c>
      <c r="F66" s="10" t="s">
        <v>146</v>
      </c>
      <c r="G66" s="11"/>
      <c r="H66" s="7">
        <v>1870.0</v>
      </c>
      <c r="I66" s="12">
        <f t="shared" si="1"/>
        <v>2805</v>
      </c>
      <c r="J66" s="12">
        <f t="shared" si="2"/>
        <v>2431</v>
      </c>
      <c r="K66" s="7">
        <f t="shared" si="3"/>
        <v>2431</v>
      </c>
      <c r="L66" s="7">
        <f t="shared" si="4"/>
        <v>2244</v>
      </c>
      <c r="M66" s="7">
        <f t="shared" si="5"/>
        <v>3225.75</v>
      </c>
      <c r="N66" s="7">
        <f t="shared" si="6"/>
        <v>2674.1</v>
      </c>
    </row>
    <row r="67">
      <c r="A67" s="8" t="s">
        <v>18</v>
      </c>
      <c r="B67" s="9"/>
      <c r="C67" s="10" t="s">
        <v>88</v>
      </c>
      <c r="D67" s="9"/>
      <c r="E67" s="9"/>
      <c r="F67" s="10" t="s">
        <v>147</v>
      </c>
      <c r="G67" s="11"/>
      <c r="H67" s="7">
        <v>3740.0</v>
      </c>
      <c r="I67" s="12">
        <f t="shared" si="1"/>
        <v>5610</v>
      </c>
      <c r="J67" s="12">
        <f t="shared" si="2"/>
        <v>4862</v>
      </c>
      <c r="K67" s="7">
        <f t="shared" si="3"/>
        <v>4862</v>
      </c>
      <c r="L67" s="7">
        <f t="shared" si="4"/>
        <v>4488</v>
      </c>
      <c r="M67" s="7">
        <f t="shared" si="5"/>
        <v>6451.5</v>
      </c>
      <c r="N67" s="7">
        <f t="shared" si="6"/>
        <v>5348.2</v>
      </c>
    </row>
    <row r="68">
      <c r="A68" s="8" t="s">
        <v>18</v>
      </c>
      <c r="B68" s="9"/>
      <c r="C68" s="10" t="s">
        <v>88</v>
      </c>
      <c r="D68" s="9"/>
      <c r="E68" s="10" t="s">
        <v>149</v>
      </c>
      <c r="F68" s="10" t="s">
        <v>146</v>
      </c>
      <c r="G68" s="11"/>
      <c r="H68" s="7">
        <v>550.0</v>
      </c>
      <c r="I68" s="12">
        <f t="shared" si="1"/>
        <v>825</v>
      </c>
      <c r="J68" s="12">
        <f t="shared" si="2"/>
        <v>715</v>
      </c>
      <c r="K68" s="7">
        <f t="shared" si="3"/>
        <v>715</v>
      </c>
      <c r="L68" s="7">
        <f t="shared" si="4"/>
        <v>660</v>
      </c>
      <c r="M68" s="7">
        <f t="shared" si="5"/>
        <v>948.75</v>
      </c>
      <c r="N68" s="7">
        <f t="shared" si="6"/>
        <v>786.5</v>
      </c>
    </row>
    <row r="69">
      <c r="A69" s="8" t="s">
        <v>18</v>
      </c>
      <c r="B69" s="9"/>
      <c r="C69" s="10" t="s">
        <v>88</v>
      </c>
      <c r="D69" s="9"/>
      <c r="E69" s="9"/>
      <c r="F69" s="10" t="s">
        <v>147</v>
      </c>
      <c r="G69" s="11"/>
      <c r="H69" s="7">
        <v>1100.0</v>
      </c>
      <c r="I69" s="12">
        <f t="shared" si="1"/>
        <v>1650</v>
      </c>
      <c r="J69" s="12">
        <f t="shared" si="2"/>
        <v>1430</v>
      </c>
      <c r="K69" s="7">
        <f t="shared" si="3"/>
        <v>1430</v>
      </c>
      <c r="L69" s="7">
        <f t="shared" si="4"/>
        <v>1320</v>
      </c>
      <c r="M69" s="7">
        <f t="shared" si="5"/>
        <v>1897.5</v>
      </c>
      <c r="N69" s="7">
        <f t="shared" si="6"/>
        <v>1573</v>
      </c>
    </row>
    <row r="70">
      <c r="A70" s="8" t="s">
        <v>18</v>
      </c>
      <c r="B70" s="9"/>
      <c r="C70" s="10" t="s">
        <v>88</v>
      </c>
      <c r="D70" s="9"/>
      <c r="E70" s="10" t="s">
        <v>86</v>
      </c>
      <c r="F70" s="9"/>
      <c r="G70" s="11"/>
      <c r="H70" s="7">
        <v>50.0</v>
      </c>
      <c r="I70" s="12">
        <f t="shared" si="1"/>
        <v>75</v>
      </c>
      <c r="J70" s="12">
        <f t="shared" si="2"/>
        <v>65</v>
      </c>
      <c r="K70" s="7">
        <f t="shared" si="3"/>
        <v>65</v>
      </c>
      <c r="L70" s="7">
        <f t="shared" si="4"/>
        <v>60</v>
      </c>
      <c r="M70" s="7">
        <f t="shared" si="5"/>
        <v>86.25</v>
      </c>
      <c r="N70" s="7">
        <f t="shared" si="6"/>
        <v>71.5</v>
      </c>
    </row>
    <row r="71">
      <c r="A71" s="8" t="s">
        <v>18</v>
      </c>
      <c r="B71" s="9"/>
      <c r="C71" s="10" t="s">
        <v>150</v>
      </c>
      <c r="D71" s="10" t="s">
        <v>151</v>
      </c>
      <c r="E71" s="10" t="s">
        <v>38</v>
      </c>
      <c r="F71" s="10" t="s">
        <v>152</v>
      </c>
      <c r="G71" s="11"/>
      <c r="H71" s="7">
        <v>3200.0</v>
      </c>
      <c r="I71" s="12">
        <f t="shared" si="1"/>
        <v>4800</v>
      </c>
      <c r="J71" s="12">
        <f t="shared" si="2"/>
        <v>4160</v>
      </c>
      <c r="K71" s="7">
        <f t="shared" si="3"/>
        <v>4160</v>
      </c>
      <c r="L71" s="7">
        <f t="shared" si="4"/>
        <v>3840</v>
      </c>
      <c r="M71" s="7">
        <f t="shared" si="5"/>
        <v>5520</v>
      </c>
      <c r="N71" s="7">
        <f t="shared" si="6"/>
        <v>4576</v>
      </c>
    </row>
    <row r="72">
      <c r="A72" s="8" t="s">
        <v>18</v>
      </c>
      <c r="B72" s="9"/>
      <c r="C72" s="10" t="s">
        <v>150</v>
      </c>
      <c r="D72" s="10" t="s">
        <v>153</v>
      </c>
      <c r="E72" s="10" t="s">
        <v>154</v>
      </c>
      <c r="F72" s="10" t="s">
        <v>155</v>
      </c>
      <c r="G72" s="11"/>
      <c r="H72" s="7">
        <v>2600.0</v>
      </c>
      <c r="I72" s="12">
        <f t="shared" si="1"/>
        <v>3900</v>
      </c>
      <c r="J72" s="12">
        <f t="shared" si="2"/>
        <v>3380</v>
      </c>
      <c r="K72" s="7">
        <f t="shared" si="3"/>
        <v>3380</v>
      </c>
      <c r="L72" s="7">
        <f t="shared" si="4"/>
        <v>3120</v>
      </c>
      <c r="M72" s="7">
        <f t="shared" si="5"/>
        <v>4485</v>
      </c>
      <c r="N72" s="7">
        <f t="shared" si="6"/>
        <v>3718</v>
      </c>
    </row>
    <row r="73">
      <c r="A73" s="8" t="s">
        <v>18</v>
      </c>
      <c r="B73" s="9"/>
      <c r="C73" s="10" t="s">
        <v>150</v>
      </c>
      <c r="D73" s="10" t="s">
        <v>156</v>
      </c>
      <c r="E73" s="10" t="s">
        <v>157</v>
      </c>
      <c r="F73" s="10" t="s">
        <v>158</v>
      </c>
      <c r="G73" s="11"/>
      <c r="H73" s="7">
        <v>2650.0</v>
      </c>
      <c r="I73" s="12">
        <f t="shared" si="1"/>
        <v>3975</v>
      </c>
      <c r="J73" s="12">
        <f t="shared" si="2"/>
        <v>3445</v>
      </c>
      <c r="K73" s="7">
        <f t="shared" si="3"/>
        <v>3445</v>
      </c>
      <c r="L73" s="7">
        <f t="shared" si="4"/>
        <v>3180</v>
      </c>
      <c r="M73" s="7">
        <f t="shared" si="5"/>
        <v>4571.25</v>
      </c>
      <c r="N73" s="7">
        <f t="shared" si="6"/>
        <v>3789.5</v>
      </c>
    </row>
    <row r="74">
      <c r="A74" s="8" t="s">
        <v>18</v>
      </c>
      <c r="B74" s="9"/>
      <c r="C74" s="10" t="s">
        <v>150</v>
      </c>
      <c r="D74" s="10" t="s">
        <v>159</v>
      </c>
      <c r="E74" s="10" t="s">
        <v>160</v>
      </c>
      <c r="F74" s="10" t="s">
        <v>161</v>
      </c>
      <c r="G74" s="11"/>
      <c r="H74" s="7">
        <v>2850.0</v>
      </c>
      <c r="I74" s="12">
        <f t="shared" si="1"/>
        <v>4275</v>
      </c>
      <c r="J74" s="12">
        <f t="shared" si="2"/>
        <v>3705</v>
      </c>
      <c r="K74" s="7">
        <f t="shared" si="3"/>
        <v>3705</v>
      </c>
      <c r="L74" s="7">
        <f t="shared" si="4"/>
        <v>3420</v>
      </c>
      <c r="M74" s="7">
        <f t="shared" si="5"/>
        <v>4916.25</v>
      </c>
      <c r="N74" s="7">
        <f t="shared" si="6"/>
        <v>4075.5</v>
      </c>
    </row>
    <row r="75">
      <c r="A75" s="8" t="s">
        <v>18</v>
      </c>
      <c r="B75" s="9"/>
      <c r="C75" s="10" t="s">
        <v>150</v>
      </c>
      <c r="D75" s="10" t="s">
        <v>162</v>
      </c>
      <c r="E75" s="10" t="s">
        <v>163</v>
      </c>
      <c r="F75" s="10" t="s">
        <v>164</v>
      </c>
      <c r="G75" s="11"/>
      <c r="H75" s="7">
        <v>3000.0</v>
      </c>
      <c r="I75" s="12">
        <f t="shared" si="1"/>
        <v>4500</v>
      </c>
      <c r="J75" s="12">
        <f t="shared" si="2"/>
        <v>3900</v>
      </c>
      <c r="K75" s="7">
        <f t="shared" si="3"/>
        <v>3900</v>
      </c>
      <c r="L75" s="7">
        <f t="shared" si="4"/>
        <v>3600</v>
      </c>
      <c r="M75" s="7">
        <f t="shared" si="5"/>
        <v>5175</v>
      </c>
      <c r="N75" s="7">
        <f t="shared" si="6"/>
        <v>4290</v>
      </c>
    </row>
    <row r="76">
      <c r="A76" s="8" t="s">
        <v>18</v>
      </c>
      <c r="B76" s="9"/>
      <c r="C76" s="10" t="s">
        <v>150</v>
      </c>
      <c r="D76" s="10" t="s">
        <v>165</v>
      </c>
      <c r="E76" s="10" t="s">
        <v>154</v>
      </c>
      <c r="F76" s="10" t="s">
        <v>166</v>
      </c>
      <c r="G76" s="11"/>
      <c r="H76" s="7">
        <v>3300.0</v>
      </c>
      <c r="I76" s="12">
        <f t="shared" si="1"/>
        <v>4950</v>
      </c>
      <c r="J76" s="12">
        <f t="shared" si="2"/>
        <v>4290</v>
      </c>
      <c r="K76" s="7">
        <f t="shared" si="3"/>
        <v>4290</v>
      </c>
      <c r="L76" s="7">
        <f t="shared" si="4"/>
        <v>3960</v>
      </c>
      <c r="M76" s="7">
        <f t="shared" si="5"/>
        <v>5692.5</v>
      </c>
      <c r="N76" s="7">
        <f t="shared" si="6"/>
        <v>4719</v>
      </c>
    </row>
    <row r="77">
      <c r="A77" s="8" t="s">
        <v>18</v>
      </c>
      <c r="B77" s="9"/>
      <c r="C77" s="10" t="s">
        <v>150</v>
      </c>
      <c r="D77" s="10" t="s">
        <v>167</v>
      </c>
      <c r="E77" s="10" t="s">
        <v>168</v>
      </c>
      <c r="F77" s="10" t="s">
        <v>169</v>
      </c>
      <c r="G77" s="11"/>
      <c r="H77" s="7">
        <v>3500.0</v>
      </c>
      <c r="I77" s="12">
        <f t="shared" si="1"/>
        <v>5250</v>
      </c>
      <c r="J77" s="12">
        <f t="shared" si="2"/>
        <v>4550</v>
      </c>
      <c r="K77" s="7">
        <f t="shared" si="3"/>
        <v>4550</v>
      </c>
      <c r="L77" s="7">
        <f t="shared" si="4"/>
        <v>4200</v>
      </c>
      <c r="M77" s="7">
        <f t="shared" si="5"/>
        <v>6037.5</v>
      </c>
      <c r="N77" s="7">
        <f t="shared" si="6"/>
        <v>5005</v>
      </c>
    </row>
    <row r="78">
      <c r="A78" s="8" t="s">
        <v>18</v>
      </c>
      <c r="B78" s="9"/>
      <c r="C78" s="10" t="s">
        <v>150</v>
      </c>
      <c r="D78" s="10" t="s">
        <v>170</v>
      </c>
      <c r="E78" s="10" t="s">
        <v>26</v>
      </c>
      <c r="F78" s="10" t="s">
        <v>171</v>
      </c>
      <c r="G78" s="11"/>
      <c r="H78" s="7">
        <v>3650.0</v>
      </c>
      <c r="I78" s="12">
        <f t="shared" si="1"/>
        <v>5475</v>
      </c>
      <c r="J78" s="12">
        <f t="shared" si="2"/>
        <v>4745</v>
      </c>
      <c r="K78" s="7">
        <f t="shared" si="3"/>
        <v>4745</v>
      </c>
      <c r="L78" s="7">
        <f t="shared" si="4"/>
        <v>4380</v>
      </c>
      <c r="M78" s="7">
        <f t="shared" si="5"/>
        <v>6296.25</v>
      </c>
      <c r="N78" s="7">
        <f t="shared" si="6"/>
        <v>5219.5</v>
      </c>
    </row>
    <row r="79">
      <c r="A79" s="8" t="s">
        <v>18</v>
      </c>
      <c r="B79" s="9"/>
      <c r="C79" s="10" t="s">
        <v>150</v>
      </c>
      <c r="D79" s="10" t="s">
        <v>172</v>
      </c>
      <c r="E79" s="10" t="s">
        <v>173</v>
      </c>
      <c r="F79" s="10" t="s">
        <v>174</v>
      </c>
      <c r="G79" s="11"/>
      <c r="H79" s="7">
        <v>4500.0</v>
      </c>
      <c r="I79" s="12">
        <f t="shared" si="1"/>
        <v>6750</v>
      </c>
      <c r="J79" s="12">
        <f t="shared" si="2"/>
        <v>5850</v>
      </c>
      <c r="K79" s="7">
        <f t="shared" si="3"/>
        <v>5850</v>
      </c>
      <c r="L79" s="7">
        <f t="shared" si="4"/>
        <v>5400</v>
      </c>
      <c r="M79" s="7">
        <f t="shared" si="5"/>
        <v>7762.5</v>
      </c>
      <c r="N79" s="7">
        <f t="shared" si="6"/>
        <v>6435</v>
      </c>
    </row>
    <row r="80">
      <c r="A80" s="8" t="s">
        <v>18</v>
      </c>
      <c r="B80" s="9"/>
      <c r="C80" s="10" t="s">
        <v>150</v>
      </c>
      <c r="D80" s="10" t="s">
        <v>175</v>
      </c>
      <c r="E80" s="10" t="s">
        <v>176</v>
      </c>
      <c r="F80" s="10" t="s">
        <v>177</v>
      </c>
      <c r="G80" s="11"/>
      <c r="H80" s="7">
        <v>2500.0</v>
      </c>
      <c r="I80" s="12">
        <f t="shared" si="1"/>
        <v>3750</v>
      </c>
      <c r="J80" s="12">
        <f t="shared" si="2"/>
        <v>3250</v>
      </c>
      <c r="K80" s="7">
        <f t="shared" si="3"/>
        <v>3250</v>
      </c>
      <c r="L80" s="7">
        <f t="shared" si="4"/>
        <v>3000</v>
      </c>
      <c r="M80" s="7">
        <f t="shared" si="5"/>
        <v>4312.5</v>
      </c>
      <c r="N80" s="7">
        <f t="shared" si="6"/>
        <v>3575</v>
      </c>
    </row>
    <row r="81">
      <c r="A81" s="8" t="s">
        <v>18</v>
      </c>
      <c r="B81" s="9"/>
      <c r="C81" s="10" t="s">
        <v>150</v>
      </c>
      <c r="D81" s="9"/>
      <c r="E81" s="10" t="s">
        <v>176</v>
      </c>
      <c r="F81" s="10" t="s">
        <v>178</v>
      </c>
      <c r="G81" s="11"/>
      <c r="H81" s="7">
        <v>2650.0</v>
      </c>
      <c r="I81" s="12">
        <f t="shared" si="1"/>
        <v>3975</v>
      </c>
      <c r="J81" s="12">
        <f t="shared" si="2"/>
        <v>3445</v>
      </c>
      <c r="K81" s="7">
        <f t="shared" si="3"/>
        <v>3445</v>
      </c>
      <c r="L81" s="7">
        <f t="shared" si="4"/>
        <v>3180</v>
      </c>
      <c r="M81" s="7">
        <f t="shared" si="5"/>
        <v>4571.25</v>
      </c>
      <c r="N81" s="7">
        <f t="shared" si="6"/>
        <v>3789.5</v>
      </c>
    </row>
    <row r="82">
      <c r="A82" s="8" t="s">
        <v>18</v>
      </c>
      <c r="B82" s="9"/>
      <c r="C82" s="10" t="s">
        <v>150</v>
      </c>
      <c r="D82" s="10" t="s">
        <v>179</v>
      </c>
      <c r="E82" s="10" t="s">
        <v>180</v>
      </c>
      <c r="F82" s="10" t="s">
        <v>181</v>
      </c>
      <c r="G82" s="11"/>
      <c r="H82" s="7">
        <v>2800.0</v>
      </c>
      <c r="I82" s="12">
        <f t="shared" si="1"/>
        <v>4200</v>
      </c>
      <c r="J82" s="12">
        <f t="shared" si="2"/>
        <v>3640</v>
      </c>
      <c r="K82" s="7">
        <f t="shared" si="3"/>
        <v>3640</v>
      </c>
      <c r="L82" s="7">
        <f t="shared" si="4"/>
        <v>3360</v>
      </c>
      <c r="M82" s="7">
        <f t="shared" si="5"/>
        <v>4830</v>
      </c>
      <c r="N82" s="7">
        <f t="shared" si="6"/>
        <v>4004</v>
      </c>
    </row>
    <row r="83">
      <c r="A83" s="8" t="s">
        <v>18</v>
      </c>
      <c r="B83" s="9"/>
      <c r="C83" s="10" t="s">
        <v>150</v>
      </c>
      <c r="D83" s="10" t="s">
        <v>182</v>
      </c>
      <c r="E83" s="10" t="s">
        <v>38</v>
      </c>
      <c r="F83" s="10" t="s">
        <v>183</v>
      </c>
      <c r="G83" s="11"/>
      <c r="H83" s="7">
        <v>2800.0</v>
      </c>
      <c r="I83" s="12">
        <f t="shared" si="1"/>
        <v>4200</v>
      </c>
      <c r="J83" s="12">
        <f t="shared" si="2"/>
        <v>3640</v>
      </c>
      <c r="K83" s="7">
        <f t="shared" si="3"/>
        <v>3640</v>
      </c>
      <c r="L83" s="7">
        <f t="shared" si="4"/>
        <v>3360</v>
      </c>
      <c r="M83" s="7">
        <f t="shared" si="5"/>
        <v>4830</v>
      </c>
      <c r="N83" s="7">
        <f t="shared" si="6"/>
        <v>4004</v>
      </c>
    </row>
    <row r="84">
      <c r="A84" s="8" t="s">
        <v>18</v>
      </c>
      <c r="B84" s="9"/>
      <c r="C84" s="10" t="s">
        <v>150</v>
      </c>
      <c r="D84" s="10" t="s">
        <v>184</v>
      </c>
      <c r="E84" s="10" t="s">
        <v>168</v>
      </c>
      <c r="F84" s="10" t="s">
        <v>185</v>
      </c>
      <c r="G84" s="11"/>
      <c r="H84" s="7">
        <v>3800.0</v>
      </c>
      <c r="I84" s="12">
        <f t="shared" si="1"/>
        <v>5700</v>
      </c>
      <c r="J84" s="12">
        <f t="shared" si="2"/>
        <v>4940</v>
      </c>
      <c r="K84" s="7">
        <f t="shared" si="3"/>
        <v>4940</v>
      </c>
      <c r="L84" s="7">
        <f t="shared" si="4"/>
        <v>4560</v>
      </c>
      <c r="M84" s="7">
        <f t="shared" si="5"/>
        <v>6555</v>
      </c>
      <c r="N84" s="7">
        <f t="shared" si="6"/>
        <v>5434</v>
      </c>
    </row>
    <row r="85">
      <c r="A85" s="8" t="s">
        <v>18</v>
      </c>
      <c r="B85" s="9"/>
      <c r="C85" s="10" t="s">
        <v>150</v>
      </c>
      <c r="D85" s="10" t="s">
        <v>186</v>
      </c>
      <c r="E85" s="10" t="s">
        <v>187</v>
      </c>
      <c r="F85" s="10" t="s">
        <v>188</v>
      </c>
      <c r="G85" s="11"/>
      <c r="H85" s="7">
        <v>3800.0</v>
      </c>
      <c r="I85" s="12">
        <f t="shared" si="1"/>
        <v>5700</v>
      </c>
      <c r="J85" s="12">
        <f t="shared" si="2"/>
        <v>4940</v>
      </c>
      <c r="K85" s="7">
        <f t="shared" si="3"/>
        <v>4940</v>
      </c>
      <c r="L85" s="7">
        <f t="shared" si="4"/>
        <v>4560</v>
      </c>
      <c r="M85" s="7">
        <f t="shared" si="5"/>
        <v>6555</v>
      </c>
      <c r="N85" s="7">
        <f t="shared" si="6"/>
        <v>5434</v>
      </c>
    </row>
    <row r="86">
      <c r="A86" s="8" t="s">
        <v>18</v>
      </c>
      <c r="B86" s="9"/>
      <c r="C86" s="10" t="s">
        <v>150</v>
      </c>
      <c r="D86" s="10" t="s">
        <v>189</v>
      </c>
      <c r="E86" s="10" t="s">
        <v>190</v>
      </c>
      <c r="F86" s="10" t="s">
        <v>191</v>
      </c>
      <c r="G86" s="11"/>
      <c r="H86" s="7">
        <v>4000.0</v>
      </c>
      <c r="I86" s="12">
        <f t="shared" si="1"/>
        <v>6000</v>
      </c>
      <c r="J86" s="12">
        <f t="shared" si="2"/>
        <v>5200</v>
      </c>
      <c r="K86" s="7">
        <f t="shared" si="3"/>
        <v>5200</v>
      </c>
      <c r="L86" s="7">
        <f t="shared" si="4"/>
        <v>4800</v>
      </c>
      <c r="M86" s="7">
        <f t="shared" si="5"/>
        <v>6900</v>
      </c>
      <c r="N86" s="7">
        <f t="shared" si="6"/>
        <v>5720</v>
      </c>
    </row>
    <row r="87">
      <c r="A87" s="8" t="s">
        <v>18</v>
      </c>
      <c r="B87" s="9"/>
      <c r="C87" s="10" t="s">
        <v>150</v>
      </c>
      <c r="D87" s="10" t="s">
        <v>192</v>
      </c>
      <c r="E87" s="10" t="s">
        <v>50</v>
      </c>
      <c r="F87" s="10" t="s">
        <v>193</v>
      </c>
      <c r="G87" s="11"/>
      <c r="H87" s="7">
        <v>4500.0</v>
      </c>
      <c r="I87" s="12">
        <f t="shared" si="1"/>
        <v>6750</v>
      </c>
      <c r="J87" s="12">
        <f t="shared" si="2"/>
        <v>5850</v>
      </c>
      <c r="K87" s="7">
        <f t="shared" si="3"/>
        <v>5850</v>
      </c>
      <c r="L87" s="7">
        <f t="shared" si="4"/>
        <v>5400</v>
      </c>
      <c r="M87" s="7">
        <f t="shared" si="5"/>
        <v>7762.5</v>
      </c>
      <c r="N87" s="7">
        <f t="shared" si="6"/>
        <v>6435</v>
      </c>
    </row>
    <row r="88">
      <c r="A88" s="8" t="s">
        <v>18</v>
      </c>
      <c r="B88" s="9"/>
      <c r="C88" s="10" t="s">
        <v>150</v>
      </c>
      <c r="D88" s="10" t="s">
        <v>194</v>
      </c>
      <c r="E88" s="10" t="s">
        <v>195</v>
      </c>
      <c r="F88" s="10" t="s">
        <v>196</v>
      </c>
      <c r="G88" s="11"/>
      <c r="H88" s="7">
        <v>22500.0</v>
      </c>
      <c r="I88" s="12">
        <f t="shared" si="1"/>
        <v>33750</v>
      </c>
      <c r="J88" s="12">
        <f t="shared" si="2"/>
        <v>29250</v>
      </c>
      <c r="K88" s="7">
        <f t="shared" si="3"/>
        <v>29250</v>
      </c>
      <c r="L88" s="7">
        <f t="shared" si="4"/>
        <v>27000</v>
      </c>
      <c r="M88" s="7">
        <f t="shared" si="5"/>
        <v>38812.5</v>
      </c>
      <c r="N88" s="7">
        <f t="shared" si="6"/>
        <v>32175</v>
      </c>
    </row>
    <row r="89">
      <c r="A89" s="8" t="s">
        <v>18</v>
      </c>
      <c r="B89" s="9"/>
      <c r="C89" s="10" t="s">
        <v>150</v>
      </c>
      <c r="D89" s="10" t="s">
        <v>197</v>
      </c>
      <c r="E89" s="10" t="s">
        <v>198</v>
      </c>
      <c r="F89" s="10" t="s">
        <v>199</v>
      </c>
      <c r="G89" s="11"/>
      <c r="H89" s="7">
        <v>22500.0</v>
      </c>
      <c r="I89" s="12">
        <f t="shared" si="1"/>
        <v>33750</v>
      </c>
      <c r="J89" s="12">
        <f t="shared" si="2"/>
        <v>29250</v>
      </c>
      <c r="K89" s="7">
        <f t="shared" si="3"/>
        <v>29250</v>
      </c>
      <c r="L89" s="7">
        <f t="shared" si="4"/>
        <v>27000</v>
      </c>
      <c r="M89" s="7">
        <f t="shared" si="5"/>
        <v>38812.5</v>
      </c>
      <c r="N89" s="7">
        <f t="shared" si="6"/>
        <v>32175</v>
      </c>
    </row>
    <row r="90">
      <c r="A90" s="8" t="s">
        <v>18</v>
      </c>
      <c r="B90" s="9"/>
      <c r="C90" s="10" t="s">
        <v>150</v>
      </c>
      <c r="D90" s="10" t="s">
        <v>200</v>
      </c>
      <c r="E90" s="10" t="s">
        <v>201</v>
      </c>
      <c r="F90" s="9"/>
      <c r="G90" s="11"/>
      <c r="H90" s="13">
        <v>450.0</v>
      </c>
      <c r="I90" s="12">
        <f t="shared" si="1"/>
        <v>675</v>
      </c>
      <c r="J90" s="12">
        <f t="shared" si="2"/>
        <v>585</v>
      </c>
      <c r="K90" s="7">
        <f t="shared" si="3"/>
        <v>585</v>
      </c>
      <c r="L90" s="7">
        <f t="shared" si="4"/>
        <v>540</v>
      </c>
      <c r="M90" s="7">
        <f t="shared" si="5"/>
        <v>776.25</v>
      </c>
      <c r="N90" s="7">
        <f t="shared" si="6"/>
        <v>643.5</v>
      </c>
    </row>
    <row r="91">
      <c r="A91" s="8" t="s">
        <v>18</v>
      </c>
      <c r="B91" s="9"/>
      <c r="C91" s="10" t="s">
        <v>150</v>
      </c>
      <c r="D91" s="9"/>
      <c r="E91" s="10" t="s">
        <v>202</v>
      </c>
      <c r="F91" s="9"/>
      <c r="G91" s="11"/>
      <c r="H91" s="13">
        <v>150.0</v>
      </c>
      <c r="I91" s="12">
        <f t="shared" si="1"/>
        <v>225</v>
      </c>
      <c r="J91" s="12">
        <f t="shared" si="2"/>
        <v>195</v>
      </c>
      <c r="K91" s="7">
        <f t="shared" si="3"/>
        <v>195</v>
      </c>
      <c r="L91" s="7">
        <f t="shared" si="4"/>
        <v>180</v>
      </c>
      <c r="M91" s="7">
        <f t="shared" si="5"/>
        <v>258.75</v>
      </c>
      <c r="N91" s="7">
        <f t="shared" si="6"/>
        <v>214.5</v>
      </c>
    </row>
    <row r="92">
      <c r="A92" s="8" t="s">
        <v>18</v>
      </c>
      <c r="B92" s="9"/>
      <c r="C92" s="10" t="s">
        <v>150</v>
      </c>
      <c r="D92" s="9"/>
      <c r="E92" s="10" t="s">
        <v>203</v>
      </c>
      <c r="F92" s="9"/>
      <c r="G92" s="11"/>
      <c r="H92" s="13">
        <v>75.0</v>
      </c>
      <c r="I92" s="12">
        <f t="shared" si="1"/>
        <v>112.5</v>
      </c>
      <c r="J92" s="12">
        <f t="shared" si="2"/>
        <v>97.5</v>
      </c>
      <c r="K92" s="7">
        <f t="shared" si="3"/>
        <v>97.5</v>
      </c>
      <c r="L92" s="7">
        <f t="shared" si="4"/>
        <v>90</v>
      </c>
      <c r="M92" s="7">
        <f t="shared" si="5"/>
        <v>129.375</v>
      </c>
      <c r="N92" s="7">
        <f t="shared" si="6"/>
        <v>107.25</v>
      </c>
    </row>
    <row r="93">
      <c r="A93" s="8" t="s">
        <v>18</v>
      </c>
      <c r="B93" s="9"/>
      <c r="C93" s="10" t="s">
        <v>204</v>
      </c>
      <c r="D93" s="10" t="s">
        <v>205</v>
      </c>
      <c r="E93" s="10" t="s">
        <v>206</v>
      </c>
      <c r="F93" s="10" t="s">
        <v>207</v>
      </c>
      <c r="G93" s="11"/>
      <c r="H93" s="7">
        <v>750.0</v>
      </c>
      <c r="I93" s="12">
        <f t="shared" si="1"/>
        <v>1125</v>
      </c>
      <c r="J93" s="12">
        <f t="shared" si="2"/>
        <v>975</v>
      </c>
      <c r="K93" s="7">
        <f t="shared" si="3"/>
        <v>975</v>
      </c>
      <c r="L93" s="7">
        <f t="shared" si="4"/>
        <v>900</v>
      </c>
      <c r="M93" s="7">
        <f t="shared" si="5"/>
        <v>1293.75</v>
      </c>
      <c r="N93" s="7">
        <f t="shared" si="6"/>
        <v>1072.5</v>
      </c>
    </row>
    <row r="94">
      <c r="A94" s="8" t="s">
        <v>18</v>
      </c>
      <c r="B94" s="9"/>
      <c r="C94" s="10" t="s">
        <v>204</v>
      </c>
      <c r="D94" s="9"/>
      <c r="E94" s="10" t="s">
        <v>208</v>
      </c>
      <c r="F94" s="10" t="s">
        <v>209</v>
      </c>
      <c r="G94" s="11"/>
      <c r="H94" s="7">
        <v>750.0</v>
      </c>
      <c r="I94" s="12">
        <f t="shared" si="1"/>
        <v>1125</v>
      </c>
      <c r="J94" s="12">
        <f t="shared" si="2"/>
        <v>975</v>
      </c>
      <c r="K94" s="7">
        <f t="shared" si="3"/>
        <v>975</v>
      </c>
      <c r="L94" s="7">
        <f t="shared" si="4"/>
        <v>900</v>
      </c>
      <c r="M94" s="7">
        <f t="shared" si="5"/>
        <v>1293.75</v>
      </c>
      <c r="N94" s="7">
        <f t="shared" si="6"/>
        <v>1072.5</v>
      </c>
    </row>
    <row r="95">
      <c r="A95" s="8" t="s">
        <v>18</v>
      </c>
      <c r="B95" s="9"/>
      <c r="C95" s="10" t="s">
        <v>204</v>
      </c>
      <c r="D95" s="9"/>
      <c r="E95" s="10" t="s">
        <v>210</v>
      </c>
      <c r="F95" s="10" t="s">
        <v>211</v>
      </c>
      <c r="G95" s="11"/>
      <c r="H95" s="7">
        <v>750.0</v>
      </c>
      <c r="I95" s="12">
        <f t="shared" si="1"/>
        <v>1125</v>
      </c>
      <c r="J95" s="12">
        <f t="shared" si="2"/>
        <v>975</v>
      </c>
      <c r="K95" s="7">
        <f t="shared" si="3"/>
        <v>975</v>
      </c>
      <c r="L95" s="7">
        <f t="shared" si="4"/>
        <v>900</v>
      </c>
      <c r="M95" s="7">
        <f t="shared" si="5"/>
        <v>1293.75</v>
      </c>
      <c r="N95" s="7">
        <f t="shared" si="6"/>
        <v>1072.5</v>
      </c>
    </row>
    <row r="96">
      <c r="A96" s="8" t="s">
        <v>18</v>
      </c>
      <c r="B96" s="9"/>
      <c r="C96" s="10" t="s">
        <v>204</v>
      </c>
      <c r="D96" s="9"/>
      <c r="E96" s="10" t="s">
        <v>212</v>
      </c>
      <c r="F96" s="10" t="s">
        <v>213</v>
      </c>
      <c r="G96" s="11"/>
      <c r="H96" s="7">
        <v>750.0</v>
      </c>
      <c r="I96" s="12">
        <f t="shared" si="1"/>
        <v>1125</v>
      </c>
      <c r="J96" s="12">
        <f t="shared" si="2"/>
        <v>975</v>
      </c>
      <c r="K96" s="7">
        <f t="shared" si="3"/>
        <v>975</v>
      </c>
      <c r="L96" s="7">
        <f t="shared" si="4"/>
        <v>900</v>
      </c>
      <c r="M96" s="7">
        <f t="shared" si="5"/>
        <v>1293.75</v>
      </c>
      <c r="N96" s="7">
        <f t="shared" si="6"/>
        <v>1072.5</v>
      </c>
    </row>
    <row r="97">
      <c r="A97" s="8" t="s">
        <v>18</v>
      </c>
      <c r="B97" s="9"/>
      <c r="C97" s="10" t="s">
        <v>204</v>
      </c>
      <c r="D97" s="10" t="s">
        <v>214</v>
      </c>
      <c r="E97" s="10" t="s">
        <v>215</v>
      </c>
      <c r="F97" s="10" t="s">
        <v>216</v>
      </c>
      <c r="G97" s="11"/>
      <c r="H97" s="7">
        <v>645.0</v>
      </c>
      <c r="I97" s="12">
        <f t="shared" si="1"/>
        <v>967.5</v>
      </c>
      <c r="J97" s="12">
        <f t="shared" si="2"/>
        <v>838.5</v>
      </c>
      <c r="K97" s="7">
        <f t="shared" si="3"/>
        <v>838.5</v>
      </c>
      <c r="L97" s="7">
        <f t="shared" si="4"/>
        <v>774</v>
      </c>
      <c r="M97" s="7">
        <f t="shared" si="5"/>
        <v>1112.625</v>
      </c>
      <c r="N97" s="7">
        <f t="shared" si="6"/>
        <v>922.35</v>
      </c>
    </row>
    <row r="98">
      <c r="A98" s="8" t="s">
        <v>18</v>
      </c>
      <c r="B98" s="9"/>
      <c r="C98" s="10" t="s">
        <v>204</v>
      </c>
      <c r="D98" s="9"/>
      <c r="E98" s="10" t="s">
        <v>217</v>
      </c>
      <c r="F98" s="10" t="s">
        <v>218</v>
      </c>
      <c r="G98" s="11"/>
      <c r="H98" s="7">
        <v>645.0</v>
      </c>
      <c r="I98" s="12">
        <f t="shared" si="1"/>
        <v>967.5</v>
      </c>
      <c r="J98" s="12">
        <f t="shared" si="2"/>
        <v>838.5</v>
      </c>
      <c r="K98" s="7">
        <f t="shared" si="3"/>
        <v>838.5</v>
      </c>
      <c r="L98" s="7">
        <f t="shared" si="4"/>
        <v>774</v>
      </c>
      <c r="M98" s="7">
        <f t="shared" si="5"/>
        <v>1112.625</v>
      </c>
      <c r="N98" s="7">
        <f t="shared" si="6"/>
        <v>922.35</v>
      </c>
    </row>
    <row r="99">
      <c r="A99" s="8" t="s">
        <v>18</v>
      </c>
      <c r="B99" s="9"/>
      <c r="C99" s="10" t="s">
        <v>204</v>
      </c>
      <c r="D99" s="9"/>
      <c r="E99" s="10" t="s">
        <v>219</v>
      </c>
      <c r="F99" s="10" t="s">
        <v>220</v>
      </c>
      <c r="G99" s="11"/>
      <c r="H99" s="7">
        <v>750.0</v>
      </c>
      <c r="I99" s="12">
        <f t="shared" si="1"/>
        <v>1125</v>
      </c>
      <c r="J99" s="12">
        <f t="shared" si="2"/>
        <v>975</v>
      </c>
      <c r="K99" s="7">
        <f t="shared" si="3"/>
        <v>975</v>
      </c>
      <c r="L99" s="7">
        <f t="shared" si="4"/>
        <v>900</v>
      </c>
      <c r="M99" s="7">
        <f t="shared" si="5"/>
        <v>1293.75</v>
      </c>
      <c r="N99" s="7">
        <f t="shared" si="6"/>
        <v>1072.5</v>
      </c>
    </row>
    <row r="100">
      <c r="A100" s="8" t="s">
        <v>18</v>
      </c>
      <c r="B100" s="9"/>
      <c r="C100" s="10" t="s">
        <v>204</v>
      </c>
      <c r="D100" s="9"/>
      <c r="E100" s="10" t="s">
        <v>221</v>
      </c>
      <c r="F100" s="10" t="s">
        <v>222</v>
      </c>
      <c r="G100" s="11"/>
      <c r="H100" s="7">
        <v>950.0</v>
      </c>
      <c r="I100" s="12">
        <f t="shared" si="1"/>
        <v>1425</v>
      </c>
      <c r="J100" s="12">
        <f t="shared" si="2"/>
        <v>1235</v>
      </c>
      <c r="K100" s="7">
        <f t="shared" si="3"/>
        <v>1235</v>
      </c>
      <c r="L100" s="7">
        <f t="shared" si="4"/>
        <v>1140</v>
      </c>
      <c r="M100" s="7">
        <f t="shared" si="5"/>
        <v>1638.75</v>
      </c>
      <c r="N100" s="7">
        <f t="shared" si="6"/>
        <v>1358.5</v>
      </c>
    </row>
    <row r="101">
      <c r="A101" s="8" t="s">
        <v>18</v>
      </c>
      <c r="B101" s="9"/>
      <c r="C101" s="10" t="s">
        <v>204</v>
      </c>
      <c r="D101" s="9"/>
      <c r="E101" s="10" t="s">
        <v>223</v>
      </c>
      <c r="F101" s="10" t="s">
        <v>224</v>
      </c>
      <c r="G101" s="11"/>
      <c r="H101" s="7">
        <v>750.0</v>
      </c>
      <c r="I101" s="12">
        <f t="shared" si="1"/>
        <v>1125</v>
      </c>
      <c r="J101" s="12">
        <f t="shared" si="2"/>
        <v>975</v>
      </c>
      <c r="K101" s="7">
        <f t="shared" si="3"/>
        <v>975</v>
      </c>
      <c r="L101" s="7">
        <f t="shared" si="4"/>
        <v>900</v>
      </c>
      <c r="M101" s="7">
        <f t="shared" si="5"/>
        <v>1293.75</v>
      </c>
      <c r="N101" s="7">
        <f t="shared" si="6"/>
        <v>1072.5</v>
      </c>
    </row>
    <row r="102">
      <c r="A102" s="8" t="s">
        <v>18</v>
      </c>
      <c r="B102" s="9"/>
      <c r="C102" s="10" t="s">
        <v>204</v>
      </c>
      <c r="D102" s="9"/>
      <c r="E102" s="10" t="s">
        <v>225</v>
      </c>
      <c r="F102" s="10" t="s">
        <v>226</v>
      </c>
      <c r="G102" s="11"/>
      <c r="H102" s="7">
        <v>750.0</v>
      </c>
      <c r="I102" s="12">
        <f t="shared" si="1"/>
        <v>1125</v>
      </c>
      <c r="J102" s="12">
        <f t="shared" si="2"/>
        <v>975</v>
      </c>
      <c r="K102" s="7">
        <f t="shared" si="3"/>
        <v>975</v>
      </c>
      <c r="L102" s="7">
        <f t="shared" si="4"/>
        <v>900</v>
      </c>
      <c r="M102" s="7">
        <f t="shared" si="5"/>
        <v>1293.75</v>
      </c>
      <c r="N102" s="7">
        <f t="shared" si="6"/>
        <v>1072.5</v>
      </c>
    </row>
    <row r="103">
      <c r="A103" s="8" t="s">
        <v>18</v>
      </c>
      <c r="B103" s="9"/>
      <c r="C103" s="10" t="s">
        <v>204</v>
      </c>
      <c r="D103" s="9"/>
      <c r="E103" s="10" t="s">
        <v>227</v>
      </c>
      <c r="F103" s="10" t="s">
        <v>228</v>
      </c>
      <c r="G103" s="11"/>
      <c r="H103" s="7">
        <v>2200.0</v>
      </c>
      <c r="I103" s="12">
        <f t="shared" si="1"/>
        <v>3300</v>
      </c>
      <c r="J103" s="12">
        <f t="shared" si="2"/>
        <v>2860</v>
      </c>
      <c r="K103" s="7">
        <f t="shared" si="3"/>
        <v>2860</v>
      </c>
      <c r="L103" s="7">
        <f t="shared" si="4"/>
        <v>2640</v>
      </c>
      <c r="M103" s="7">
        <f t="shared" si="5"/>
        <v>3795</v>
      </c>
      <c r="N103" s="7">
        <f t="shared" si="6"/>
        <v>3146</v>
      </c>
    </row>
    <row r="104">
      <c r="A104" s="8" t="s">
        <v>18</v>
      </c>
      <c r="B104" s="9"/>
      <c r="C104" s="10" t="s">
        <v>204</v>
      </c>
      <c r="D104" s="10" t="s">
        <v>229</v>
      </c>
      <c r="E104" s="10" t="s">
        <v>230</v>
      </c>
      <c r="F104" s="10" t="s">
        <v>231</v>
      </c>
      <c r="G104" s="11"/>
      <c r="H104" s="7">
        <v>500.0</v>
      </c>
      <c r="I104" s="12">
        <f t="shared" si="1"/>
        <v>750</v>
      </c>
      <c r="J104" s="12">
        <f t="shared" si="2"/>
        <v>650</v>
      </c>
      <c r="K104" s="7">
        <f t="shared" si="3"/>
        <v>650</v>
      </c>
      <c r="L104" s="7">
        <f t="shared" si="4"/>
        <v>600</v>
      </c>
      <c r="M104" s="7">
        <f t="shared" si="5"/>
        <v>862.5</v>
      </c>
      <c r="N104" s="7">
        <f t="shared" si="6"/>
        <v>715</v>
      </c>
    </row>
    <row r="105">
      <c r="A105" s="8" t="s">
        <v>18</v>
      </c>
      <c r="B105" s="9"/>
      <c r="C105" s="10" t="s">
        <v>204</v>
      </c>
      <c r="D105" s="9"/>
      <c r="E105" s="9"/>
      <c r="F105" s="10" t="s">
        <v>232</v>
      </c>
      <c r="G105" s="11"/>
      <c r="H105" s="7">
        <v>1200.0</v>
      </c>
      <c r="I105" s="12">
        <f t="shared" si="1"/>
        <v>1800</v>
      </c>
      <c r="J105" s="12">
        <f t="shared" si="2"/>
        <v>1560</v>
      </c>
      <c r="K105" s="7">
        <f t="shared" si="3"/>
        <v>1560</v>
      </c>
      <c r="L105" s="7">
        <f t="shared" si="4"/>
        <v>1440</v>
      </c>
      <c r="M105" s="7">
        <f t="shared" si="5"/>
        <v>2070</v>
      </c>
      <c r="N105" s="7">
        <f t="shared" si="6"/>
        <v>1716</v>
      </c>
    </row>
    <row r="106">
      <c r="A106" s="8" t="s">
        <v>18</v>
      </c>
      <c r="B106" s="9"/>
      <c r="C106" s="10" t="s">
        <v>204</v>
      </c>
      <c r="D106" s="10" t="s">
        <v>233</v>
      </c>
      <c r="E106" s="10" t="s">
        <v>234</v>
      </c>
      <c r="F106" s="10" t="s">
        <v>235</v>
      </c>
      <c r="G106" s="11"/>
      <c r="H106" s="7">
        <v>800.0</v>
      </c>
      <c r="I106" s="12">
        <f t="shared" si="1"/>
        <v>1200</v>
      </c>
      <c r="J106" s="12">
        <f t="shared" si="2"/>
        <v>1040</v>
      </c>
      <c r="K106" s="7">
        <f t="shared" si="3"/>
        <v>1040</v>
      </c>
      <c r="L106" s="7">
        <f t="shared" si="4"/>
        <v>960</v>
      </c>
      <c r="M106" s="7">
        <f t="shared" si="5"/>
        <v>1380</v>
      </c>
      <c r="N106" s="7">
        <f t="shared" si="6"/>
        <v>1144</v>
      </c>
    </row>
    <row r="107">
      <c r="A107" s="8" t="s">
        <v>18</v>
      </c>
      <c r="B107" s="9"/>
      <c r="C107" s="10" t="s">
        <v>204</v>
      </c>
      <c r="D107" s="9"/>
      <c r="E107" s="10" t="s">
        <v>236</v>
      </c>
      <c r="F107" s="10" t="s">
        <v>237</v>
      </c>
      <c r="G107" s="11"/>
      <c r="H107" s="7">
        <v>600.0</v>
      </c>
      <c r="I107" s="12">
        <f t="shared" si="1"/>
        <v>900</v>
      </c>
      <c r="J107" s="12">
        <f t="shared" si="2"/>
        <v>780</v>
      </c>
      <c r="K107" s="7">
        <f t="shared" si="3"/>
        <v>780</v>
      </c>
      <c r="L107" s="7">
        <f t="shared" si="4"/>
        <v>720</v>
      </c>
      <c r="M107" s="7">
        <f t="shared" si="5"/>
        <v>1035</v>
      </c>
      <c r="N107" s="7">
        <f t="shared" si="6"/>
        <v>858</v>
      </c>
    </row>
    <row r="108">
      <c r="A108" s="8" t="s">
        <v>18</v>
      </c>
      <c r="B108" s="9"/>
      <c r="C108" s="10" t="s">
        <v>204</v>
      </c>
      <c r="D108" s="10" t="s">
        <v>238</v>
      </c>
      <c r="E108" s="10" t="s">
        <v>239</v>
      </c>
      <c r="F108" s="10" t="s">
        <v>240</v>
      </c>
      <c r="G108" s="11"/>
      <c r="H108" s="7">
        <v>50.0</v>
      </c>
      <c r="I108" s="12">
        <f t="shared" si="1"/>
        <v>75</v>
      </c>
      <c r="J108" s="12">
        <f t="shared" si="2"/>
        <v>65</v>
      </c>
      <c r="K108" s="7">
        <f t="shared" si="3"/>
        <v>65</v>
      </c>
      <c r="L108" s="7">
        <f t="shared" si="4"/>
        <v>60</v>
      </c>
      <c r="M108" s="7">
        <f t="shared" si="5"/>
        <v>86.25</v>
      </c>
      <c r="N108" s="7">
        <f t="shared" si="6"/>
        <v>71.5</v>
      </c>
    </row>
    <row r="109">
      <c r="A109" s="8" t="s">
        <v>18</v>
      </c>
      <c r="B109" s="9"/>
      <c r="C109" s="10" t="s">
        <v>204</v>
      </c>
      <c r="D109" s="10" t="s">
        <v>241</v>
      </c>
      <c r="E109" s="10" t="s">
        <v>242</v>
      </c>
      <c r="F109" s="10" t="s">
        <v>243</v>
      </c>
      <c r="G109" s="11"/>
      <c r="H109" s="7">
        <v>11.5</v>
      </c>
      <c r="I109" s="12">
        <f t="shared" si="1"/>
        <v>17.25</v>
      </c>
      <c r="J109" s="12">
        <f t="shared" si="2"/>
        <v>14.95</v>
      </c>
      <c r="K109" s="7">
        <f t="shared" si="3"/>
        <v>14.95</v>
      </c>
      <c r="L109" s="7">
        <f t="shared" si="4"/>
        <v>13.8</v>
      </c>
      <c r="M109" s="7">
        <f t="shared" si="5"/>
        <v>19.8375</v>
      </c>
      <c r="N109" s="7">
        <f t="shared" si="6"/>
        <v>16.445</v>
      </c>
    </row>
    <row r="110">
      <c r="A110" s="8" t="s">
        <v>18</v>
      </c>
      <c r="B110" s="9"/>
      <c r="C110" s="10" t="s">
        <v>204</v>
      </c>
      <c r="D110" s="9"/>
      <c r="E110" s="10" t="s">
        <v>244</v>
      </c>
      <c r="F110" s="10" t="s">
        <v>243</v>
      </c>
      <c r="G110" s="11"/>
      <c r="H110" s="7">
        <v>12.5</v>
      </c>
      <c r="I110" s="12">
        <f t="shared" si="1"/>
        <v>18.75</v>
      </c>
      <c r="J110" s="12">
        <f t="shared" si="2"/>
        <v>16.25</v>
      </c>
      <c r="K110" s="7">
        <f t="shared" si="3"/>
        <v>16.25</v>
      </c>
      <c r="L110" s="7">
        <f t="shared" si="4"/>
        <v>15</v>
      </c>
      <c r="M110" s="7">
        <f t="shared" si="5"/>
        <v>21.5625</v>
      </c>
      <c r="N110" s="7">
        <f t="shared" si="6"/>
        <v>17.875</v>
      </c>
    </row>
    <row r="111">
      <c r="A111" s="8" t="s">
        <v>18</v>
      </c>
      <c r="B111" s="9"/>
      <c r="C111" s="10" t="s">
        <v>204</v>
      </c>
      <c r="D111" s="10" t="s">
        <v>245</v>
      </c>
      <c r="E111" s="10" t="s">
        <v>246</v>
      </c>
      <c r="F111" s="10" t="s">
        <v>247</v>
      </c>
      <c r="G111" s="11"/>
      <c r="H111" s="7">
        <v>5000.0</v>
      </c>
      <c r="I111" s="12">
        <f t="shared" si="1"/>
        <v>7500</v>
      </c>
      <c r="J111" s="12">
        <f t="shared" si="2"/>
        <v>6500</v>
      </c>
      <c r="K111" s="7">
        <f t="shared" si="3"/>
        <v>6500</v>
      </c>
      <c r="L111" s="7">
        <f t="shared" si="4"/>
        <v>6000</v>
      </c>
      <c r="M111" s="7">
        <f t="shared" si="5"/>
        <v>8625</v>
      </c>
      <c r="N111" s="7">
        <f t="shared" si="6"/>
        <v>7150</v>
      </c>
    </row>
    <row r="112">
      <c r="A112" s="8" t="s">
        <v>18</v>
      </c>
      <c r="B112" s="9"/>
      <c r="C112" s="10" t="s">
        <v>204</v>
      </c>
      <c r="D112" s="9"/>
      <c r="E112" s="10" t="s">
        <v>246</v>
      </c>
      <c r="F112" s="10" t="s">
        <v>248</v>
      </c>
      <c r="G112" s="11"/>
      <c r="H112" s="7">
        <v>1200.0</v>
      </c>
      <c r="I112" s="12">
        <f t="shared" si="1"/>
        <v>1800</v>
      </c>
      <c r="J112" s="12">
        <f t="shared" si="2"/>
        <v>1560</v>
      </c>
      <c r="K112" s="7">
        <f t="shared" si="3"/>
        <v>1560</v>
      </c>
      <c r="L112" s="7">
        <f t="shared" si="4"/>
        <v>1440</v>
      </c>
      <c r="M112" s="7">
        <f t="shared" si="5"/>
        <v>2070</v>
      </c>
      <c r="N112" s="7">
        <f t="shared" si="6"/>
        <v>1716</v>
      </c>
    </row>
    <row r="113">
      <c r="A113" s="8" t="s">
        <v>18</v>
      </c>
      <c r="B113" s="9"/>
      <c r="C113" s="9"/>
      <c r="D113" s="9"/>
      <c r="E113" s="9" t="s">
        <v>249</v>
      </c>
      <c r="F113" s="9" t="s">
        <v>250</v>
      </c>
      <c r="G113" s="9" t="s">
        <v>251</v>
      </c>
      <c r="H113" s="13">
        <v>495.0</v>
      </c>
      <c r="I113" s="12">
        <f t="shared" si="1"/>
        <v>742.5</v>
      </c>
      <c r="J113" s="12">
        <f t="shared" si="2"/>
        <v>643.5</v>
      </c>
      <c r="K113" s="7">
        <f t="shared" si="3"/>
        <v>643.5</v>
      </c>
      <c r="L113" s="7">
        <f t="shared" si="4"/>
        <v>594</v>
      </c>
      <c r="M113" s="7">
        <f t="shared" si="5"/>
        <v>853.875</v>
      </c>
      <c r="N113" s="7">
        <f t="shared" si="6"/>
        <v>707.85</v>
      </c>
    </row>
    <row r="114">
      <c r="A114" s="8" t="s">
        <v>18</v>
      </c>
      <c r="B114" s="9"/>
      <c r="C114" s="9"/>
      <c r="D114" s="9"/>
      <c r="E114" s="9" t="s">
        <v>252</v>
      </c>
      <c r="F114" s="9" t="s">
        <v>253</v>
      </c>
      <c r="G114" s="9" t="s">
        <v>254</v>
      </c>
      <c r="H114" s="13">
        <v>630.0</v>
      </c>
      <c r="I114" s="12">
        <f t="shared" si="1"/>
        <v>945</v>
      </c>
      <c r="J114" s="12">
        <f t="shared" si="2"/>
        <v>819</v>
      </c>
      <c r="K114" s="7">
        <f t="shared" si="3"/>
        <v>819</v>
      </c>
      <c r="L114" s="7">
        <f t="shared" si="4"/>
        <v>756</v>
      </c>
      <c r="M114" s="7">
        <f t="shared" si="5"/>
        <v>1086.75</v>
      </c>
      <c r="N114" s="7">
        <f t="shared" si="6"/>
        <v>900.9</v>
      </c>
    </row>
    <row r="115">
      <c r="A115" s="8" t="s">
        <v>18</v>
      </c>
      <c r="B115" s="9"/>
      <c r="C115" s="9"/>
      <c r="D115" s="9"/>
      <c r="E115" s="14" t="s">
        <v>255</v>
      </c>
      <c r="F115" s="14" t="s">
        <v>256</v>
      </c>
      <c r="G115" s="14" t="s">
        <v>257</v>
      </c>
      <c r="H115" s="15">
        <v>730.0</v>
      </c>
      <c r="I115" s="12">
        <f t="shared" si="1"/>
        <v>1095</v>
      </c>
      <c r="J115" s="12">
        <f t="shared" si="2"/>
        <v>949</v>
      </c>
      <c r="K115" s="7">
        <f t="shared" si="3"/>
        <v>949</v>
      </c>
      <c r="L115" s="7">
        <f t="shared" si="4"/>
        <v>876</v>
      </c>
      <c r="M115" s="7">
        <f t="shared" si="5"/>
        <v>1259.25</v>
      </c>
      <c r="N115" s="7">
        <f t="shared" si="6"/>
        <v>1043.9</v>
      </c>
    </row>
    <row r="116">
      <c r="A116" s="8" t="s">
        <v>18</v>
      </c>
      <c r="B116" s="9"/>
      <c r="C116" s="9"/>
      <c r="D116" s="9"/>
      <c r="E116" s="9" t="s">
        <v>258</v>
      </c>
      <c r="F116" s="9" t="s">
        <v>259</v>
      </c>
      <c r="G116" s="9" t="s">
        <v>260</v>
      </c>
      <c r="H116" s="13">
        <v>950.0</v>
      </c>
      <c r="I116" s="12">
        <f t="shared" si="1"/>
        <v>1425</v>
      </c>
      <c r="J116" s="12">
        <f t="shared" si="2"/>
        <v>1235</v>
      </c>
      <c r="K116" s="7">
        <f t="shared" si="3"/>
        <v>1235</v>
      </c>
      <c r="L116" s="7">
        <f t="shared" si="4"/>
        <v>1140</v>
      </c>
      <c r="M116" s="7">
        <f t="shared" si="5"/>
        <v>1638.75</v>
      </c>
      <c r="N116" s="7">
        <f t="shared" si="6"/>
        <v>1358.5</v>
      </c>
    </row>
    <row r="117">
      <c r="A117" s="8" t="s">
        <v>18</v>
      </c>
      <c r="B117" s="9"/>
      <c r="C117" s="9"/>
      <c r="D117" s="9"/>
      <c r="E117" s="9" t="s">
        <v>261</v>
      </c>
      <c r="F117" s="9" t="s">
        <v>262</v>
      </c>
      <c r="G117" s="9" t="s">
        <v>263</v>
      </c>
      <c r="H117" s="13">
        <v>420.0</v>
      </c>
      <c r="I117" s="12">
        <f t="shared" si="1"/>
        <v>630</v>
      </c>
      <c r="J117" s="12">
        <f t="shared" si="2"/>
        <v>546</v>
      </c>
      <c r="K117" s="7">
        <f t="shared" si="3"/>
        <v>546</v>
      </c>
      <c r="L117" s="7">
        <f t="shared" si="4"/>
        <v>504</v>
      </c>
      <c r="M117" s="7">
        <f t="shared" si="5"/>
        <v>724.5</v>
      </c>
      <c r="N117" s="7">
        <f t="shared" si="6"/>
        <v>600.6</v>
      </c>
    </row>
    <row r="118">
      <c r="A118" s="8" t="s">
        <v>18</v>
      </c>
      <c r="B118" s="9"/>
      <c r="C118" s="9"/>
      <c r="D118" s="9"/>
      <c r="E118" s="9" t="s">
        <v>264</v>
      </c>
      <c r="F118" s="9" t="s">
        <v>265</v>
      </c>
      <c r="G118" s="9" t="s">
        <v>266</v>
      </c>
      <c r="H118" s="13">
        <v>520.0</v>
      </c>
      <c r="I118" s="12">
        <f t="shared" si="1"/>
        <v>780</v>
      </c>
      <c r="J118" s="12">
        <f t="shared" si="2"/>
        <v>676</v>
      </c>
      <c r="K118" s="7">
        <f t="shared" si="3"/>
        <v>676</v>
      </c>
      <c r="L118" s="7">
        <f t="shared" si="4"/>
        <v>624</v>
      </c>
      <c r="M118" s="7">
        <f t="shared" si="5"/>
        <v>897</v>
      </c>
      <c r="N118" s="7">
        <f t="shared" si="6"/>
        <v>743.6</v>
      </c>
    </row>
    <row r="119">
      <c r="A119" s="8" t="s">
        <v>18</v>
      </c>
      <c r="B119" s="9"/>
      <c r="C119" s="9"/>
      <c r="D119" s="9"/>
      <c r="E119" s="9" t="s">
        <v>267</v>
      </c>
      <c r="F119" s="9" t="s">
        <v>268</v>
      </c>
      <c r="G119" s="9" t="s">
        <v>269</v>
      </c>
      <c r="H119" s="13">
        <v>520.0</v>
      </c>
      <c r="I119" s="12">
        <f t="shared" si="1"/>
        <v>780</v>
      </c>
      <c r="J119" s="12">
        <f t="shared" si="2"/>
        <v>676</v>
      </c>
      <c r="K119" s="7">
        <f t="shared" si="3"/>
        <v>676</v>
      </c>
      <c r="L119" s="7">
        <f t="shared" si="4"/>
        <v>624</v>
      </c>
      <c r="M119" s="7">
        <f t="shared" si="5"/>
        <v>897</v>
      </c>
      <c r="N119" s="7">
        <f t="shared" si="6"/>
        <v>743.6</v>
      </c>
    </row>
    <row r="120">
      <c r="A120" s="8" t="s">
        <v>18</v>
      </c>
      <c r="B120" s="9"/>
      <c r="C120" s="9"/>
      <c r="D120" s="9"/>
      <c r="E120" s="9" t="s">
        <v>270</v>
      </c>
      <c r="F120" s="9" t="s">
        <v>271</v>
      </c>
      <c r="G120" s="11" t="s">
        <v>272</v>
      </c>
      <c r="H120" s="13">
        <v>520.0</v>
      </c>
      <c r="I120" s="12">
        <f t="shared" si="1"/>
        <v>780</v>
      </c>
      <c r="J120" s="12">
        <f t="shared" si="2"/>
        <v>676</v>
      </c>
      <c r="K120" s="7">
        <f t="shared" si="3"/>
        <v>676</v>
      </c>
      <c r="L120" s="7">
        <f t="shared" si="4"/>
        <v>624</v>
      </c>
      <c r="M120" s="7">
        <f t="shared" si="5"/>
        <v>897</v>
      </c>
      <c r="N120" s="7">
        <f t="shared" si="6"/>
        <v>743.6</v>
      </c>
    </row>
    <row r="121">
      <c r="A121" s="8" t="s">
        <v>18</v>
      </c>
      <c r="B121" s="9"/>
      <c r="C121" s="9"/>
      <c r="D121" s="9"/>
      <c r="E121" s="9" t="s">
        <v>273</v>
      </c>
      <c r="F121" s="16" t="s">
        <v>274</v>
      </c>
      <c r="G121" s="11" t="s">
        <v>275</v>
      </c>
      <c r="H121" s="13">
        <v>520.0</v>
      </c>
      <c r="I121" s="12">
        <f t="shared" si="1"/>
        <v>780</v>
      </c>
      <c r="J121" s="12">
        <f t="shared" si="2"/>
        <v>676</v>
      </c>
      <c r="K121" s="7">
        <f t="shared" si="3"/>
        <v>676</v>
      </c>
      <c r="L121" s="7">
        <f t="shared" si="4"/>
        <v>624</v>
      </c>
      <c r="M121" s="7">
        <f t="shared" si="5"/>
        <v>897</v>
      </c>
      <c r="N121" s="7">
        <f t="shared" si="6"/>
        <v>743.6</v>
      </c>
    </row>
    <row r="122">
      <c r="A122" s="8" t="s">
        <v>276</v>
      </c>
      <c r="B122" s="9"/>
      <c r="C122" s="17" t="s">
        <v>277</v>
      </c>
      <c r="D122" s="9"/>
      <c r="E122" s="9" t="s">
        <v>278</v>
      </c>
      <c r="F122" s="9" t="s">
        <v>279</v>
      </c>
      <c r="G122" s="9"/>
      <c r="H122" s="13">
        <v>5000.0</v>
      </c>
      <c r="I122" s="12">
        <v>25000.0</v>
      </c>
      <c r="J122" s="12">
        <v>25000.0</v>
      </c>
      <c r="K122" s="12">
        <v>25000.0</v>
      </c>
      <c r="L122" s="12">
        <v>25000.0</v>
      </c>
      <c r="M122" s="12">
        <v>25000.0</v>
      </c>
      <c r="N122" s="12">
        <v>25000.0</v>
      </c>
    </row>
    <row r="123">
      <c r="A123" s="8" t="s">
        <v>276</v>
      </c>
      <c r="B123" s="9"/>
      <c r="C123" s="9"/>
      <c r="D123" s="9"/>
      <c r="E123" s="9" t="s">
        <v>280</v>
      </c>
      <c r="F123" s="9" t="s">
        <v>281</v>
      </c>
      <c r="G123" s="9"/>
      <c r="H123" s="13">
        <v>1400.0</v>
      </c>
      <c r="I123" s="12">
        <f t="shared" ref="I123:I159" si="7">H123*1.5</f>
        <v>2100</v>
      </c>
      <c r="J123" s="12">
        <f t="shared" ref="J123:J159" si="8">H123*1.3</f>
        <v>1820</v>
      </c>
      <c r="K123" s="7">
        <f t="shared" ref="K123:K159" si="9">H123*1.3</f>
        <v>1820</v>
      </c>
      <c r="L123" s="7">
        <f t="shared" ref="L123:L159" si="10">H123*1.2</f>
        <v>1680</v>
      </c>
      <c r="M123" s="7">
        <f t="shared" ref="M123:M159" si="11">I123*1.15</f>
        <v>2415</v>
      </c>
      <c r="N123" s="7">
        <f t="shared" ref="N123:N159" si="12">J123*1.1</f>
        <v>2002</v>
      </c>
    </row>
    <row r="124">
      <c r="A124" s="8" t="s">
        <v>276</v>
      </c>
      <c r="B124" s="9"/>
      <c r="C124" s="9"/>
      <c r="D124" s="9"/>
      <c r="E124" s="9" t="s">
        <v>282</v>
      </c>
      <c r="F124" s="9" t="s">
        <v>283</v>
      </c>
      <c r="G124" s="9"/>
      <c r="H124" s="13">
        <v>1200.0</v>
      </c>
      <c r="I124" s="12">
        <f t="shared" si="7"/>
        <v>1800</v>
      </c>
      <c r="J124" s="12">
        <f t="shared" si="8"/>
        <v>1560</v>
      </c>
      <c r="K124" s="7">
        <f t="shared" si="9"/>
        <v>1560</v>
      </c>
      <c r="L124" s="7">
        <f t="shared" si="10"/>
        <v>1440</v>
      </c>
      <c r="M124" s="7">
        <f t="shared" si="11"/>
        <v>2070</v>
      </c>
      <c r="N124" s="7">
        <f t="shared" si="12"/>
        <v>1716</v>
      </c>
    </row>
    <row r="125">
      <c r="A125" s="8" t="s">
        <v>284</v>
      </c>
      <c r="B125" s="9"/>
      <c r="C125" s="9"/>
      <c r="D125" s="9"/>
      <c r="E125" s="9" t="s">
        <v>285</v>
      </c>
      <c r="F125" s="9" t="s">
        <v>286</v>
      </c>
      <c r="G125" s="9"/>
      <c r="H125" s="18"/>
      <c r="I125" s="12">
        <f t="shared" si="7"/>
        <v>0</v>
      </c>
      <c r="J125" s="12">
        <f t="shared" si="8"/>
        <v>0</v>
      </c>
      <c r="K125" s="7">
        <f t="shared" si="9"/>
        <v>0</v>
      </c>
      <c r="L125" s="7">
        <f t="shared" si="10"/>
        <v>0</v>
      </c>
      <c r="M125" s="7">
        <f t="shared" si="11"/>
        <v>0</v>
      </c>
      <c r="N125" s="7">
        <f t="shared" si="12"/>
        <v>0</v>
      </c>
    </row>
    <row r="126">
      <c r="A126" s="8" t="s">
        <v>284</v>
      </c>
      <c r="B126" s="9"/>
      <c r="C126" s="9"/>
      <c r="D126" s="9"/>
      <c r="E126" s="9" t="s">
        <v>287</v>
      </c>
      <c r="F126" s="9" t="s">
        <v>288</v>
      </c>
      <c r="G126" s="9"/>
      <c r="H126" s="18"/>
      <c r="I126" s="12">
        <f t="shared" si="7"/>
        <v>0</v>
      </c>
      <c r="J126" s="12">
        <f t="shared" si="8"/>
        <v>0</v>
      </c>
      <c r="K126" s="7">
        <f t="shared" si="9"/>
        <v>0</v>
      </c>
      <c r="L126" s="7">
        <f t="shared" si="10"/>
        <v>0</v>
      </c>
      <c r="M126" s="7">
        <f t="shared" si="11"/>
        <v>0</v>
      </c>
      <c r="N126" s="7">
        <f t="shared" si="12"/>
        <v>0</v>
      </c>
    </row>
    <row r="127">
      <c r="A127" s="8" t="s">
        <v>289</v>
      </c>
      <c r="B127" s="9"/>
      <c r="C127" s="9"/>
      <c r="D127" s="9"/>
      <c r="E127" s="9" t="s">
        <v>290</v>
      </c>
      <c r="F127" s="9" t="s">
        <v>291</v>
      </c>
      <c r="G127" s="9" t="s">
        <v>292</v>
      </c>
      <c r="H127" s="13">
        <v>40.0</v>
      </c>
      <c r="I127" s="12">
        <f t="shared" si="7"/>
        <v>60</v>
      </c>
      <c r="J127" s="12">
        <f t="shared" si="8"/>
        <v>52</v>
      </c>
      <c r="K127" s="7">
        <f t="shared" si="9"/>
        <v>52</v>
      </c>
      <c r="L127" s="7">
        <f t="shared" si="10"/>
        <v>48</v>
      </c>
      <c r="M127" s="7">
        <f t="shared" si="11"/>
        <v>69</v>
      </c>
      <c r="N127" s="7">
        <f t="shared" si="12"/>
        <v>57.2</v>
      </c>
    </row>
    <row r="128">
      <c r="A128" s="8" t="s">
        <v>289</v>
      </c>
      <c r="B128" s="9"/>
      <c r="C128" s="9"/>
      <c r="D128" s="9"/>
      <c r="E128" s="9" t="s">
        <v>293</v>
      </c>
      <c r="F128" s="9" t="s">
        <v>294</v>
      </c>
      <c r="G128" s="9" t="s">
        <v>295</v>
      </c>
      <c r="H128" s="13">
        <v>35.0</v>
      </c>
      <c r="I128" s="12">
        <f t="shared" si="7"/>
        <v>52.5</v>
      </c>
      <c r="J128" s="12">
        <f t="shared" si="8"/>
        <v>45.5</v>
      </c>
      <c r="K128" s="7">
        <f t="shared" si="9"/>
        <v>45.5</v>
      </c>
      <c r="L128" s="7">
        <f t="shared" si="10"/>
        <v>42</v>
      </c>
      <c r="M128" s="7">
        <f t="shared" si="11"/>
        <v>60.375</v>
      </c>
      <c r="N128" s="7">
        <f t="shared" si="12"/>
        <v>50.05</v>
      </c>
    </row>
    <row r="129">
      <c r="A129" s="8" t="s">
        <v>289</v>
      </c>
      <c r="B129" s="9"/>
      <c r="C129" s="9"/>
      <c r="D129" s="9"/>
      <c r="E129" s="9" t="s">
        <v>296</v>
      </c>
      <c r="F129" s="9" t="s">
        <v>297</v>
      </c>
      <c r="G129" s="9" t="s">
        <v>298</v>
      </c>
      <c r="H129" s="13">
        <v>150.0</v>
      </c>
      <c r="I129" s="12">
        <f t="shared" si="7"/>
        <v>225</v>
      </c>
      <c r="J129" s="12">
        <f t="shared" si="8"/>
        <v>195</v>
      </c>
      <c r="K129" s="7">
        <f t="shared" si="9"/>
        <v>195</v>
      </c>
      <c r="L129" s="7">
        <f t="shared" si="10"/>
        <v>180</v>
      </c>
      <c r="M129" s="7">
        <f t="shared" si="11"/>
        <v>258.75</v>
      </c>
      <c r="N129" s="7">
        <f t="shared" si="12"/>
        <v>214.5</v>
      </c>
    </row>
    <row r="130">
      <c r="A130" s="8" t="s">
        <v>289</v>
      </c>
      <c r="B130" s="9"/>
      <c r="C130" s="9"/>
      <c r="D130" s="9"/>
      <c r="E130" s="9" t="s">
        <v>299</v>
      </c>
      <c r="F130" s="9" t="s">
        <v>300</v>
      </c>
      <c r="G130" s="9" t="s">
        <v>301</v>
      </c>
      <c r="H130" s="13">
        <v>140.0</v>
      </c>
      <c r="I130" s="12">
        <f t="shared" si="7"/>
        <v>210</v>
      </c>
      <c r="J130" s="12">
        <f t="shared" si="8"/>
        <v>182</v>
      </c>
      <c r="K130" s="7">
        <f t="shared" si="9"/>
        <v>182</v>
      </c>
      <c r="L130" s="7">
        <f t="shared" si="10"/>
        <v>168</v>
      </c>
      <c r="M130" s="7">
        <f t="shared" si="11"/>
        <v>241.5</v>
      </c>
      <c r="N130" s="7">
        <f t="shared" si="12"/>
        <v>200.2</v>
      </c>
    </row>
    <row r="131">
      <c r="A131" s="8" t="s">
        <v>289</v>
      </c>
      <c r="B131" s="9"/>
      <c r="C131" s="9"/>
      <c r="D131" s="9"/>
      <c r="E131" s="9" t="s">
        <v>302</v>
      </c>
      <c r="F131" s="9" t="s">
        <v>303</v>
      </c>
      <c r="G131" s="11"/>
      <c r="H131" s="13">
        <v>10.0</v>
      </c>
      <c r="I131" s="12">
        <f t="shared" si="7"/>
        <v>15</v>
      </c>
      <c r="J131" s="12">
        <f t="shared" si="8"/>
        <v>13</v>
      </c>
      <c r="K131" s="7">
        <f t="shared" si="9"/>
        <v>13</v>
      </c>
      <c r="L131" s="7">
        <f t="shared" si="10"/>
        <v>12</v>
      </c>
      <c r="M131" s="7">
        <f t="shared" si="11"/>
        <v>17.25</v>
      </c>
      <c r="N131" s="7">
        <f t="shared" si="12"/>
        <v>14.3</v>
      </c>
    </row>
    <row r="132">
      <c r="A132" s="9" t="s">
        <v>304</v>
      </c>
      <c r="B132" s="9" t="s">
        <v>305</v>
      </c>
      <c r="C132" s="9"/>
      <c r="D132" s="9"/>
      <c r="E132" s="9" t="s">
        <v>306</v>
      </c>
      <c r="F132" s="9" t="s">
        <v>307</v>
      </c>
      <c r="G132" s="9"/>
      <c r="H132" s="13">
        <v>135.0</v>
      </c>
      <c r="I132" s="12">
        <f t="shared" si="7"/>
        <v>202.5</v>
      </c>
      <c r="J132" s="12">
        <f t="shared" si="8"/>
        <v>175.5</v>
      </c>
      <c r="K132" s="7">
        <f t="shared" si="9"/>
        <v>175.5</v>
      </c>
      <c r="L132" s="7">
        <f t="shared" si="10"/>
        <v>162</v>
      </c>
      <c r="M132" s="7">
        <f t="shared" si="11"/>
        <v>232.875</v>
      </c>
      <c r="N132" s="7">
        <f t="shared" si="12"/>
        <v>193.05</v>
      </c>
    </row>
    <row r="133">
      <c r="A133" s="9" t="s">
        <v>304</v>
      </c>
      <c r="B133" s="9" t="s">
        <v>305</v>
      </c>
      <c r="C133" s="9"/>
      <c r="D133" s="9"/>
      <c r="E133" s="9" t="s">
        <v>308</v>
      </c>
      <c r="F133" s="9" t="s">
        <v>309</v>
      </c>
      <c r="G133" s="9"/>
      <c r="H133" s="13">
        <v>135.0</v>
      </c>
      <c r="I133" s="12">
        <f t="shared" si="7"/>
        <v>202.5</v>
      </c>
      <c r="J133" s="12">
        <f t="shared" si="8"/>
        <v>175.5</v>
      </c>
      <c r="K133" s="7">
        <f t="shared" si="9"/>
        <v>175.5</v>
      </c>
      <c r="L133" s="7">
        <f t="shared" si="10"/>
        <v>162</v>
      </c>
      <c r="M133" s="7">
        <f t="shared" si="11"/>
        <v>232.875</v>
      </c>
      <c r="N133" s="7">
        <f t="shared" si="12"/>
        <v>193.05</v>
      </c>
    </row>
    <row r="134">
      <c r="A134" s="9" t="s">
        <v>304</v>
      </c>
      <c r="B134" s="9" t="s">
        <v>305</v>
      </c>
      <c r="C134" s="9"/>
      <c r="D134" s="9"/>
      <c r="E134" s="9" t="s">
        <v>310</v>
      </c>
      <c r="F134" s="9" t="s">
        <v>311</v>
      </c>
      <c r="G134" s="9"/>
      <c r="H134" s="13">
        <v>135.0</v>
      </c>
      <c r="I134" s="12">
        <f t="shared" si="7"/>
        <v>202.5</v>
      </c>
      <c r="J134" s="12">
        <f t="shared" si="8"/>
        <v>175.5</v>
      </c>
      <c r="K134" s="7">
        <f t="shared" si="9"/>
        <v>175.5</v>
      </c>
      <c r="L134" s="7">
        <f t="shared" si="10"/>
        <v>162</v>
      </c>
      <c r="M134" s="7">
        <f t="shared" si="11"/>
        <v>232.875</v>
      </c>
      <c r="N134" s="7">
        <f t="shared" si="12"/>
        <v>193.05</v>
      </c>
    </row>
    <row r="135">
      <c r="A135" s="9" t="s">
        <v>304</v>
      </c>
      <c r="B135" s="9" t="s">
        <v>305</v>
      </c>
      <c r="C135" s="9"/>
      <c r="D135" s="9"/>
      <c r="E135" s="9" t="s">
        <v>312</v>
      </c>
      <c r="F135" s="9" t="s">
        <v>313</v>
      </c>
      <c r="G135" s="9"/>
      <c r="H135" s="13">
        <v>135.0</v>
      </c>
      <c r="I135" s="12">
        <f t="shared" si="7"/>
        <v>202.5</v>
      </c>
      <c r="J135" s="12">
        <f t="shared" si="8"/>
        <v>175.5</v>
      </c>
      <c r="K135" s="7">
        <f t="shared" si="9"/>
        <v>175.5</v>
      </c>
      <c r="L135" s="7">
        <f t="shared" si="10"/>
        <v>162</v>
      </c>
      <c r="M135" s="7">
        <f t="shared" si="11"/>
        <v>232.875</v>
      </c>
      <c r="N135" s="7">
        <f t="shared" si="12"/>
        <v>193.05</v>
      </c>
    </row>
    <row r="136">
      <c r="A136" s="9" t="s">
        <v>304</v>
      </c>
      <c r="B136" s="9" t="s">
        <v>305</v>
      </c>
      <c r="C136" s="9"/>
      <c r="D136" s="9"/>
      <c r="E136" s="9" t="s">
        <v>314</v>
      </c>
      <c r="F136" s="9" t="s">
        <v>315</v>
      </c>
      <c r="G136" s="9"/>
      <c r="H136" s="13">
        <v>135.0</v>
      </c>
      <c r="I136" s="12">
        <f t="shared" si="7"/>
        <v>202.5</v>
      </c>
      <c r="J136" s="12">
        <f t="shared" si="8"/>
        <v>175.5</v>
      </c>
      <c r="K136" s="7">
        <f t="shared" si="9"/>
        <v>175.5</v>
      </c>
      <c r="L136" s="7">
        <f t="shared" si="10"/>
        <v>162</v>
      </c>
      <c r="M136" s="7">
        <f t="shared" si="11"/>
        <v>232.875</v>
      </c>
      <c r="N136" s="7">
        <f t="shared" si="12"/>
        <v>193.05</v>
      </c>
    </row>
    <row r="137">
      <c r="A137" s="9" t="s">
        <v>304</v>
      </c>
      <c r="B137" s="9" t="s">
        <v>305</v>
      </c>
      <c r="C137" s="9"/>
      <c r="D137" s="9"/>
      <c r="E137" s="9" t="s">
        <v>316</v>
      </c>
      <c r="F137" s="9" t="s">
        <v>317</v>
      </c>
      <c r="G137" s="9"/>
      <c r="H137" s="13">
        <v>135.0</v>
      </c>
      <c r="I137" s="12">
        <f t="shared" si="7"/>
        <v>202.5</v>
      </c>
      <c r="J137" s="12">
        <f t="shared" si="8"/>
        <v>175.5</v>
      </c>
      <c r="K137" s="7">
        <f t="shared" si="9"/>
        <v>175.5</v>
      </c>
      <c r="L137" s="7">
        <f t="shared" si="10"/>
        <v>162</v>
      </c>
      <c r="M137" s="7">
        <f t="shared" si="11"/>
        <v>232.875</v>
      </c>
      <c r="N137" s="7">
        <f t="shared" si="12"/>
        <v>193.05</v>
      </c>
    </row>
    <row r="138">
      <c r="A138" s="9" t="s">
        <v>304</v>
      </c>
      <c r="B138" s="9" t="s">
        <v>305</v>
      </c>
      <c r="C138" s="9"/>
      <c r="D138" s="9"/>
      <c r="E138" s="9" t="s">
        <v>318</v>
      </c>
      <c r="F138" s="9" t="s">
        <v>319</v>
      </c>
      <c r="G138" s="9"/>
      <c r="H138" s="13">
        <v>135.0</v>
      </c>
      <c r="I138" s="12">
        <f t="shared" si="7"/>
        <v>202.5</v>
      </c>
      <c r="J138" s="12">
        <f t="shared" si="8"/>
        <v>175.5</v>
      </c>
      <c r="K138" s="7">
        <f t="shared" si="9"/>
        <v>175.5</v>
      </c>
      <c r="L138" s="7">
        <f t="shared" si="10"/>
        <v>162</v>
      </c>
      <c r="M138" s="7">
        <f t="shared" si="11"/>
        <v>232.875</v>
      </c>
      <c r="N138" s="7">
        <f t="shared" si="12"/>
        <v>193.05</v>
      </c>
    </row>
    <row r="139">
      <c r="A139" s="9" t="s">
        <v>304</v>
      </c>
      <c r="B139" s="9" t="s">
        <v>305</v>
      </c>
      <c r="C139" s="9"/>
      <c r="D139" s="9"/>
      <c r="E139" s="9" t="s">
        <v>320</v>
      </c>
      <c r="F139" s="9" t="s">
        <v>321</v>
      </c>
      <c r="G139" s="9"/>
      <c r="H139" s="13">
        <v>135.0</v>
      </c>
      <c r="I139" s="12">
        <f t="shared" si="7"/>
        <v>202.5</v>
      </c>
      <c r="J139" s="12">
        <f t="shared" si="8"/>
        <v>175.5</v>
      </c>
      <c r="K139" s="7">
        <f t="shared" si="9"/>
        <v>175.5</v>
      </c>
      <c r="L139" s="7">
        <f t="shared" si="10"/>
        <v>162</v>
      </c>
      <c r="M139" s="7">
        <f t="shared" si="11"/>
        <v>232.875</v>
      </c>
      <c r="N139" s="7">
        <f t="shared" si="12"/>
        <v>193.05</v>
      </c>
    </row>
    <row r="140">
      <c r="A140" s="9" t="s">
        <v>304</v>
      </c>
      <c r="B140" s="9" t="s">
        <v>305</v>
      </c>
      <c r="C140" s="9"/>
      <c r="D140" s="9"/>
      <c r="E140" s="9" t="s">
        <v>322</v>
      </c>
      <c r="F140" s="9" t="s">
        <v>323</v>
      </c>
      <c r="G140" s="9"/>
      <c r="H140" s="13">
        <v>135.0</v>
      </c>
      <c r="I140" s="12">
        <f t="shared" si="7"/>
        <v>202.5</v>
      </c>
      <c r="J140" s="12">
        <f t="shared" si="8"/>
        <v>175.5</v>
      </c>
      <c r="K140" s="7">
        <f t="shared" si="9"/>
        <v>175.5</v>
      </c>
      <c r="L140" s="7">
        <f t="shared" si="10"/>
        <v>162</v>
      </c>
      <c r="M140" s="7">
        <f t="shared" si="11"/>
        <v>232.875</v>
      </c>
      <c r="N140" s="7">
        <f t="shared" si="12"/>
        <v>193.05</v>
      </c>
    </row>
    <row r="141">
      <c r="A141" s="9" t="s">
        <v>304</v>
      </c>
      <c r="B141" s="9" t="s">
        <v>305</v>
      </c>
      <c r="C141" s="9"/>
      <c r="D141" s="9"/>
      <c r="E141" s="9" t="s">
        <v>324</v>
      </c>
      <c r="F141" s="9" t="s">
        <v>325</v>
      </c>
      <c r="G141" s="9"/>
      <c r="H141" s="13">
        <v>135.0</v>
      </c>
      <c r="I141" s="12">
        <f t="shared" si="7"/>
        <v>202.5</v>
      </c>
      <c r="J141" s="12">
        <f t="shared" si="8"/>
        <v>175.5</v>
      </c>
      <c r="K141" s="7">
        <f t="shared" si="9"/>
        <v>175.5</v>
      </c>
      <c r="L141" s="7">
        <f t="shared" si="10"/>
        <v>162</v>
      </c>
      <c r="M141" s="7">
        <f t="shared" si="11"/>
        <v>232.875</v>
      </c>
      <c r="N141" s="7">
        <f t="shared" si="12"/>
        <v>193.05</v>
      </c>
    </row>
    <row r="142">
      <c r="A142" s="9" t="s">
        <v>304</v>
      </c>
      <c r="B142" s="9" t="s">
        <v>305</v>
      </c>
      <c r="C142" s="9"/>
      <c r="D142" s="9"/>
      <c r="E142" s="9" t="s">
        <v>326</v>
      </c>
      <c r="F142" s="9" t="s">
        <v>327</v>
      </c>
      <c r="G142" s="9"/>
      <c r="H142" s="13">
        <v>135.0</v>
      </c>
      <c r="I142" s="12">
        <f t="shared" si="7"/>
        <v>202.5</v>
      </c>
      <c r="J142" s="12">
        <f t="shared" si="8"/>
        <v>175.5</v>
      </c>
      <c r="K142" s="7">
        <f t="shared" si="9"/>
        <v>175.5</v>
      </c>
      <c r="L142" s="7">
        <f t="shared" si="10"/>
        <v>162</v>
      </c>
      <c r="M142" s="7">
        <f t="shared" si="11"/>
        <v>232.875</v>
      </c>
      <c r="N142" s="7">
        <f t="shared" si="12"/>
        <v>193.05</v>
      </c>
    </row>
    <row r="143">
      <c r="A143" s="9" t="s">
        <v>304</v>
      </c>
      <c r="B143" s="9" t="s">
        <v>305</v>
      </c>
      <c r="C143" s="9"/>
      <c r="D143" s="9"/>
      <c r="E143" s="9" t="s">
        <v>328</v>
      </c>
      <c r="F143" s="16" t="s">
        <v>329</v>
      </c>
      <c r="G143" s="9"/>
      <c r="H143" s="13">
        <v>135.0</v>
      </c>
      <c r="I143" s="12">
        <f t="shared" si="7"/>
        <v>202.5</v>
      </c>
      <c r="J143" s="12">
        <f t="shared" si="8"/>
        <v>175.5</v>
      </c>
      <c r="K143" s="7">
        <f t="shared" si="9"/>
        <v>175.5</v>
      </c>
      <c r="L143" s="7">
        <f t="shared" si="10"/>
        <v>162</v>
      </c>
      <c r="M143" s="7">
        <f t="shared" si="11"/>
        <v>232.875</v>
      </c>
      <c r="N143" s="7">
        <f t="shared" si="12"/>
        <v>193.05</v>
      </c>
    </row>
    <row r="144">
      <c r="A144" s="9" t="s">
        <v>304</v>
      </c>
      <c r="B144" s="9" t="s">
        <v>305</v>
      </c>
      <c r="C144" s="9"/>
      <c r="D144" s="9"/>
      <c r="E144" s="9" t="s">
        <v>330</v>
      </c>
      <c r="F144" s="9" t="s">
        <v>331</v>
      </c>
      <c r="G144" s="9"/>
      <c r="H144" s="13">
        <v>135.0</v>
      </c>
      <c r="I144" s="12">
        <f t="shared" si="7"/>
        <v>202.5</v>
      </c>
      <c r="J144" s="12">
        <f t="shared" si="8"/>
        <v>175.5</v>
      </c>
      <c r="K144" s="7">
        <f t="shared" si="9"/>
        <v>175.5</v>
      </c>
      <c r="L144" s="7">
        <f t="shared" si="10"/>
        <v>162</v>
      </c>
      <c r="M144" s="7">
        <f t="shared" si="11"/>
        <v>232.875</v>
      </c>
      <c r="N144" s="7">
        <f t="shared" si="12"/>
        <v>193.05</v>
      </c>
    </row>
    <row r="145">
      <c r="A145" s="9" t="s">
        <v>304</v>
      </c>
      <c r="B145" s="9" t="s">
        <v>305</v>
      </c>
      <c r="C145" s="9"/>
      <c r="D145" s="9"/>
      <c r="E145" s="9" t="s">
        <v>332</v>
      </c>
      <c r="F145" s="9" t="s">
        <v>333</v>
      </c>
      <c r="G145" s="9"/>
      <c r="H145" s="13">
        <v>135.0</v>
      </c>
      <c r="I145" s="12">
        <f t="shared" si="7"/>
        <v>202.5</v>
      </c>
      <c r="J145" s="12">
        <f t="shared" si="8"/>
        <v>175.5</v>
      </c>
      <c r="K145" s="7">
        <f t="shared" si="9"/>
        <v>175.5</v>
      </c>
      <c r="L145" s="7">
        <f t="shared" si="10"/>
        <v>162</v>
      </c>
      <c r="M145" s="7">
        <f t="shared" si="11"/>
        <v>232.875</v>
      </c>
      <c r="N145" s="7">
        <f t="shared" si="12"/>
        <v>193.05</v>
      </c>
    </row>
    <row r="146">
      <c r="A146" s="9" t="s">
        <v>304</v>
      </c>
      <c r="B146" s="9" t="s">
        <v>305</v>
      </c>
      <c r="C146" s="9"/>
      <c r="D146" s="9"/>
      <c r="E146" s="9" t="s">
        <v>334</v>
      </c>
      <c r="F146" s="9" t="s">
        <v>335</v>
      </c>
      <c r="G146" s="9"/>
      <c r="H146" s="13">
        <v>135.0</v>
      </c>
      <c r="I146" s="12">
        <f t="shared" si="7"/>
        <v>202.5</v>
      </c>
      <c r="J146" s="12">
        <f t="shared" si="8"/>
        <v>175.5</v>
      </c>
      <c r="K146" s="7">
        <f t="shared" si="9"/>
        <v>175.5</v>
      </c>
      <c r="L146" s="7">
        <f t="shared" si="10"/>
        <v>162</v>
      </c>
      <c r="M146" s="7">
        <f t="shared" si="11"/>
        <v>232.875</v>
      </c>
      <c r="N146" s="7">
        <f t="shared" si="12"/>
        <v>193.05</v>
      </c>
    </row>
    <row r="147">
      <c r="A147" s="9" t="s">
        <v>304</v>
      </c>
      <c r="B147" s="9" t="s">
        <v>336</v>
      </c>
      <c r="C147" s="9"/>
      <c r="D147" s="9"/>
      <c r="E147" s="9" t="s">
        <v>337</v>
      </c>
      <c r="F147" s="16" t="s">
        <v>338</v>
      </c>
      <c r="G147" s="9"/>
      <c r="H147" s="13">
        <v>170.0</v>
      </c>
      <c r="I147" s="12">
        <f t="shared" si="7"/>
        <v>255</v>
      </c>
      <c r="J147" s="12">
        <f t="shared" si="8"/>
        <v>221</v>
      </c>
      <c r="K147" s="7">
        <f t="shared" si="9"/>
        <v>221</v>
      </c>
      <c r="L147" s="7">
        <f t="shared" si="10"/>
        <v>204</v>
      </c>
      <c r="M147" s="7">
        <f t="shared" si="11"/>
        <v>293.25</v>
      </c>
      <c r="N147" s="7">
        <f t="shared" si="12"/>
        <v>243.1</v>
      </c>
    </row>
    <row r="148">
      <c r="A148" s="9" t="s">
        <v>304</v>
      </c>
      <c r="B148" s="9" t="s">
        <v>336</v>
      </c>
      <c r="C148" s="9"/>
      <c r="D148" s="9"/>
      <c r="E148" s="9" t="s">
        <v>339</v>
      </c>
      <c r="F148" s="9" t="s">
        <v>340</v>
      </c>
      <c r="G148" s="9"/>
      <c r="H148" s="13">
        <v>170.0</v>
      </c>
      <c r="I148" s="12">
        <f t="shared" si="7"/>
        <v>255</v>
      </c>
      <c r="J148" s="12">
        <f t="shared" si="8"/>
        <v>221</v>
      </c>
      <c r="K148" s="7">
        <f t="shared" si="9"/>
        <v>221</v>
      </c>
      <c r="L148" s="7">
        <f t="shared" si="10"/>
        <v>204</v>
      </c>
      <c r="M148" s="7">
        <f t="shared" si="11"/>
        <v>293.25</v>
      </c>
      <c r="N148" s="7">
        <f t="shared" si="12"/>
        <v>243.1</v>
      </c>
    </row>
    <row r="149">
      <c r="A149" s="9" t="s">
        <v>304</v>
      </c>
      <c r="B149" s="9" t="s">
        <v>336</v>
      </c>
      <c r="C149" s="9"/>
      <c r="D149" s="9"/>
      <c r="E149" s="9" t="s">
        <v>341</v>
      </c>
      <c r="F149" s="9" t="s">
        <v>342</v>
      </c>
      <c r="G149" s="9"/>
      <c r="H149" s="13">
        <v>170.0</v>
      </c>
      <c r="I149" s="12">
        <f t="shared" si="7"/>
        <v>255</v>
      </c>
      <c r="J149" s="12">
        <f t="shared" si="8"/>
        <v>221</v>
      </c>
      <c r="K149" s="7">
        <f t="shared" si="9"/>
        <v>221</v>
      </c>
      <c r="L149" s="7">
        <f t="shared" si="10"/>
        <v>204</v>
      </c>
      <c r="M149" s="7">
        <f t="shared" si="11"/>
        <v>293.25</v>
      </c>
      <c r="N149" s="7">
        <f t="shared" si="12"/>
        <v>243.1</v>
      </c>
    </row>
    <row r="150">
      <c r="A150" s="9" t="s">
        <v>304</v>
      </c>
      <c r="B150" s="9" t="s">
        <v>336</v>
      </c>
      <c r="C150" s="9"/>
      <c r="D150" s="9"/>
      <c r="E150" s="9" t="s">
        <v>343</v>
      </c>
      <c r="F150" s="9" t="s">
        <v>344</v>
      </c>
      <c r="G150" s="9"/>
      <c r="H150" s="13">
        <v>170.0</v>
      </c>
      <c r="I150" s="12">
        <f t="shared" si="7"/>
        <v>255</v>
      </c>
      <c r="J150" s="12">
        <f t="shared" si="8"/>
        <v>221</v>
      </c>
      <c r="K150" s="7">
        <f t="shared" si="9"/>
        <v>221</v>
      </c>
      <c r="L150" s="7">
        <f t="shared" si="10"/>
        <v>204</v>
      </c>
      <c r="M150" s="7">
        <f t="shared" si="11"/>
        <v>293.25</v>
      </c>
      <c r="N150" s="7">
        <f t="shared" si="12"/>
        <v>243.1</v>
      </c>
    </row>
    <row r="151">
      <c r="A151" s="9" t="s">
        <v>345</v>
      </c>
      <c r="B151" s="9" t="s">
        <v>346</v>
      </c>
      <c r="C151" s="9"/>
      <c r="D151" s="9"/>
      <c r="E151" s="9" t="s">
        <v>347</v>
      </c>
      <c r="F151" s="9" t="s">
        <v>348</v>
      </c>
      <c r="G151" s="9"/>
      <c r="H151" s="13">
        <v>2500.0</v>
      </c>
      <c r="I151" s="12">
        <f t="shared" si="7"/>
        <v>3750</v>
      </c>
      <c r="J151" s="12">
        <f t="shared" si="8"/>
        <v>3250</v>
      </c>
      <c r="K151" s="7">
        <f t="shared" si="9"/>
        <v>3250</v>
      </c>
      <c r="L151" s="7">
        <f t="shared" si="10"/>
        <v>3000</v>
      </c>
      <c r="M151" s="7">
        <f t="shared" si="11"/>
        <v>4312.5</v>
      </c>
      <c r="N151" s="7">
        <f t="shared" si="12"/>
        <v>3575</v>
      </c>
    </row>
    <row r="152">
      <c r="A152" s="9" t="s">
        <v>345</v>
      </c>
      <c r="B152" s="9" t="s">
        <v>346</v>
      </c>
      <c r="C152" s="9"/>
      <c r="D152" s="9"/>
      <c r="E152" s="9" t="s">
        <v>349</v>
      </c>
      <c r="F152" s="9" t="s">
        <v>350</v>
      </c>
      <c r="G152" s="9"/>
      <c r="H152" s="13">
        <v>2000.0</v>
      </c>
      <c r="I152" s="12">
        <f t="shared" si="7"/>
        <v>3000</v>
      </c>
      <c r="J152" s="12">
        <f t="shared" si="8"/>
        <v>2600</v>
      </c>
      <c r="K152" s="7">
        <f t="shared" si="9"/>
        <v>2600</v>
      </c>
      <c r="L152" s="7">
        <f t="shared" si="10"/>
        <v>2400</v>
      </c>
      <c r="M152" s="7">
        <f t="shared" si="11"/>
        <v>3450</v>
      </c>
      <c r="N152" s="7">
        <f t="shared" si="12"/>
        <v>2860</v>
      </c>
    </row>
    <row r="153">
      <c r="A153" s="8" t="s">
        <v>351</v>
      </c>
      <c r="B153" s="19" t="s">
        <v>352</v>
      </c>
      <c r="C153" s="9"/>
      <c r="D153" s="9"/>
      <c r="E153" s="20" t="s">
        <v>353</v>
      </c>
      <c r="F153" s="20" t="s">
        <v>354</v>
      </c>
      <c r="G153" s="20" t="s">
        <v>355</v>
      </c>
      <c r="H153" s="21">
        <v>4500.0</v>
      </c>
      <c r="I153" s="12">
        <f t="shared" si="7"/>
        <v>6750</v>
      </c>
      <c r="J153" s="12">
        <f t="shared" si="8"/>
        <v>5850</v>
      </c>
      <c r="K153" s="7">
        <f t="shared" si="9"/>
        <v>5850</v>
      </c>
      <c r="L153" s="7">
        <f t="shared" si="10"/>
        <v>5400</v>
      </c>
      <c r="M153" s="7">
        <f t="shared" si="11"/>
        <v>7762.5</v>
      </c>
      <c r="N153" s="7">
        <f t="shared" si="12"/>
        <v>6435</v>
      </c>
    </row>
    <row r="154">
      <c r="A154" s="8" t="s">
        <v>351</v>
      </c>
      <c r="B154" s="19" t="s">
        <v>352</v>
      </c>
      <c r="C154" s="9"/>
      <c r="D154" s="9"/>
      <c r="E154" s="20" t="s">
        <v>356</v>
      </c>
      <c r="F154" s="20" t="s">
        <v>357</v>
      </c>
      <c r="G154" s="20" t="s">
        <v>358</v>
      </c>
      <c r="H154" s="21">
        <v>11500.0</v>
      </c>
      <c r="I154" s="12">
        <f t="shared" si="7"/>
        <v>17250</v>
      </c>
      <c r="J154" s="12">
        <f t="shared" si="8"/>
        <v>14950</v>
      </c>
      <c r="K154" s="7">
        <f t="shared" si="9"/>
        <v>14950</v>
      </c>
      <c r="L154" s="7">
        <f t="shared" si="10"/>
        <v>13800</v>
      </c>
      <c r="M154" s="7">
        <f t="shared" si="11"/>
        <v>19837.5</v>
      </c>
      <c r="N154" s="7">
        <f t="shared" si="12"/>
        <v>16445</v>
      </c>
    </row>
    <row r="155">
      <c r="A155" s="8" t="s">
        <v>351</v>
      </c>
      <c r="B155" s="19" t="s">
        <v>352</v>
      </c>
      <c r="C155" s="9"/>
      <c r="D155" s="9"/>
      <c r="E155" s="20" t="s">
        <v>359</v>
      </c>
      <c r="F155" s="20" t="s">
        <v>360</v>
      </c>
      <c r="G155" s="20" t="s">
        <v>361</v>
      </c>
      <c r="H155" s="21">
        <v>18500.0</v>
      </c>
      <c r="I155" s="12">
        <f t="shared" si="7"/>
        <v>27750</v>
      </c>
      <c r="J155" s="12">
        <f t="shared" si="8"/>
        <v>24050</v>
      </c>
      <c r="K155" s="7">
        <f t="shared" si="9"/>
        <v>24050</v>
      </c>
      <c r="L155" s="7">
        <f t="shared" si="10"/>
        <v>22200</v>
      </c>
      <c r="M155" s="7">
        <f t="shared" si="11"/>
        <v>31912.5</v>
      </c>
      <c r="N155" s="7">
        <f t="shared" si="12"/>
        <v>26455</v>
      </c>
    </row>
    <row r="156">
      <c r="A156" s="8" t="s">
        <v>351</v>
      </c>
      <c r="B156" s="19" t="s">
        <v>352</v>
      </c>
      <c r="C156" s="9"/>
      <c r="D156" s="9"/>
      <c r="E156" s="20" t="s">
        <v>362</v>
      </c>
      <c r="F156" s="20" t="s">
        <v>363</v>
      </c>
      <c r="G156" s="20" t="s">
        <v>364</v>
      </c>
      <c r="H156" s="21">
        <v>500.0</v>
      </c>
      <c r="I156" s="12">
        <f t="shared" si="7"/>
        <v>750</v>
      </c>
      <c r="J156" s="12">
        <f t="shared" si="8"/>
        <v>650</v>
      </c>
      <c r="K156" s="7">
        <f t="shared" si="9"/>
        <v>650</v>
      </c>
      <c r="L156" s="7">
        <f t="shared" si="10"/>
        <v>600</v>
      </c>
      <c r="M156" s="7">
        <f t="shared" si="11"/>
        <v>862.5</v>
      </c>
      <c r="N156" s="7">
        <f t="shared" si="12"/>
        <v>715</v>
      </c>
    </row>
    <row r="157">
      <c r="A157" s="8" t="s">
        <v>351</v>
      </c>
      <c r="B157" s="19" t="s">
        <v>352</v>
      </c>
      <c r="C157" s="9"/>
      <c r="D157" s="9"/>
      <c r="E157" s="20" t="s">
        <v>365</v>
      </c>
      <c r="F157" s="20" t="s">
        <v>366</v>
      </c>
      <c r="G157" s="20" t="s">
        <v>367</v>
      </c>
      <c r="H157" s="21">
        <v>1100.0</v>
      </c>
      <c r="I157" s="12">
        <f t="shared" si="7"/>
        <v>1650</v>
      </c>
      <c r="J157" s="12">
        <f t="shared" si="8"/>
        <v>1430</v>
      </c>
      <c r="K157" s="7">
        <f t="shared" si="9"/>
        <v>1430</v>
      </c>
      <c r="L157" s="7">
        <f t="shared" si="10"/>
        <v>1320</v>
      </c>
      <c r="M157" s="7">
        <f t="shared" si="11"/>
        <v>1897.5</v>
      </c>
      <c r="N157" s="7">
        <f t="shared" si="12"/>
        <v>1573</v>
      </c>
    </row>
    <row r="158">
      <c r="A158" s="8" t="s">
        <v>351</v>
      </c>
      <c r="B158" s="19" t="s">
        <v>352</v>
      </c>
      <c r="C158" s="9"/>
      <c r="D158" s="9"/>
      <c r="E158" s="20" t="s">
        <v>368</v>
      </c>
      <c r="F158" s="20" t="s">
        <v>369</v>
      </c>
      <c r="G158" s="20" t="s">
        <v>370</v>
      </c>
      <c r="H158" s="21">
        <v>1300.0</v>
      </c>
      <c r="I158" s="12">
        <f t="shared" si="7"/>
        <v>1950</v>
      </c>
      <c r="J158" s="12">
        <f t="shared" si="8"/>
        <v>1690</v>
      </c>
      <c r="K158" s="7">
        <f t="shared" si="9"/>
        <v>1690</v>
      </c>
      <c r="L158" s="7">
        <f t="shared" si="10"/>
        <v>1560</v>
      </c>
      <c r="M158" s="7">
        <f t="shared" si="11"/>
        <v>2242.5</v>
      </c>
      <c r="N158" s="7">
        <f t="shared" si="12"/>
        <v>1859</v>
      </c>
    </row>
    <row r="159">
      <c r="A159" s="8" t="s">
        <v>371</v>
      </c>
      <c r="B159" s="8" t="s">
        <v>372</v>
      </c>
      <c r="C159" s="9"/>
      <c r="D159" s="9"/>
      <c r="E159" s="20" t="s">
        <v>373</v>
      </c>
      <c r="F159" s="20" t="s">
        <v>374</v>
      </c>
      <c r="G159" s="9"/>
      <c r="H159" s="13">
        <v>6837.0</v>
      </c>
      <c r="I159" s="12">
        <f t="shared" si="7"/>
        <v>10255.5</v>
      </c>
      <c r="J159" s="12">
        <f t="shared" si="8"/>
        <v>8888.1</v>
      </c>
      <c r="K159" s="7">
        <f t="shared" si="9"/>
        <v>8888.1</v>
      </c>
      <c r="L159" s="7">
        <f t="shared" si="10"/>
        <v>8204.4</v>
      </c>
      <c r="M159" s="7">
        <f t="shared" si="11"/>
        <v>11793.825</v>
      </c>
      <c r="N159" s="7">
        <f t="shared" si="12"/>
        <v>9776.91</v>
      </c>
    </row>
  </sheetData>
  <autoFilter ref="$B$2:$N$159"/>
  <mergeCells count="4">
    <mergeCell ref="A1:H1"/>
    <mergeCell ref="I1:J1"/>
    <mergeCell ref="K1:L1"/>
    <mergeCell ref="M1:N1"/>
  </mergeCells>
  <drawing r:id="rId4"/>
  <legacyDrawing r:id="rId5"/>
</worksheet>
</file>