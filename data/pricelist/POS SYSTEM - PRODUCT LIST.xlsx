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LIST" sheetId="1" r:id="rId5"/>
  </sheets>
  <definedNames>
    <definedName hidden="1" localSheetId="0" name="_xlnm._FilterDatabase">PRICELIST!$A$2:$O$346</definedName>
  </definedNames>
  <calcPr/>
</workbook>
</file>

<file path=xl/sharedStrings.xml><?xml version="1.0" encoding="utf-8"?>
<sst xmlns="http://schemas.openxmlformats.org/spreadsheetml/2006/main" count="1600" uniqueCount="207">
  <si>
    <t>PRODUCT INFORMATION</t>
  </si>
  <si>
    <t>SRP (End-User)</t>
  </si>
  <si>
    <t>DEALER's PRICE</t>
  </si>
  <si>
    <t>CONTRACTOR's PRICE</t>
  </si>
  <si>
    <t>BRAND</t>
  </si>
  <si>
    <t>CATEGORY</t>
  </si>
  <si>
    <t>SUB-CATEGORY</t>
  </si>
  <si>
    <t>SERIES</t>
  </si>
  <si>
    <t>MODEL</t>
  </si>
  <si>
    <t>ITEM DESCRIPTION</t>
  </si>
  <si>
    <t>OTHER DESCRIPTION</t>
  </si>
  <si>
    <t>SPECIFICATIONS</t>
  </si>
  <si>
    <t>UPDATED PRICE</t>
  </si>
  <si>
    <t xml:space="preserve"> Small Volume
(50% Mark-Up) </t>
  </si>
  <si>
    <t xml:space="preserve"> Big Volume
(30% Mark-Up) </t>
  </si>
  <si>
    <t xml:space="preserve"> Small Volume
(30% Mark-Up) </t>
  </si>
  <si>
    <t xml:space="preserve"> Big Volume
(20% Mark-Up) </t>
  </si>
  <si>
    <t xml:space="preserve"> Small Volume
(15% Mark-Up) </t>
  </si>
  <si>
    <t xml:space="preserve"> Big Volume
(10% Mark-Up) </t>
  </si>
  <si>
    <t>ZKTECO</t>
  </si>
  <si>
    <t>POS TERMINAL</t>
  </si>
  <si>
    <t>TERMINAL</t>
  </si>
  <si>
    <t>ZKBio500</t>
  </si>
  <si>
    <t>ZKBio510</t>
  </si>
  <si>
    <r>
      <rPr>
        <rFont val="Arial"/>
        <b/>
        <color theme="1"/>
        <sz val="9.0"/>
      </rPr>
      <t xml:space="preserve">CPU: </t>
    </r>
    <r>
      <rPr>
        <rFont val="Arial"/>
        <b/>
        <color rgb="FFFF0000"/>
        <sz val="9.0"/>
      </rPr>
      <t xml:space="preserve">Intel Celeron J1900 Quad-Core 2.0Ghz </t>
    </r>
    <r>
      <rPr>
        <rFont val="Arial"/>
        <b/>
        <color theme="1"/>
        <sz val="9.0"/>
      </rPr>
      <t xml:space="preserve">
Display: </t>
    </r>
    <r>
      <rPr>
        <rFont val="Arial"/>
        <b val="0"/>
        <color theme="1"/>
        <sz val="9.0"/>
      </rPr>
      <t>15'' TFT LCD, 1024*768 resolution</t>
    </r>
    <r>
      <rPr>
        <rFont val="Arial"/>
        <b/>
        <color theme="1"/>
        <sz val="9.0"/>
      </rPr>
      <t xml:space="preserve">
Touch Pannel: </t>
    </r>
    <r>
      <rPr>
        <rFont val="Arial"/>
        <b val="0"/>
        <color theme="1"/>
        <sz val="9.0"/>
      </rPr>
      <t>Projected Capacitive Touch Panel</t>
    </r>
    <r>
      <rPr>
        <rFont val="Arial"/>
        <b/>
        <color theme="1"/>
        <sz val="9.0"/>
      </rPr>
      <t xml:space="preserve">
Customer Display: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theme="1"/>
        <sz val="9.0"/>
      </rPr>
      <t xml:space="preserve">
USB Port: </t>
    </r>
    <r>
      <rPr>
        <rFont val="Arial"/>
        <b/>
        <color rgb="FFFF0000"/>
        <sz val="9.0"/>
      </rPr>
      <t xml:space="preserve">2*USB3.0, 4*USB2.0
</t>
    </r>
    <r>
      <rPr>
        <rFont val="Arial"/>
        <b/>
        <color theme="1"/>
        <sz val="9.0"/>
      </rPr>
      <t xml:space="preserve">OS Support: </t>
    </r>
    <r>
      <rPr>
        <rFont val="Arial"/>
        <b val="0"/>
        <color theme="1"/>
        <sz val="9.0"/>
      </rPr>
      <t>Windows 7 or higher, Linux</t>
    </r>
    <r>
      <rPr>
        <rFont val="Arial"/>
        <b/>
        <color theme="1"/>
        <sz val="9.0"/>
      </rPr>
      <t xml:space="preserve">
Power Supply: </t>
    </r>
    <r>
      <rPr>
        <rFont val="Arial"/>
        <b val="0"/>
        <color theme="1"/>
        <sz val="9.0"/>
      </rPr>
      <t>DC 12V 5A</t>
    </r>
  </si>
  <si>
    <t>2GB RAM, 32GB SSD</t>
  </si>
  <si>
    <t>CPU: Intel Celeron J1900 Quad-Core 2.0Ghz 
Display: 15'' TFT LCD, 1024*768 resolution
Touch Pannel: Projected Capacitive Touch Panel
Customer Display: LED 8C High-difinition Digital Tube
USB Port: 2*USB3.0, 4*USB2.0
OS Support: Windows 7 or higher, Linux
Power Supply: DC 12V 5A</t>
  </si>
  <si>
    <t>2GB RAM, 64GB SSD</t>
  </si>
  <si>
    <t>2GB RAM, 128GB SSD</t>
  </si>
  <si>
    <t>2GB RAM, 256GB SSD</t>
  </si>
  <si>
    <t>4GB RAM, 32GB SSD</t>
  </si>
  <si>
    <t>4GB RAM, 64GB SSD</t>
  </si>
  <si>
    <t>4GB RAM, 128GB SSD</t>
  </si>
  <si>
    <t>4GB RAM, 256GB SSD</t>
  </si>
  <si>
    <t xml:space="preserve">CPU: Intel Celeron J1900 Quad-Core 2.0Ghz 
Display: 15'' TFT LCD, 1024*768 resolution
Touch Pannel: Projected Capacitive Touch Panel
Customer Display: LED 8C High-difinition Digital Tube
USB Port: 2*USB3.0, 4*USB2.0
OS Support: Windows 7 or higher, Linux
Power Supply: DC 12V 5A
</t>
  </si>
  <si>
    <t>8GB RAM, 32GB SSD</t>
  </si>
  <si>
    <t>8GB RAM, 64GB SSD</t>
  </si>
  <si>
    <t>8GB RAM, 128GB SSD</t>
  </si>
  <si>
    <t>8GB RAM, 256GB SSD</t>
  </si>
  <si>
    <t>ZKBio550</t>
  </si>
  <si>
    <t>CPU: 4th Gen Intel Core i5(low voltage)
Display: 15'' TFT LCD, 1024*768 resolution
Touch Pannel: Projected Capacitive Touch Panel
Customer Display: LED 8C High-difinition Digital Tube
USB Port: 2 * USB3.0, 4 * USB2.0
OS Support: Windows 7 or higher, Linux
Power Supply: DC 12V 5A</t>
  </si>
  <si>
    <t>UPGRADE</t>
  </si>
  <si>
    <t xml:space="preserve">Change LED 8C to VFD 2(line)*20(charactor)			</t>
  </si>
  <si>
    <t>Added value</t>
  </si>
  <si>
    <t xml:space="preserve">Change LED 8C to secondary display (15'')                        </t>
  </si>
  <si>
    <t xml:space="preserve">Add MSR			</t>
  </si>
  <si>
    <t>Add WiFi</t>
  </si>
  <si>
    <t>ZK1500</t>
  </si>
  <si>
    <t>ZK1510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</si>
  <si>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 xml:space="preserve">Intel Celeron J1900 Quad-Core 2.0Ghz 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5 * USB3.0, 1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</si>
  <si>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2GB RAM, 320GB HDD</t>
  </si>
  <si>
    <t>2GB RAM, 500GB HDD</t>
  </si>
  <si>
    <t>4GB RAM, 320GB HDD</t>
  </si>
  <si>
    <t>4GB RAM, 500GB HDD</t>
  </si>
  <si>
    <t>8GB RAM, 320GB HDD</t>
  </si>
  <si>
    <t>8GB RAM, 500GB HDD</t>
  </si>
  <si>
    <t>ZK1530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</si>
  <si>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>4th Gen Intel Core i3(low voltage)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2 * USB3.0, 4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</si>
  <si>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ZK1550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</si>
  <si>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>4th Gen Intel Core i5(low voltage)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2 * USB3.0, 4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</si>
  <si>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Change LED 8C to VFD 2(line)*20(charactor)</t>
  </si>
  <si>
    <t xml:space="preserve">Change LED 8C to secondary display (15'')			</t>
  </si>
  <si>
    <t>Add MSR</t>
  </si>
  <si>
    <t>Add RFID</t>
  </si>
  <si>
    <t>Add iButton</t>
  </si>
  <si>
    <t>Add MSR+RFID</t>
  </si>
  <si>
    <t>Add MSR+RFID+iButton</t>
  </si>
  <si>
    <t>Add extra 2.5'' 320GB HDD</t>
  </si>
  <si>
    <t xml:space="preserve">Add extra 2.5'' 500GB HDD			</t>
  </si>
  <si>
    <t>ZKBio600</t>
  </si>
  <si>
    <t>ZKBio610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</si>
  <si>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 xml:space="preserve">Intel Celeron J1900 Quad-Core 2.0Ghz 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1 * USB3.0, 5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</si>
  <si>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ZKBio630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</si>
  <si>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>4th Gen Intel Core i3(low voltage)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1 * USB3.0, 5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</si>
  <si>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ZKBio650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</si>
  <si>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>4th Gen Intel Core i5(low voltage)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1 * USB3.0, 5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</si>
  <si>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Change LED 8C to secondary display (12.1'')</t>
  </si>
  <si>
    <t>Add extra 2.5'' 500GB HDD</t>
  </si>
  <si>
    <t>ZKBio900</t>
  </si>
  <si>
    <t>ZKBio910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</si>
  <si>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 xml:space="preserve">Intel Celeron J1900 Quad-Core 2.0Ghz 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5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</si>
  <si>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ZKBio930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</si>
  <si>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>4th Gen Intel Core i3(low voltage)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2 * USB3.0, 6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</si>
  <si>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ZKBio950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</si>
  <si>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>4th Gen Intel Core i5(low voltage)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2 * USB3.0, 6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</si>
  <si>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Change LED 8C to secondary display (9.7'')</t>
  </si>
  <si>
    <t>Add 2D QR Code Scanner</t>
  </si>
  <si>
    <t>Add Fingerprint Reader</t>
  </si>
  <si>
    <t>ZKBio800</t>
  </si>
  <si>
    <t>ZKBio810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</si>
  <si>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 xml:space="preserve">Intel Celeron J1900 Quad-Core 2.0Ghz 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5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</si>
  <si>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ZKBio830</t>
  </si>
  <si>
    <r>
      <rPr>
        <rFont val="Arial"/>
        <b/>
        <color rgb="FF000000"/>
        <sz val="9.0"/>
      </rPr>
      <t xml:space="preserve">CPU: </t>
    </r>
    <r>
      <rPr>
        <rFont val="Arial"/>
        <b/>
        <color rgb="FFFF0000"/>
        <sz val="9.0"/>
      </rPr>
      <t>4th Gen Intel Core i3(low voltage)</t>
    </r>
    <r>
      <rPr>
        <rFont val="Arial"/>
        <b/>
        <color rgb="FF000000"/>
        <sz val="9.0"/>
      </rPr>
      <t xml:space="preserve">
Display: </t>
    </r>
    <r>
      <rPr>
        <rFont val="Arial"/>
        <b val="0"/>
        <color rgb="FF000000"/>
        <sz val="9.0"/>
      </rPr>
      <t>15'' TFT LCD, 1024*768 resolution</t>
    </r>
    <r>
      <rPr>
        <rFont val="Arial"/>
        <b/>
        <color rgb="FF000000"/>
        <sz val="9.0"/>
      </rPr>
      <t xml:space="preserve">
Touch Pannel: </t>
    </r>
    <r>
      <rPr>
        <rFont val="Arial"/>
        <b val="0"/>
        <color rgb="FF000000"/>
        <sz val="9.0"/>
      </rPr>
      <t>Projected Capacitive Touch Panel</t>
    </r>
    <r>
      <rPr>
        <rFont val="Arial"/>
        <b/>
        <color rgb="FF000000"/>
        <sz val="9.0"/>
      </rPr>
      <t xml:space="preserve">
Customer Display: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rgb="FF000000"/>
        <sz val="9.0"/>
      </rPr>
      <t xml:space="preserve">
USB Port: </t>
    </r>
    <r>
      <rPr>
        <rFont val="Arial"/>
        <b/>
        <color rgb="FFFF0000"/>
        <sz val="9.0"/>
      </rPr>
      <t xml:space="preserve">2 * USB3.0, 6 * USB2.0
</t>
    </r>
    <r>
      <rPr>
        <rFont val="Arial"/>
        <b/>
        <color rgb="FF000000"/>
        <sz val="9.0"/>
      </rPr>
      <t xml:space="preserve">OS Support: </t>
    </r>
    <r>
      <rPr>
        <rFont val="Arial"/>
        <b val="0"/>
        <color rgb="FF000000"/>
        <sz val="9.0"/>
      </rPr>
      <t>Windows 7 or higher, Linux</t>
    </r>
    <r>
      <rPr>
        <rFont val="Arial"/>
        <b/>
        <color rgb="FF000000"/>
        <sz val="9.0"/>
      </rPr>
      <t xml:space="preserve">
Power Supply: </t>
    </r>
    <r>
      <rPr>
        <rFont val="Arial"/>
        <b val="0"/>
        <color rgb="FF000000"/>
        <sz val="9.0"/>
      </rPr>
      <t>DC 12V 5A</t>
    </r>
  </si>
  <si>
    <t>ZKBio850</t>
  </si>
  <si>
    <r>
      <rPr>
        <rFont val="Arial"/>
        <b/>
        <color theme="1"/>
        <sz val="9.0"/>
      </rPr>
      <t xml:space="preserve">CPU: </t>
    </r>
    <r>
      <rPr>
        <rFont val="Arial"/>
        <b/>
        <color rgb="FFFF0000"/>
        <sz val="9.0"/>
      </rPr>
      <t>4th Gen Intel Core i5(low voltage)</t>
    </r>
    <r>
      <rPr>
        <rFont val="Arial"/>
        <b/>
        <color theme="1"/>
        <sz val="9.0"/>
      </rPr>
      <t xml:space="preserve">
Display: </t>
    </r>
    <r>
      <rPr>
        <rFont val="Arial"/>
        <b val="0"/>
        <color theme="1"/>
        <sz val="9.0"/>
      </rPr>
      <t>15'' TFT LCD, 1024*768 resolution</t>
    </r>
    <r>
      <rPr>
        <rFont val="Arial"/>
        <b/>
        <color theme="1"/>
        <sz val="9.0"/>
      </rPr>
      <t xml:space="preserve">
Touch Pannel: </t>
    </r>
    <r>
      <rPr>
        <rFont val="Arial"/>
        <b val="0"/>
        <color theme="1"/>
        <sz val="9.0"/>
      </rPr>
      <t>Projected Capacitive Touch Panel</t>
    </r>
    <r>
      <rPr>
        <rFont val="Arial"/>
        <b/>
        <color theme="1"/>
        <sz val="9.0"/>
      </rPr>
      <t xml:space="preserve">
Customer Display: </t>
    </r>
    <r>
      <rPr>
        <rFont val="Arial"/>
        <b val="0"/>
        <color theme="1"/>
        <sz val="9.0"/>
      </rPr>
      <t>LED 8C High-difinition Digital Tube</t>
    </r>
    <r>
      <rPr>
        <rFont val="Arial"/>
        <b/>
        <color theme="1"/>
        <sz val="9.0"/>
      </rPr>
      <t xml:space="preserve">
USB Port: </t>
    </r>
    <r>
      <rPr>
        <rFont val="Arial"/>
        <b/>
        <color rgb="FFFF0000"/>
        <sz val="9.0"/>
      </rPr>
      <t xml:space="preserve">2 * USB3.0, 6 * USB2.0
</t>
    </r>
    <r>
      <rPr>
        <rFont val="Arial"/>
        <b/>
        <color theme="1"/>
        <sz val="9.0"/>
      </rPr>
      <t xml:space="preserve">OS Support: </t>
    </r>
    <r>
      <rPr>
        <rFont val="Arial"/>
        <b val="0"/>
        <color theme="1"/>
        <sz val="9.0"/>
      </rPr>
      <t>Windows 7 or higher, Linux</t>
    </r>
    <r>
      <rPr>
        <rFont val="Arial"/>
        <b/>
        <color theme="1"/>
        <sz val="9.0"/>
      </rPr>
      <t xml:space="preserve">
Power Supply: </t>
    </r>
    <r>
      <rPr>
        <rFont val="Arial"/>
        <b val="0"/>
        <color theme="1"/>
        <sz val="9.0"/>
      </rPr>
      <t>DC 12V 5A</t>
    </r>
  </si>
  <si>
    <t>Add secondary display (9.7'')</t>
  </si>
  <si>
    <t>Add secondary display (15'')</t>
  </si>
  <si>
    <t>Android Tablet</t>
  </si>
  <si>
    <t>ZKAIO1500</t>
  </si>
  <si>
    <r>
      <rPr>
        <rFont val="Arial"/>
        <b/>
        <color rgb="FF000000"/>
        <sz val="10.0"/>
      </rPr>
      <t>Android Tablet</t>
    </r>
    <r>
      <rPr>
        <rFont val="Arial"/>
        <b val="0"/>
        <color rgb="FF000000"/>
        <sz val="10.0"/>
      </rPr>
      <t xml:space="preserve">
</t>
    </r>
    <r>
      <rPr>
        <rFont val="Arial"/>
        <b/>
        <color rgb="FF000000"/>
        <sz val="10.0"/>
      </rPr>
      <t>Display</t>
    </r>
    <r>
      <rPr>
        <rFont val="Arial"/>
        <b val="0"/>
        <color rgb="FF000000"/>
        <sz val="10.0"/>
      </rPr>
      <t xml:space="preserve">: 10.1 inch IPS screen, 1280*800 resolution           
</t>
    </r>
    <r>
      <rPr>
        <rFont val="Arial"/>
        <b/>
        <color rgb="FF000000"/>
        <sz val="10.0"/>
      </rPr>
      <t>Touch Pannel</t>
    </r>
    <r>
      <rPr>
        <rFont val="Arial"/>
        <b val="0"/>
        <color rgb="FF000000"/>
        <sz val="10.0"/>
      </rPr>
      <t xml:space="preserve">: Projected Capacitive
</t>
    </r>
    <r>
      <rPr>
        <rFont val="Arial"/>
        <b/>
        <color rgb="FF000000"/>
        <sz val="10.0"/>
      </rPr>
      <t>OS</t>
    </r>
    <r>
      <rPr>
        <rFont val="Arial"/>
        <b val="0"/>
        <color rgb="FF000000"/>
        <sz val="10.0"/>
      </rPr>
      <t xml:space="preserve">: Android 6.0
</t>
    </r>
    <r>
      <rPr>
        <rFont val="Arial"/>
        <b/>
        <color rgb="FF000000"/>
        <sz val="10.0"/>
      </rPr>
      <t>WiFi</t>
    </r>
    <r>
      <rPr>
        <rFont val="Arial"/>
        <b val="0"/>
        <color rgb="FF000000"/>
        <sz val="10.0"/>
      </rPr>
      <t xml:space="preserve">: 802.11b/g/n  
</t>
    </r>
    <r>
      <rPr>
        <rFont val="Arial"/>
        <b/>
        <color rgb="FF000000"/>
        <sz val="10.0"/>
      </rPr>
      <t xml:space="preserve">Front Camera: </t>
    </r>
    <r>
      <rPr>
        <rFont val="Arial"/>
        <b val="0"/>
        <color rgb="FF000000"/>
        <sz val="10.0"/>
      </rPr>
      <t xml:space="preserve">2 MP
</t>
    </r>
    <r>
      <rPr>
        <rFont val="Arial"/>
        <b/>
        <color rgb="FF000000"/>
        <sz val="10.0"/>
      </rPr>
      <t>Standard with metal stand</t>
    </r>
  </si>
  <si>
    <t>CPU: Allwinner A64
RAM: 2GB                                                           
ROM: 8GB</t>
  </si>
  <si>
    <t>CPU: RK3288
RAM: 2GB                                                           
ROM: 16GB</t>
  </si>
  <si>
    <t>KIOSK</t>
  </si>
  <si>
    <t>ZKSOKiosk</t>
  </si>
  <si>
    <t>ZKSOKiosk1000</t>
  </si>
  <si>
    <r>
      <rPr>
        <rFont val="Arial"/>
        <b/>
        <color rgb="FF000000"/>
        <sz val="10.0"/>
      </rPr>
      <t>All-in-one Android kiosk
CPU:</t>
    </r>
    <r>
      <rPr>
        <rFont val="Arial"/>
        <b val="0"/>
        <color rgb="FF000000"/>
        <sz val="10.0"/>
      </rPr>
      <t xml:space="preserve">RK3288 Quad Core Cortex-A17
</t>
    </r>
    <r>
      <rPr>
        <rFont val="Arial"/>
        <b/>
        <color rgb="FF000000"/>
        <sz val="10.0"/>
      </rPr>
      <t>Display:</t>
    </r>
    <r>
      <rPr>
        <rFont val="Arial"/>
        <b val="0"/>
        <color rgb="FF000000"/>
        <sz val="10.0"/>
      </rPr>
      <t xml:space="preserve"> 21.5'' TFT LCD,1920*1080 resolution</t>
    </r>
    <r>
      <rPr>
        <rFont val="Arial"/>
        <b/>
        <color rgb="FF000000"/>
        <sz val="10.0"/>
      </rPr>
      <t xml:space="preserve">
Touch Pannel: </t>
    </r>
    <r>
      <rPr>
        <rFont val="Arial"/>
        <b val="0"/>
        <color rgb="FF000000"/>
        <sz val="10.0"/>
      </rPr>
      <t>Projected Capacitive</t>
    </r>
    <r>
      <rPr>
        <rFont val="Arial"/>
        <b/>
        <color rgb="FF000000"/>
        <sz val="10.0"/>
      </rPr>
      <t xml:space="preserve">
OS: </t>
    </r>
    <r>
      <rPr>
        <rFont val="Arial"/>
        <b val="0"/>
        <color rgb="FF000000"/>
        <sz val="10.0"/>
      </rPr>
      <t>Android 7.1</t>
    </r>
    <r>
      <rPr>
        <rFont val="Arial"/>
        <b/>
        <color rgb="FF000000"/>
        <sz val="10.0"/>
      </rPr>
      <t xml:space="preserve">
Camera: </t>
    </r>
    <r>
      <rPr>
        <rFont val="Arial"/>
        <b val="0"/>
        <color rgb="FF000000"/>
        <sz val="10.0"/>
      </rPr>
      <t>5 MP</t>
    </r>
    <r>
      <rPr>
        <rFont val="Arial"/>
        <b/>
        <color rgb="FF000000"/>
        <sz val="10.0"/>
      </rPr>
      <t xml:space="preserve">
WiFi: </t>
    </r>
    <r>
      <rPr>
        <rFont val="Arial"/>
        <b val="0"/>
        <color rgb="FF000000"/>
        <sz val="10.0"/>
      </rPr>
      <t xml:space="preserve">802.11b/g/n
</t>
    </r>
    <r>
      <rPr>
        <rFont val="Arial"/>
        <b/>
        <color rgb="FF000000"/>
        <sz val="10.0"/>
      </rPr>
      <t>58mm Built-in Printer
2D QR code scanner</t>
    </r>
  </si>
  <si>
    <t>RAM: 2GB                                                           
ROM: 8GB</t>
  </si>
  <si>
    <t>RAM: 4GB                                                           
ROM: 16GB</t>
  </si>
  <si>
    <t>Add metal stand for ZKSOKisok1000</t>
  </si>
  <si>
    <t>ZKSOKiosk2000</t>
  </si>
  <si>
    <r>
      <rPr>
        <rFont val="Arial"/>
        <b/>
        <color rgb="FF000000"/>
        <sz val="10.0"/>
      </rPr>
      <t>All-in-one Android kiosk
CPU:</t>
    </r>
    <r>
      <rPr>
        <rFont val="Arial"/>
        <b val="0"/>
        <color rgb="FF000000"/>
        <sz val="10.0"/>
      </rPr>
      <t>RK3288 Quad Core Cortex-A17</t>
    </r>
    <r>
      <rPr>
        <rFont val="Arial"/>
        <b/>
        <color rgb="FF000000"/>
        <sz val="10.0"/>
      </rPr>
      <t xml:space="preserve">
Display: </t>
    </r>
    <r>
      <rPr>
        <rFont val="Arial"/>
        <b val="0"/>
        <color rgb="FF000000"/>
        <sz val="10.0"/>
      </rPr>
      <t>32'' TFT LCD,1920*1080 resolution</t>
    </r>
    <r>
      <rPr>
        <rFont val="Arial"/>
        <b/>
        <color rgb="FF000000"/>
        <sz val="10.0"/>
      </rPr>
      <t xml:space="preserve">
Touch Pannel: </t>
    </r>
    <r>
      <rPr>
        <rFont val="Arial"/>
        <b val="0"/>
        <color rgb="FF000000"/>
        <sz val="10.0"/>
      </rPr>
      <t>Projected Capacitive</t>
    </r>
    <r>
      <rPr>
        <rFont val="Arial"/>
        <b/>
        <color rgb="FF000000"/>
        <sz val="10.0"/>
      </rPr>
      <t xml:space="preserve">
OS: </t>
    </r>
    <r>
      <rPr>
        <rFont val="Arial"/>
        <b val="0"/>
        <color rgb="FF000000"/>
        <sz val="10.0"/>
      </rPr>
      <t>Android 7.1</t>
    </r>
    <r>
      <rPr>
        <rFont val="Arial"/>
        <b/>
        <color rgb="FF000000"/>
        <sz val="10.0"/>
      </rPr>
      <t xml:space="preserve">
Camera: </t>
    </r>
    <r>
      <rPr>
        <rFont val="Arial"/>
        <b val="0"/>
        <color rgb="FF000000"/>
        <sz val="10.0"/>
      </rPr>
      <t>5 MP</t>
    </r>
    <r>
      <rPr>
        <rFont val="Arial"/>
        <b/>
        <color rgb="FF000000"/>
        <sz val="10.0"/>
      </rPr>
      <t xml:space="preserve">
WiFi: </t>
    </r>
    <r>
      <rPr>
        <rFont val="Arial"/>
        <b val="0"/>
        <color rgb="FF000000"/>
        <sz val="10.0"/>
      </rPr>
      <t xml:space="preserve">802.11b/g/n
</t>
    </r>
    <r>
      <rPr>
        <rFont val="Arial"/>
        <b/>
        <color rgb="FF000000"/>
        <sz val="10.0"/>
      </rPr>
      <t>80mm Built-in Printer
2D QR code scanner</t>
    </r>
  </si>
  <si>
    <t>RAM: 4GB                                                           
ROM: 32GB</t>
  </si>
  <si>
    <t>POS</t>
  </si>
  <si>
    <t>All-in-one POS</t>
  </si>
  <si>
    <t>ZKAIO1000W</t>
  </si>
  <si>
    <r>
      <rPr>
        <rFont val="Arial"/>
        <b/>
        <color theme="1"/>
        <sz val="9.0"/>
      </rPr>
      <t xml:space="preserve">All-in-one Android POS terminal
CPU: </t>
    </r>
    <r>
      <rPr>
        <rFont val="Arial"/>
        <b val="0"/>
        <color theme="1"/>
        <sz val="9.0"/>
      </rPr>
      <t>ARM Cortex-A53</t>
    </r>
    <r>
      <rPr>
        <rFont val="Arial"/>
        <b/>
        <color theme="1"/>
        <sz val="9.0"/>
      </rPr>
      <t xml:space="preserve">
Display: </t>
    </r>
    <r>
      <rPr>
        <rFont val="Arial"/>
        <b val="0"/>
        <color theme="1"/>
        <sz val="9.0"/>
      </rPr>
      <t>11.6“ IPS, 1366*768 resolution</t>
    </r>
    <r>
      <rPr>
        <rFont val="Arial"/>
        <b/>
        <color theme="1"/>
        <sz val="9.0"/>
      </rPr>
      <t xml:space="preserve">
Touch Pannel: </t>
    </r>
    <r>
      <rPr>
        <rFont val="Arial"/>
        <b val="0"/>
        <color theme="1"/>
        <sz val="9.0"/>
      </rPr>
      <t>Projected Capacitive</t>
    </r>
    <r>
      <rPr>
        <rFont val="Arial"/>
        <b/>
        <color theme="1"/>
        <sz val="9.0"/>
      </rPr>
      <t xml:space="preserve">
OS: </t>
    </r>
    <r>
      <rPr>
        <rFont val="Arial"/>
        <b val="0"/>
        <color theme="1"/>
        <sz val="9.0"/>
      </rPr>
      <t>Android 6.0</t>
    </r>
    <r>
      <rPr>
        <rFont val="Arial"/>
        <b/>
        <color theme="1"/>
        <sz val="9.0"/>
      </rPr>
      <t xml:space="preserve">
Built-in Printer: </t>
    </r>
    <r>
      <rPr>
        <rFont val="Arial"/>
        <b val="0"/>
        <color theme="1"/>
        <sz val="9.0"/>
      </rPr>
      <t>58mm thermal receipt printer</t>
    </r>
    <r>
      <rPr>
        <rFont val="Arial"/>
        <b/>
        <color theme="1"/>
        <sz val="9.0"/>
      </rPr>
      <t xml:space="preserve">
WiFi: </t>
    </r>
    <r>
      <rPr>
        <rFont val="Arial"/>
        <b val="0"/>
        <color theme="1"/>
        <sz val="9.0"/>
      </rPr>
      <t>Support 802.11 b/g/n</t>
    </r>
  </si>
  <si>
    <t>RAM: 2G
ROM: 8G</t>
  </si>
  <si>
    <t>RAM: 2G
ROM: 16G</t>
  </si>
  <si>
    <t>Add LED 8C High-difinition Digital Tube</t>
  </si>
  <si>
    <t>Add 4.3'' 2nd Customer Display</t>
  </si>
  <si>
    <t>ZKAIO4000W</t>
  </si>
  <si>
    <t>All-in-one Android POS terminal
CPU: ARM Cortex-A17
Display: 15.6“ TN, 1366*768 resolution
Customer Display: 11.6“ TN, 1366*768 resolution
Touch Pannel: Projected Capacitive
RAM: 2G
ROM: 16G
OS: Android 7.1
Built-in Printer: 58mm thermal receipt printer
WiFi: Support 802.11 b/g/n
Without ZKTeco Logo (MOQ: 100)</t>
  </si>
  <si>
    <t>Change 58mm printer to 80mm printer</t>
  </si>
  <si>
    <t>Handheld Android POS</t>
  </si>
  <si>
    <t>ZKH300</t>
  </si>
  <si>
    <t xml:space="preserve">"5.5"" all-in-one Android  Handheld POS terminal
CPU: MTK MT6580
Display: 5.5“ IPS, 1280*720 resolution
Touch Pannel: Projected Capacitive Touch Panel
RAM: 2G
EMMC: 16G
OS: Android 9.0
Built in Printer: 58mm thermal printer
WiFi: Support 802.11b/g/n
Rear Camera: 5 Mega-pixel
Support 4G communication
Without ZKTeco Logo"        </t>
  </si>
  <si>
    <t>MACHINE</t>
  </si>
  <si>
    <t>Offline Consumption Machine</t>
  </si>
  <si>
    <t>ProMerc-10</t>
  </si>
  <si>
    <t>Display Screen: 3 inch TFT
Сard Capacity: 10k
Record Capacity: 100K
Communication Method: TCP/IP, U-disk
Verification: Mifare Card
Power: 12V-1.5A
Features:
1. Report the loss, unlock, and change the password directly on the consumer machine..
2. The product integrates consumption, cashier and subsidy functions, and customers can switch by themselves.</t>
  </si>
  <si>
    <t>ProMerc-20</t>
  </si>
  <si>
    <t xml:space="preserve">Add Wifi for offline consumption machina			</t>
  </si>
  <si>
    <t>Online Consumption Machine</t>
  </si>
  <si>
    <t>ProMerc-100</t>
  </si>
  <si>
    <t>11.6'' Android Online Consumption Machine
CPU: RK3288
Main Display: 11.6'' TFT LCD, 1366*768 resolution
Second Customer Display: 11.6'' TFT LCD, 1366*768 resolution
Touch Pannel: Projected Capacitive
RAM: 2G
EMMC: 8G
OS: Android 6.0
WiFi: Support 802.11 b/g/n
Rear Camera: 2 Mega-pixels
Support ID/MF card</t>
  </si>
  <si>
    <t>POS PERIPHERAL</t>
  </si>
  <si>
    <t>CASH DRAWER</t>
  </si>
  <si>
    <t>ZKC0408</t>
  </si>
  <si>
    <r>
      <rPr>
        <rFont val="等线"/>
        <b/>
        <color theme="1"/>
        <sz val="11.0"/>
      </rPr>
      <t xml:space="preserve">Casing: </t>
    </r>
    <r>
      <rPr>
        <rFont val="等线"/>
        <b val="0"/>
        <color theme="1"/>
        <sz val="11.0"/>
      </rPr>
      <t>Steel construction with cold-pressed front</t>
    </r>
    <r>
      <rPr>
        <rFont val="等线"/>
        <b/>
        <color theme="1"/>
        <sz val="11.0"/>
      </rPr>
      <t xml:space="preserve">
Lock: </t>
    </r>
    <r>
      <rPr>
        <rFont val="等线"/>
        <b val="0"/>
        <color theme="1"/>
        <sz val="11.0"/>
      </rPr>
      <t>3 positions key lock</t>
    </r>
    <r>
      <rPr>
        <rFont val="等线"/>
        <b/>
        <color theme="1"/>
        <sz val="11.0"/>
      </rPr>
      <t xml:space="preserve">
Cash Tray: </t>
    </r>
    <r>
      <rPr>
        <rFont val="等线"/>
        <b/>
        <color rgb="FFFF0000"/>
        <sz val="11.0"/>
      </rPr>
      <t>4B8C</t>
    </r>
    <r>
      <rPr>
        <rFont val="等线"/>
        <b val="0"/>
        <color theme="1"/>
        <sz val="11.0"/>
      </rPr>
      <t xml:space="preserve">(4 bills,8 coins) with adjustable dividers </t>
    </r>
    <r>
      <rPr>
        <rFont val="等线"/>
        <b/>
        <color theme="1"/>
        <sz val="11.0"/>
      </rPr>
      <t xml:space="preserve">
Dimensions: </t>
    </r>
    <r>
      <rPr>
        <rFont val="等线"/>
        <b val="0"/>
        <color theme="1"/>
        <sz val="11.0"/>
      </rPr>
      <t>410W*415D*100H(mm)</t>
    </r>
    <r>
      <rPr>
        <rFont val="等线"/>
        <b/>
        <color theme="1"/>
        <sz val="11.0"/>
      </rPr>
      <t xml:space="preserve">
Port: </t>
    </r>
    <r>
      <rPr>
        <rFont val="等线"/>
        <b/>
        <color rgb="FFFF0000"/>
        <sz val="11.0"/>
      </rPr>
      <t xml:space="preserve">RJ11 12V/24V </t>
    </r>
    <r>
      <rPr>
        <rFont val="等线"/>
        <b/>
        <color theme="1"/>
        <sz val="11.0"/>
      </rPr>
      <t xml:space="preserve">
Weight: </t>
    </r>
    <r>
      <rPr>
        <rFont val="等线"/>
        <b val="0"/>
        <color theme="1"/>
        <sz val="11.0"/>
      </rPr>
      <t>Gross 6.3kg Net 5.6kg</t>
    </r>
  </si>
  <si>
    <t>ZKC0508</t>
  </si>
  <si>
    <r>
      <rPr>
        <rFont val="等线"/>
        <b/>
        <color theme="1"/>
        <sz val="11.0"/>
      </rPr>
      <t xml:space="preserve">Casing: </t>
    </r>
    <r>
      <rPr>
        <rFont val="等线"/>
        <b val="0"/>
        <color theme="1"/>
        <sz val="11.0"/>
      </rPr>
      <t>Steel construction with cold-pressed front</t>
    </r>
    <r>
      <rPr>
        <rFont val="等线"/>
        <b/>
        <color theme="1"/>
        <sz val="11.0"/>
      </rPr>
      <t xml:space="preserve">
Lock: </t>
    </r>
    <r>
      <rPr>
        <rFont val="等线"/>
        <b val="0"/>
        <color theme="1"/>
        <sz val="11.0"/>
      </rPr>
      <t>3 positions key lock</t>
    </r>
    <r>
      <rPr>
        <rFont val="等线"/>
        <b/>
        <color theme="1"/>
        <sz val="11.0"/>
      </rPr>
      <t xml:space="preserve">
Cash Tray: </t>
    </r>
    <r>
      <rPr>
        <rFont val="等线"/>
        <b/>
        <color rgb="FFFF0000"/>
        <sz val="11.0"/>
      </rPr>
      <t>5B8C</t>
    </r>
    <r>
      <rPr>
        <rFont val="等线"/>
        <b val="0"/>
        <color theme="1"/>
        <sz val="11.0"/>
      </rPr>
      <t xml:space="preserve">(5 bills,8 coins) with adjustable dividers </t>
    </r>
    <r>
      <rPr>
        <rFont val="等线"/>
        <b/>
        <color theme="1"/>
        <sz val="11.0"/>
      </rPr>
      <t xml:space="preserve">
Dimensions: </t>
    </r>
    <r>
      <rPr>
        <rFont val="等线"/>
        <b val="0"/>
        <color theme="1"/>
        <sz val="11.0"/>
      </rPr>
      <t xml:space="preserve">410W*415D*100H(mm) </t>
    </r>
    <r>
      <rPr>
        <rFont val="等线"/>
        <b/>
        <color theme="1"/>
        <sz val="11.0"/>
      </rPr>
      <t xml:space="preserve">
Port: </t>
    </r>
    <r>
      <rPr>
        <rFont val="等线"/>
        <b/>
        <color rgb="FFFF0000"/>
        <sz val="11.0"/>
      </rPr>
      <t>RJ11 12V/24V</t>
    </r>
    <r>
      <rPr>
        <rFont val="等线"/>
        <b/>
        <color theme="1"/>
        <sz val="11.0"/>
      </rPr>
      <t xml:space="preserve">
Weight: </t>
    </r>
    <r>
      <rPr>
        <rFont val="等线"/>
        <b val="0"/>
        <color theme="1"/>
        <sz val="11.0"/>
      </rPr>
      <t>Gross 6.4kg Net 5.8kg</t>
    </r>
  </si>
  <si>
    <t>ZKC0704</t>
  </si>
  <si>
    <r>
      <rPr>
        <rFont val="等线"/>
        <b/>
        <color rgb="FF000000"/>
        <sz val="11.0"/>
      </rPr>
      <t xml:space="preserve">Casing: </t>
    </r>
    <r>
      <rPr>
        <rFont val="等线"/>
        <b val="0"/>
        <color rgb="FF000000"/>
        <sz val="11.0"/>
      </rPr>
      <t>Steel construction with cold-pressed front</t>
    </r>
    <r>
      <rPr>
        <rFont val="等线"/>
        <b/>
        <color rgb="FF000000"/>
        <sz val="11.0"/>
      </rPr>
      <t xml:space="preserve">
Lock: </t>
    </r>
    <r>
      <rPr>
        <rFont val="等线"/>
        <b val="0"/>
        <color rgb="FF000000"/>
        <sz val="11.0"/>
      </rPr>
      <t>3 positions key lock</t>
    </r>
    <r>
      <rPr>
        <rFont val="等线"/>
        <b/>
        <color rgb="FF000000"/>
        <sz val="11.0"/>
      </rPr>
      <t xml:space="preserve">
Cash Tray: </t>
    </r>
    <r>
      <rPr>
        <rFont val="等线"/>
        <b/>
        <color rgb="FFFF0000"/>
        <sz val="11.0"/>
      </rPr>
      <t>7</t>
    </r>
    <r>
      <rPr>
        <rFont val="等线"/>
        <b/>
        <color rgb="FFDD0806"/>
        <sz val="11.0"/>
      </rPr>
      <t>B4C</t>
    </r>
    <r>
      <rPr>
        <rFont val="等线"/>
        <b val="0"/>
        <color rgb="FF000000"/>
        <sz val="11.0"/>
      </rPr>
      <t>(7 bills,4 coins) with adjustable dividers</t>
    </r>
    <r>
      <rPr>
        <rFont val="等线"/>
        <b/>
        <color rgb="FF000000"/>
        <sz val="11.0"/>
      </rPr>
      <t xml:space="preserve">
Dimensions: </t>
    </r>
    <r>
      <rPr>
        <rFont val="等线"/>
        <b val="0"/>
        <color rgb="FF000000"/>
        <sz val="11.0"/>
      </rPr>
      <t xml:space="preserve">405W*420D*95H(mm) </t>
    </r>
    <r>
      <rPr>
        <rFont val="等线"/>
        <b/>
        <color rgb="FF000000"/>
        <sz val="11.0"/>
      </rPr>
      <t xml:space="preserve">
Port: </t>
    </r>
    <r>
      <rPr>
        <rFont val="等线"/>
        <b/>
        <color rgb="FFFF0000"/>
        <sz val="11.0"/>
      </rPr>
      <t xml:space="preserve">RJ11 12/24V </t>
    </r>
    <r>
      <rPr>
        <rFont val="等线"/>
        <b/>
        <color rgb="FF000000"/>
        <sz val="11.0"/>
      </rPr>
      <t xml:space="preserve">
Weight: </t>
    </r>
    <r>
      <rPr>
        <rFont val="等线"/>
        <b val="0"/>
        <color rgb="FF000000"/>
        <sz val="11.0"/>
      </rPr>
      <t>Net 5.6kg</t>
    </r>
  </si>
  <si>
    <t>THERMAL PRINTER</t>
  </si>
  <si>
    <t>ZKP5803</t>
  </si>
  <si>
    <r>
      <rPr>
        <rFont val="Arial"/>
        <b/>
        <color theme="1"/>
        <sz val="11.0"/>
      </rPr>
      <t xml:space="preserve">58mm Themal Receipt Printer
Print speed: </t>
    </r>
    <r>
      <rPr>
        <rFont val="Arial"/>
        <b/>
        <color rgb="FFFF0000"/>
        <sz val="11.0"/>
      </rPr>
      <t>90mm/s</t>
    </r>
    <r>
      <rPr>
        <rFont val="Arial"/>
        <b/>
        <color theme="1"/>
        <sz val="11.0"/>
      </rPr>
      <t xml:space="preserve">
Output: </t>
    </r>
    <r>
      <rPr>
        <rFont val="Arial"/>
        <b val="0"/>
        <color theme="1"/>
        <sz val="11.0"/>
      </rPr>
      <t>DC 12V/3A</t>
    </r>
    <r>
      <rPr>
        <rFont val="Arial"/>
        <b/>
        <color theme="1"/>
        <sz val="11.0"/>
      </rPr>
      <t xml:space="preserve">
Interface: </t>
    </r>
    <r>
      <rPr>
        <rFont val="Arial"/>
        <b/>
        <color rgb="FFFF0000"/>
        <sz val="11.0"/>
      </rPr>
      <t>USB (Standard)</t>
    </r>
    <r>
      <rPr>
        <rFont val="Arial"/>
        <b/>
        <color rgb="FFDD0806"/>
        <sz val="11.0"/>
      </rPr>
      <t xml:space="preserve">
</t>
    </r>
    <r>
      <rPr>
        <rFont val="Arial"/>
        <b/>
        <color theme="1"/>
        <sz val="11.0"/>
      </rPr>
      <t xml:space="preserve">Dimension: </t>
    </r>
    <r>
      <rPr>
        <rFont val="Arial"/>
        <b val="0"/>
        <color theme="1"/>
        <sz val="11.0"/>
      </rPr>
      <t>120*105*105mm</t>
    </r>
  </si>
  <si>
    <t>MOQ:1000pcs</t>
  </si>
  <si>
    <t>ZKP5801</t>
  </si>
  <si>
    <r>
      <rPr>
        <rFont val="等线"/>
        <b/>
        <color rgb="FF000000"/>
        <sz val="11.0"/>
      </rPr>
      <t xml:space="preserve">58mm Themal Receipt Printer
Print speed: </t>
    </r>
    <r>
      <rPr>
        <rFont val="等线"/>
        <b/>
        <color rgb="FFFF0000"/>
        <sz val="11.0"/>
      </rPr>
      <t>90mm/s</t>
    </r>
    <r>
      <rPr>
        <rFont val="等线"/>
        <b/>
        <color rgb="FF000000"/>
        <sz val="11.0"/>
      </rPr>
      <t xml:space="preserve">
TPH: </t>
    </r>
    <r>
      <rPr>
        <rFont val="等线"/>
        <b val="0"/>
        <color rgb="FF000000"/>
        <sz val="11.0"/>
      </rPr>
      <t>100Km</t>
    </r>
    <r>
      <rPr>
        <rFont val="等线"/>
        <b/>
        <color rgb="FF000000"/>
        <sz val="11.0"/>
      </rPr>
      <t xml:space="preserve">
Output: </t>
    </r>
    <r>
      <rPr>
        <rFont val="等线"/>
        <b val="0"/>
        <color rgb="FF000000"/>
        <sz val="11.0"/>
      </rPr>
      <t>DC 12V/3A</t>
    </r>
    <r>
      <rPr>
        <rFont val="等线"/>
        <b/>
        <color rgb="FF000000"/>
        <sz val="11.0"/>
      </rPr>
      <t xml:space="preserve">
</t>
    </r>
    <r>
      <rPr>
        <rFont val="等线"/>
        <b/>
        <color theme="1"/>
        <sz val="11.0"/>
      </rPr>
      <t xml:space="preserve">Interface: </t>
    </r>
    <r>
      <rPr>
        <rFont val="等线"/>
        <b/>
        <color rgb="FFFF0000"/>
        <sz val="11.0"/>
      </rPr>
      <t>USB (Standard)</t>
    </r>
    <r>
      <rPr>
        <rFont val="等线"/>
        <b/>
        <color rgb="FFDD0806"/>
        <sz val="11.0"/>
      </rPr>
      <t xml:space="preserve">
</t>
    </r>
    <r>
      <rPr>
        <rFont val="等线"/>
        <b/>
        <color rgb="FF000000"/>
        <sz val="11.0"/>
      </rPr>
      <t xml:space="preserve">Dimension: </t>
    </r>
    <r>
      <rPr>
        <rFont val="等线"/>
        <b val="0"/>
        <color rgb="FF000000"/>
        <sz val="11.0"/>
      </rPr>
      <t>215*110*136mm</t>
    </r>
  </si>
  <si>
    <t>ZKP5808</t>
  </si>
  <si>
    <r>
      <rPr>
        <rFont val="等线"/>
        <b/>
        <color rgb="FF000000"/>
        <sz val="11.0"/>
      </rPr>
      <t xml:space="preserve">58mm Portable Themal Receipt Printer 
Print speed: </t>
    </r>
    <r>
      <rPr>
        <rFont val="等线"/>
        <b/>
        <color rgb="FFFF0000"/>
        <sz val="11.0"/>
      </rPr>
      <t>90mm/s</t>
    </r>
    <r>
      <rPr>
        <rFont val="等线"/>
        <b/>
        <color rgb="FF000000"/>
        <sz val="11.0"/>
      </rPr>
      <t xml:space="preserve">
TPH: </t>
    </r>
    <r>
      <rPr>
        <rFont val="等线"/>
        <b val="0"/>
        <color rgb="FF000000"/>
        <sz val="11.0"/>
      </rPr>
      <t>100Km</t>
    </r>
    <r>
      <rPr>
        <rFont val="等线"/>
        <b/>
        <color rgb="FF000000"/>
        <sz val="11.0"/>
      </rPr>
      <t xml:space="preserve">
Output: </t>
    </r>
    <r>
      <rPr>
        <rFont val="等线"/>
        <b val="0"/>
        <color rgb="FF000000"/>
        <sz val="11.0"/>
      </rPr>
      <t>DC 9V/1.5A</t>
    </r>
    <r>
      <rPr>
        <rFont val="等线"/>
        <b/>
        <color rgb="FF000000"/>
        <sz val="11.0"/>
      </rPr>
      <t xml:space="preserve"> 
Built-in battery: </t>
    </r>
    <r>
      <rPr>
        <rFont val="等线"/>
        <b val="0"/>
        <color rgb="FF000000"/>
        <sz val="11.0"/>
      </rPr>
      <t>7.4VDC/1500mAh</t>
    </r>
    <r>
      <rPr>
        <rFont val="等线"/>
        <b/>
        <color rgb="FF000000"/>
        <sz val="11.0"/>
      </rPr>
      <t xml:space="preserve">
</t>
    </r>
    <r>
      <rPr>
        <rFont val="等线"/>
        <b/>
        <color theme="1"/>
        <sz val="11.0"/>
      </rPr>
      <t>Interface:</t>
    </r>
    <r>
      <rPr>
        <rFont val="等线"/>
        <b/>
        <color rgb="FFDD0806"/>
        <sz val="11.0"/>
      </rPr>
      <t xml:space="preserve"> </t>
    </r>
    <r>
      <rPr>
        <rFont val="等线"/>
        <b/>
        <color rgb="FFFF0000"/>
        <sz val="11.0"/>
      </rPr>
      <t>USB
Support Bluetooth 4.0</t>
    </r>
  </si>
  <si>
    <t>ZKP8001</t>
  </si>
  <si>
    <r>
      <rPr>
        <rFont val="等线"/>
        <b/>
        <color rgb="FF000000"/>
        <sz val="11.0"/>
      </rPr>
      <t xml:space="preserve">80mm Themal Receipt Printer with auto-cutter
Print speed: </t>
    </r>
    <r>
      <rPr>
        <rFont val="等线"/>
        <b/>
        <color rgb="FFFF0000"/>
        <sz val="11.0"/>
      </rPr>
      <t>300mm/s</t>
    </r>
    <r>
      <rPr>
        <rFont val="等线"/>
        <b/>
        <color rgb="FF000000"/>
        <sz val="11.0"/>
      </rPr>
      <t xml:space="preserve">
TPH: </t>
    </r>
    <r>
      <rPr>
        <rFont val="等线"/>
        <b val="0"/>
        <color rgb="FF000000"/>
        <sz val="11.0"/>
      </rPr>
      <t>100Km</t>
    </r>
    <r>
      <rPr>
        <rFont val="等线"/>
        <b/>
        <color rgb="FF000000"/>
        <sz val="11.0"/>
      </rPr>
      <t xml:space="preserve">
Output:</t>
    </r>
    <r>
      <rPr>
        <rFont val="等线"/>
        <b val="0"/>
        <color rgb="FF000000"/>
        <sz val="11.0"/>
      </rPr>
      <t xml:space="preserve"> DC 24V/2.5A</t>
    </r>
    <r>
      <rPr>
        <rFont val="等线"/>
        <b/>
        <color rgb="FF000000"/>
        <sz val="11.0"/>
      </rPr>
      <t xml:space="preserve">
Interface: </t>
    </r>
    <r>
      <rPr>
        <rFont val="等线"/>
        <b/>
        <color rgb="FFFF0000"/>
        <sz val="11.0"/>
      </rPr>
      <t>USB+RS232+LAN</t>
    </r>
    <r>
      <rPr>
        <rFont val="等线"/>
        <b/>
        <color rgb="FF000000"/>
        <sz val="11.0"/>
      </rPr>
      <t xml:space="preserve">
Dimension: </t>
    </r>
    <r>
      <rPr>
        <rFont val="等线"/>
        <b val="0"/>
        <color rgb="FF000000"/>
        <sz val="11.0"/>
      </rPr>
      <t>190*145*145mm</t>
    </r>
  </si>
  <si>
    <t>ZKP8003</t>
  </si>
  <si>
    <r>
      <rPr>
        <rFont val="等线"/>
        <b/>
        <color rgb="FF000000"/>
        <sz val="11.0"/>
      </rPr>
      <t xml:space="preserve">80mm Portable Themal Receipt Printer
Print speed: </t>
    </r>
    <r>
      <rPr>
        <rFont val="等线"/>
        <b/>
        <color rgb="FFFF0000"/>
        <sz val="11.0"/>
      </rPr>
      <t>90mm/s</t>
    </r>
    <r>
      <rPr>
        <rFont val="等线"/>
        <b/>
        <color rgb="FF000000"/>
        <sz val="11.0"/>
      </rPr>
      <t xml:space="preserve">
TPH: </t>
    </r>
    <r>
      <rPr>
        <rFont val="等线"/>
        <b val="0"/>
        <color rgb="FF000000"/>
        <sz val="11.0"/>
      </rPr>
      <t>100Km</t>
    </r>
    <r>
      <rPr>
        <rFont val="等线"/>
        <b/>
        <color rgb="FF000000"/>
        <sz val="11.0"/>
      </rPr>
      <t xml:space="preserve">
Output: </t>
    </r>
    <r>
      <rPr>
        <rFont val="等线"/>
        <b val="0"/>
        <color rgb="FF000000"/>
        <sz val="11.0"/>
      </rPr>
      <t xml:space="preserve">DC 9V/1.5A </t>
    </r>
    <r>
      <rPr>
        <rFont val="等线"/>
        <b/>
        <color rgb="FF000000"/>
        <sz val="11.0"/>
      </rPr>
      <t xml:space="preserve">
Built-in battery: </t>
    </r>
    <r>
      <rPr>
        <rFont val="等线"/>
        <b val="0"/>
        <color rgb="FF000000"/>
        <sz val="11.0"/>
      </rPr>
      <t>7.4VDC/2000mAh</t>
    </r>
    <r>
      <rPr>
        <rFont val="等线"/>
        <b/>
        <color rgb="FF000000"/>
        <sz val="11.0"/>
      </rPr>
      <t xml:space="preserve">
</t>
    </r>
    <r>
      <rPr>
        <rFont val="等线"/>
        <b/>
        <color theme="1"/>
        <sz val="11.0"/>
      </rPr>
      <t xml:space="preserve">Interface: </t>
    </r>
    <r>
      <rPr>
        <rFont val="等线"/>
        <b/>
        <color rgb="FFFF0000"/>
        <sz val="11.0"/>
      </rPr>
      <t>USB+RS232(USB cable is standard)
Support Bluetooth 4.0</t>
    </r>
  </si>
  <si>
    <t>ZKP8005</t>
  </si>
  <si>
    <r>
      <rPr>
        <rFont val="等线"/>
        <b/>
        <color rgb="FF000000"/>
        <sz val="11.0"/>
      </rPr>
      <t xml:space="preserve">80mm Themal Receipt Printer with auto-cutter
Print speed: </t>
    </r>
    <r>
      <rPr>
        <rFont val="等线"/>
        <b/>
        <color rgb="FFFF0000"/>
        <sz val="11.0"/>
      </rPr>
      <t xml:space="preserve">230mm/s </t>
    </r>
    <r>
      <rPr>
        <rFont val="等线"/>
        <b/>
        <color rgb="FF000000"/>
        <sz val="11.0"/>
      </rPr>
      <t xml:space="preserve">
TPH:</t>
    </r>
    <r>
      <rPr>
        <rFont val="等线"/>
        <b val="0"/>
        <color rgb="FF000000"/>
        <sz val="11.0"/>
      </rPr>
      <t xml:space="preserve"> 100Km</t>
    </r>
    <r>
      <rPr>
        <rFont val="等线"/>
        <b/>
        <color rgb="FF000000"/>
        <sz val="11.0"/>
      </rPr>
      <t xml:space="preserve">
Output: </t>
    </r>
    <r>
      <rPr>
        <rFont val="等线"/>
        <b val="0"/>
        <color rgb="FF000000"/>
        <sz val="11.0"/>
      </rPr>
      <t>DC 24V/2.5A</t>
    </r>
    <r>
      <rPr>
        <rFont val="等线"/>
        <b/>
        <color rgb="FF000000"/>
        <sz val="11.0"/>
      </rPr>
      <t xml:space="preserve">
Interface: </t>
    </r>
    <r>
      <rPr>
        <rFont val="等线"/>
        <b/>
        <color rgb="FFFF0000"/>
        <sz val="11.0"/>
      </rPr>
      <t>USB+LAN</t>
    </r>
    <r>
      <rPr>
        <rFont val="等线"/>
        <b/>
        <color rgb="FF000000"/>
        <sz val="11.0"/>
      </rPr>
      <t xml:space="preserve">
Dimension: </t>
    </r>
    <r>
      <rPr>
        <rFont val="等线"/>
        <b val="0"/>
        <color rgb="FF000000"/>
        <sz val="11.0"/>
      </rPr>
      <t>192*145*133mm</t>
    </r>
  </si>
  <si>
    <t>MOQ:300pcs</t>
  </si>
  <si>
    <t>ZKP8006</t>
  </si>
  <si>
    <r>
      <rPr>
        <rFont val="等线"/>
        <b/>
        <color rgb="FF000000"/>
        <sz val="11.0"/>
      </rPr>
      <t xml:space="preserve">110mm Thermal Label Printer
Print speed: </t>
    </r>
    <r>
      <rPr>
        <rFont val="等线"/>
        <b/>
        <color rgb="FFFF0000"/>
        <sz val="11.0"/>
      </rPr>
      <t>160mm/s</t>
    </r>
    <r>
      <rPr>
        <rFont val="等线"/>
        <b/>
        <color rgb="FF000000"/>
        <sz val="11.0"/>
      </rPr>
      <t xml:space="preserve">
Print Width: </t>
    </r>
    <r>
      <rPr>
        <rFont val="等线"/>
        <b val="0"/>
        <color rgb="FF000000"/>
        <sz val="11.0"/>
      </rPr>
      <t>100mm</t>
    </r>
    <r>
      <rPr>
        <rFont val="等线"/>
        <b/>
        <color rgb="FF000000"/>
        <sz val="11.0"/>
      </rPr>
      <t xml:space="preserve">
Output: </t>
    </r>
    <r>
      <rPr>
        <rFont val="等线"/>
        <b val="0"/>
        <color rgb="FF000000"/>
        <sz val="11.0"/>
      </rPr>
      <t>DC 24V/2.5A</t>
    </r>
    <r>
      <rPr>
        <rFont val="等线"/>
        <b/>
        <color rgb="FF000000"/>
        <sz val="11.0"/>
      </rPr>
      <t xml:space="preserve">
Interface: </t>
    </r>
    <r>
      <rPr>
        <rFont val="等线"/>
        <b/>
        <color rgb="FFFF0000"/>
        <sz val="11.0"/>
      </rPr>
      <t>USB</t>
    </r>
    <r>
      <rPr>
        <rFont val="等线"/>
        <b/>
        <color rgb="FF000000"/>
        <sz val="11.0"/>
      </rPr>
      <t xml:space="preserve">
Dimension: </t>
    </r>
    <r>
      <rPr>
        <rFont val="等线"/>
        <b val="0"/>
        <color rgb="FF000000"/>
        <sz val="11.0"/>
      </rPr>
      <t>180*115*107mm</t>
    </r>
    <r>
      <rPr>
        <rFont val="等线"/>
        <b/>
        <color rgb="FF000000"/>
        <sz val="11.0"/>
      </rPr>
      <t xml:space="preserve">
</t>
    </r>
    <r>
      <rPr>
        <rFont val="等线"/>
        <b/>
        <color rgb="FFFF0000"/>
        <sz val="11.0"/>
      </rPr>
      <t>(no cutter)</t>
    </r>
  </si>
  <si>
    <t>ZKP8008</t>
  </si>
  <si>
    <r>
      <rPr>
        <rFont val="等线"/>
        <b/>
        <color rgb="FF000000"/>
        <sz val="11.0"/>
      </rPr>
      <t xml:space="preserve">80mm Themal Receipt Printer with auto-cutter
Print speed: </t>
    </r>
    <r>
      <rPr>
        <rFont val="等线"/>
        <b/>
        <color rgb="FFFF0000"/>
        <sz val="11.0"/>
      </rPr>
      <t>300mm/s</t>
    </r>
    <r>
      <rPr>
        <rFont val="等线"/>
        <b/>
        <color rgb="FF000000"/>
        <sz val="11.0"/>
      </rPr>
      <t xml:space="preserve">
TPH: </t>
    </r>
    <r>
      <rPr>
        <rFont val="等线"/>
        <b val="0"/>
        <color rgb="FF000000"/>
        <sz val="11.0"/>
      </rPr>
      <t>100Km</t>
    </r>
    <r>
      <rPr>
        <rFont val="等线"/>
        <b/>
        <color rgb="FF000000"/>
        <sz val="11.0"/>
      </rPr>
      <t xml:space="preserve">
Output: </t>
    </r>
    <r>
      <rPr>
        <rFont val="等线"/>
        <b val="0"/>
        <color rgb="FF000000"/>
        <sz val="11.0"/>
      </rPr>
      <t>DC 24V/2.5A</t>
    </r>
    <r>
      <rPr>
        <rFont val="等线"/>
        <b/>
        <color rgb="FF000000"/>
        <sz val="11.0"/>
      </rPr>
      <t xml:space="preserve">
Interface: </t>
    </r>
    <r>
      <rPr>
        <rFont val="等线"/>
        <b/>
        <color rgb="FFFF0000"/>
        <sz val="11.0"/>
      </rPr>
      <t xml:space="preserve">USB+LAN (or USB+RS232)
</t>
    </r>
    <r>
      <rPr>
        <rFont val="等线"/>
        <b/>
        <color rgb="FF000000"/>
        <sz val="11.0"/>
      </rPr>
      <t xml:space="preserve">Dimension: </t>
    </r>
    <r>
      <rPr>
        <rFont val="等线"/>
        <b val="0"/>
        <color rgb="FF000000"/>
        <sz val="11.0"/>
      </rPr>
      <t>192*145*134mm</t>
    </r>
  </si>
  <si>
    <t>Thermal Receipt Paper</t>
  </si>
  <si>
    <t>MOQ: 10 box
Price Unit: roll
Order unit should be box</t>
  </si>
  <si>
    <t>width 57 * diam45mm, 100 rolls/box, 70gr, 12 meters long</t>
  </si>
  <si>
    <t>width 80 * diam45mm, 100 rolls/box, 70gr, 12 meters long</t>
  </si>
  <si>
    <t>width 80 * diam70mm, 50 rolls/box, 70gr, 36 meters long</t>
  </si>
  <si>
    <t>width 80 * diam80mm, 50 rolls/box, 65gr, 52 meters long</t>
  </si>
  <si>
    <t>BARCODE SCANNER</t>
  </si>
  <si>
    <t>ZKB101</t>
  </si>
  <si>
    <r>
      <rPr>
        <rFont val="等线"/>
        <b/>
        <color rgb="FF000000"/>
        <sz val="11.0"/>
      </rPr>
      <t xml:space="preserve">1D </t>
    </r>
    <r>
      <rPr>
        <rFont val="等线"/>
        <b/>
        <color rgb="FFFF0000"/>
        <sz val="11.0"/>
      </rPr>
      <t>Laser</t>
    </r>
    <r>
      <rPr>
        <rFont val="等线"/>
        <b/>
        <color rgb="FF000000"/>
        <sz val="11.0"/>
      </rPr>
      <t xml:space="preserve"> Barcode Scanner
Light Source: </t>
    </r>
    <r>
      <rPr>
        <rFont val="等线"/>
        <b val="0"/>
        <color rgb="FF000000"/>
        <sz val="11.0"/>
      </rPr>
      <t xml:space="preserve">Visible laser diode, 650nm
</t>
    </r>
    <r>
      <rPr>
        <rFont val="等线"/>
        <b/>
        <color rgb="FF000000"/>
        <sz val="11.0"/>
      </rPr>
      <t>Decoding Depth of Field:</t>
    </r>
    <r>
      <rPr>
        <rFont val="等线"/>
        <b val="0"/>
        <color rgb="FFFF0000"/>
        <sz val="11.0"/>
      </rPr>
      <t xml:space="preserve"> 0-15cm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>USB</t>
    </r>
    <r>
      <rPr>
        <rFont val="等线"/>
        <b/>
        <color rgb="FF000000"/>
        <sz val="11.0"/>
      </rPr>
      <t xml:space="preserve">
Decoding Speed: </t>
    </r>
    <r>
      <rPr>
        <rFont val="等线"/>
        <b val="0"/>
        <color rgb="FFFF0000"/>
        <sz val="11.0"/>
      </rPr>
      <t>100 times/s</t>
    </r>
  </si>
  <si>
    <t>ZKB102</t>
  </si>
  <si>
    <r>
      <rPr>
        <rFont val="等线"/>
        <b/>
        <color rgb="FF000000"/>
        <sz val="11.0"/>
      </rPr>
      <t xml:space="preserve">1D </t>
    </r>
    <r>
      <rPr>
        <rFont val="等线"/>
        <b/>
        <color rgb="FFFF0000"/>
        <sz val="11.0"/>
      </rPr>
      <t>CCD</t>
    </r>
    <r>
      <rPr>
        <rFont val="等线"/>
        <b/>
        <color rgb="FF000000"/>
        <sz val="11.0"/>
      </rPr>
      <t xml:space="preserve"> Barcode Scanner
Pixel: </t>
    </r>
    <r>
      <rPr>
        <rFont val="等线"/>
        <b val="0"/>
        <color rgb="FF000000"/>
        <sz val="11.0"/>
      </rPr>
      <t xml:space="preserve">1500
</t>
    </r>
    <r>
      <rPr>
        <rFont val="等线"/>
        <b/>
        <color rgb="FF000000"/>
        <sz val="11.0"/>
      </rPr>
      <t>Decoding Depth of Field:</t>
    </r>
    <r>
      <rPr>
        <rFont val="等线"/>
        <b val="0"/>
        <color rgb="FF000000"/>
        <sz val="11.0"/>
      </rPr>
      <t xml:space="preserve"> </t>
    </r>
    <r>
      <rPr>
        <rFont val="等线"/>
        <b val="0"/>
        <color rgb="FFFF0000"/>
        <sz val="11.0"/>
      </rPr>
      <t>0-15cm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>USB</t>
    </r>
    <r>
      <rPr>
        <rFont val="等线"/>
        <b/>
        <color rgb="FF000000"/>
        <sz val="11.0"/>
      </rPr>
      <t xml:space="preserve">
Decoding Speed: </t>
    </r>
    <r>
      <rPr>
        <rFont val="等线"/>
        <b val="0"/>
        <color rgb="FFFF0000"/>
        <sz val="11.0"/>
      </rPr>
      <t>300 times/s</t>
    </r>
  </si>
  <si>
    <t>ZKB103</t>
  </si>
  <si>
    <r>
      <rPr>
        <rFont val="等线"/>
        <b/>
        <color rgb="FF000000"/>
        <sz val="11.0"/>
      </rPr>
      <t xml:space="preserve">1D </t>
    </r>
    <r>
      <rPr>
        <rFont val="等线"/>
        <b/>
        <color rgb="FFFF0000"/>
        <sz val="11.0"/>
      </rPr>
      <t>Wireless Laser</t>
    </r>
    <r>
      <rPr>
        <rFont val="等线"/>
        <b/>
        <color rgb="FF000000"/>
        <sz val="11.0"/>
      </rPr>
      <t xml:space="preserve"> Barcode Scanner
Light Source: </t>
    </r>
    <r>
      <rPr>
        <rFont val="等线"/>
        <b val="0"/>
        <color rgb="FF000000"/>
        <sz val="11.0"/>
      </rPr>
      <t xml:space="preserve">Visible laser diode, 650nm
</t>
    </r>
    <r>
      <rPr>
        <rFont val="等线"/>
        <b/>
        <color rgb="FF000000"/>
        <sz val="11.0"/>
      </rPr>
      <t>Decoding Depth of Field:</t>
    </r>
    <r>
      <rPr>
        <rFont val="等线"/>
        <b val="0"/>
        <color rgb="FF000000"/>
        <sz val="11.0"/>
      </rPr>
      <t xml:space="preserve"> </t>
    </r>
    <r>
      <rPr>
        <rFont val="等线"/>
        <b val="0"/>
        <color rgb="FFFF0000"/>
        <sz val="11.0"/>
      </rPr>
      <t>0-15cm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>USB or Wireless 2.4GHz</t>
    </r>
    <r>
      <rPr>
        <rFont val="等线"/>
        <b/>
        <color rgb="FF000000"/>
        <sz val="11.0"/>
      </rPr>
      <t xml:space="preserve">
Decoding Speed: </t>
    </r>
    <r>
      <rPr>
        <rFont val="等线"/>
        <b val="0"/>
        <color rgb="FFFF0000"/>
        <sz val="11.0"/>
      </rPr>
      <t>100 times/s</t>
    </r>
    <r>
      <rPr>
        <rFont val="等线"/>
        <b/>
        <color rgb="FF000000"/>
        <sz val="11.0"/>
      </rPr>
      <t xml:space="preserve">
Wireless Distance: </t>
    </r>
    <r>
      <rPr>
        <rFont val="等线"/>
        <b val="0"/>
        <color rgb="FF000000"/>
        <sz val="11.0"/>
      </rPr>
      <t xml:space="preserve">150m Max.
</t>
    </r>
    <r>
      <rPr>
        <rFont val="等线"/>
        <b/>
        <color rgb="FF000000"/>
        <sz val="11.0"/>
      </rPr>
      <t>Battery:</t>
    </r>
    <r>
      <rPr>
        <rFont val="等线"/>
        <b val="0"/>
        <color rgb="FF000000"/>
        <sz val="11.0"/>
      </rPr>
      <t xml:space="preserve"> 1600mAh</t>
    </r>
  </si>
  <si>
    <t>ZKB104</t>
  </si>
  <si>
    <r>
      <rPr>
        <rFont val="等线"/>
        <b/>
        <color rgb="FF000000"/>
        <sz val="11.0"/>
      </rPr>
      <t xml:space="preserve">1D </t>
    </r>
    <r>
      <rPr>
        <rFont val="等线"/>
        <b/>
        <color rgb="FFFF0000"/>
        <sz val="11.0"/>
      </rPr>
      <t>Wireless CCD</t>
    </r>
    <r>
      <rPr>
        <rFont val="等线"/>
        <b/>
        <color rgb="FF000000"/>
        <sz val="11.0"/>
      </rPr>
      <t xml:space="preserve"> Barcode Scanner
Pixel:</t>
    </r>
    <r>
      <rPr>
        <rFont val="等线"/>
        <b val="0"/>
        <color rgb="FF000000"/>
        <sz val="11.0"/>
      </rPr>
      <t xml:space="preserve"> 1500
</t>
    </r>
    <r>
      <rPr>
        <rFont val="等线"/>
        <b/>
        <color rgb="FF000000"/>
        <sz val="11.0"/>
      </rPr>
      <t>Decoding Depth of Field:</t>
    </r>
    <r>
      <rPr>
        <rFont val="等线"/>
        <b val="0"/>
        <color rgb="FF000000"/>
        <sz val="11.0"/>
      </rPr>
      <t xml:space="preserve"> </t>
    </r>
    <r>
      <rPr>
        <rFont val="等线"/>
        <b val="0"/>
        <color rgb="FFFF0000"/>
        <sz val="11.0"/>
      </rPr>
      <t>0-15cm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>USB or Wireless 2.4GHz</t>
    </r>
    <r>
      <rPr>
        <rFont val="等线"/>
        <b/>
        <color rgb="FF000000"/>
        <sz val="11.0"/>
      </rPr>
      <t xml:space="preserve">
Decoding Speed: </t>
    </r>
    <r>
      <rPr>
        <rFont val="等线"/>
        <b val="0"/>
        <color rgb="FFFF0000"/>
        <sz val="11.0"/>
      </rPr>
      <t>300 times/s</t>
    </r>
    <r>
      <rPr>
        <rFont val="等线"/>
        <b/>
        <color rgb="FF000000"/>
        <sz val="11.0"/>
      </rPr>
      <t xml:space="preserve">
Wireless Distance: </t>
    </r>
    <r>
      <rPr>
        <rFont val="等线"/>
        <b val="0"/>
        <color rgb="FF000000"/>
        <sz val="11.0"/>
      </rPr>
      <t xml:space="preserve">150m Max.
</t>
    </r>
    <r>
      <rPr>
        <rFont val="等线"/>
        <b/>
        <color rgb="FF000000"/>
        <sz val="11.0"/>
      </rPr>
      <t>Battery:</t>
    </r>
    <r>
      <rPr>
        <rFont val="等线"/>
        <b val="0"/>
        <color rgb="FF000000"/>
        <sz val="11.0"/>
      </rPr>
      <t xml:space="preserve"> 1600mAh</t>
    </r>
  </si>
  <si>
    <t>ZKB105</t>
  </si>
  <si>
    <r>
      <rPr>
        <rFont val="等线"/>
        <b/>
        <color rgb="FF000000"/>
        <sz val="11.0"/>
      </rPr>
      <t xml:space="preserve">1D </t>
    </r>
    <r>
      <rPr>
        <rFont val="等线"/>
        <b/>
        <color rgb="FFFF0000"/>
        <sz val="11.0"/>
      </rPr>
      <t>Wireless Laser</t>
    </r>
    <r>
      <rPr>
        <rFont val="等线"/>
        <b/>
        <color rgb="FF000000"/>
        <sz val="11.0"/>
      </rPr>
      <t xml:space="preserve"> Barcode Scanner </t>
    </r>
    <r>
      <rPr>
        <rFont val="等线"/>
        <b/>
        <color rgb="FFFF0000"/>
        <sz val="11.0"/>
      </rPr>
      <t>with Base</t>
    </r>
    <r>
      <rPr>
        <rFont val="等线"/>
        <b/>
        <color rgb="FF000000"/>
        <sz val="11.0"/>
      </rPr>
      <t xml:space="preserve">
Light Source: </t>
    </r>
    <r>
      <rPr>
        <rFont val="等线"/>
        <b val="0"/>
        <color rgb="FF000000"/>
        <sz val="11.0"/>
      </rPr>
      <t xml:space="preserve">Visible laser diode, 650nm
</t>
    </r>
    <r>
      <rPr>
        <rFont val="等线"/>
        <b/>
        <color rgb="FF000000"/>
        <sz val="11.0"/>
      </rPr>
      <t>Decoding Depth of Field:</t>
    </r>
    <r>
      <rPr>
        <rFont val="等线"/>
        <b val="0"/>
        <color rgb="FF000000"/>
        <sz val="11.0"/>
      </rPr>
      <t xml:space="preserve"> </t>
    </r>
    <r>
      <rPr>
        <rFont val="等线"/>
        <b val="0"/>
        <color rgb="FFFF0000"/>
        <sz val="11.0"/>
      </rPr>
      <t>0-15cm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>USB or Wireless 2.4GHz</t>
    </r>
    <r>
      <rPr>
        <rFont val="等线"/>
        <b/>
        <color rgb="FF000000"/>
        <sz val="11.0"/>
      </rPr>
      <t xml:space="preserve">
Decoding Speed: </t>
    </r>
    <r>
      <rPr>
        <rFont val="等线"/>
        <b val="0"/>
        <color rgb="FFFF0000"/>
        <sz val="11.0"/>
      </rPr>
      <t>100 times/s</t>
    </r>
    <r>
      <rPr>
        <rFont val="等线"/>
        <b/>
        <color rgb="FF000000"/>
        <sz val="11.0"/>
      </rPr>
      <t xml:space="preserve">
Wireless Distance: </t>
    </r>
    <r>
      <rPr>
        <rFont val="等线"/>
        <b val="0"/>
        <color rgb="FF000000"/>
        <sz val="11.0"/>
      </rPr>
      <t xml:space="preserve">150m Max.
</t>
    </r>
    <r>
      <rPr>
        <rFont val="等线"/>
        <b/>
        <color rgb="FF000000"/>
        <sz val="11.0"/>
      </rPr>
      <t>Battery:</t>
    </r>
    <r>
      <rPr>
        <rFont val="等线"/>
        <b val="0"/>
        <color rgb="FF000000"/>
        <sz val="11.0"/>
      </rPr>
      <t xml:space="preserve"> 1600mAh</t>
    </r>
  </si>
  <si>
    <t>ZKB106</t>
  </si>
  <si>
    <r>
      <rPr>
        <rFont val="等线"/>
        <b/>
        <color rgb="FF000000"/>
        <sz val="11.0"/>
      </rPr>
      <t xml:space="preserve">1D </t>
    </r>
    <r>
      <rPr>
        <rFont val="等线"/>
        <b/>
        <color rgb="FFFF0000"/>
        <sz val="11.0"/>
      </rPr>
      <t>Wireless CCD</t>
    </r>
    <r>
      <rPr>
        <rFont val="等线"/>
        <b/>
        <color rgb="FF000000"/>
        <sz val="11.0"/>
      </rPr>
      <t xml:space="preserve"> Barcode Scanner </t>
    </r>
    <r>
      <rPr>
        <rFont val="等线"/>
        <b/>
        <color rgb="FFFF0000"/>
        <sz val="11.0"/>
      </rPr>
      <t>with Base</t>
    </r>
    <r>
      <rPr>
        <rFont val="等线"/>
        <b/>
        <color rgb="FF000000"/>
        <sz val="11.0"/>
      </rPr>
      <t xml:space="preserve">
Pixel:</t>
    </r>
    <r>
      <rPr>
        <rFont val="等线"/>
        <b val="0"/>
        <color rgb="FF000000"/>
        <sz val="11.0"/>
      </rPr>
      <t xml:space="preserve"> 1500
</t>
    </r>
    <r>
      <rPr>
        <rFont val="等线"/>
        <b/>
        <color rgb="FF000000"/>
        <sz val="11.0"/>
      </rPr>
      <t>Decoding Depth of Field:</t>
    </r>
    <r>
      <rPr>
        <rFont val="等线"/>
        <b val="0"/>
        <color rgb="FF000000"/>
        <sz val="11.0"/>
      </rPr>
      <t xml:space="preserve"> </t>
    </r>
    <r>
      <rPr>
        <rFont val="等线"/>
        <b val="0"/>
        <color rgb="FFFF0000"/>
        <sz val="11.0"/>
      </rPr>
      <t>0-15cm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>USB or Wireless 2.4GHz</t>
    </r>
    <r>
      <rPr>
        <rFont val="等线"/>
        <b/>
        <color rgb="FF000000"/>
        <sz val="11.0"/>
      </rPr>
      <t xml:space="preserve">
Decoding Speed: </t>
    </r>
    <r>
      <rPr>
        <rFont val="等线"/>
        <b val="0"/>
        <color rgb="FFFF0000"/>
        <sz val="11.0"/>
      </rPr>
      <t>300 times/s</t>
    </r>
    <r>
      <rPr>
        <rFont val="等线"/>
        <b/>
        <color rgb="FF000000"/>
        <sz val="11.0"/>
      </rPr>
      <t xml:space="preserve">
Wireless Distance: </t>
    </r>
    <r>
      <rPr>
        <rFont val="等线"/>
        <b val="0"/>
        <color rgb="FF000000"/>
        <sz val="11.0"/>
      </rPr>
      <t xml:space="preserve">150m Max.
</t>
    </r>
    <r>
      <rPr>
        <rFont val="等线"/>
        <b/>
        <color rgb="FF000000"/>
        <sz val="11.0"/>
      </rPr>
      <t>Battery:</t>
    </r>
    <r>
      <rPr>
        <rFont val="等线"/>
        <b val="0"/>
        <color rgb="FF000000"/>
        <sz val="11.0"/>
      </rPr>
      <t xml:space="preserve"> 1600mAh</t>
    </r>
  </si>
  <si>
    <t>ZKB109</t>
  </si>
  <si>
    <r>
      <rPr>
        <rFont val="等线"/>
        <b/>
        <color rgb="FF000000"/>
        <sz val="11.0"/>
      </rPr>
      <t xml:space="preserve">1D </t>
    </r>
    <r>
      <rPr>
        <rFont val="等线"/>
        <b/>
        <color rgb="FFFF0000"/>
        <sz val="11.0"/>
      </rPr>
      <t>Desktop Laser</t>
    </r>
    <r>
      <rPr>
        <rFont val="等线"/>
        <b/>
        <color rgb="FF000000"/>
        <sz val="11.0"/>
      </rPr>
      <t xml:space="preserve"> Barcode Scanner
</t>
    </r>
    <r>
      <rPr>
        <rFont val="等线"/>
        <b/>
        <color theme="1"/>
        <sz val="11.0"/>
      </rPr>
      <t xml:space="preserve">Light Source: </t>
    </r>
    <r>
      <rPr>
        <rFont val="等线"/>
        <b val="0"/>
        <color theme="1"/>
        <sz val="11.0"/>
      </rPr>
      <t xml:space="preserve">Visible laser diode, 650nm
</t>
    </r>
    <r>
      <rPr>
        <rFont val="等线"/>
        <b/>
        <color theme="1"/>
        <sz val="11.0"/>
      </rPr>
      <t>Decoding Depth of Field:</t>
    </r>
    <r>
      <rPr>
        <rFont val="等线"/>
        <b val="0"/>
        <color theme="1"/>
        <sz val="11.0"/>
      </rPr>
      <t xml:space="preserve"> </t>
    </r>
    <r>
      <rPr>
        <rFont val="等线"/>
        <b val="0"/>
        <color rgb="FFFF0000"/>
        <sz val="11.0"/>
      </rPr>
      <t>0-16cm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>USB</t>
    </r>
    <r>
      <rPr>
        <rFont val="等线"/>
        <b/>
        <color rgb="FF000000"/>
        <sz val="11.0"/>
      </rPr>
      <t xml:space="preserve">
Decoding Speed:</t>
    </r>
    <r>
      <rPr>
        <rFont val="等线"/>
        <b val="0"/>
        <color rgb="FF000000"/>
        <sz val="11.0"/>
      </rPr>
      <t xml:space="preserve"> </t>
    </r>
    <r>
      <rPr>
        <rFont val="等线"/>
        <b val="0"/>
        <color rgb="FFFF0000"/>
        <sz val="11.0"/>
      </rPr>
      <t>1500 times/s</t>
    </r>
    <r>
      <rPr>
        <rFont val="等线"/>
        <b val="0"/>
        <color rgb="FF000000"/>
        <sz val="11.0"/>
      </rPr>
      <t xml:space="preserve">
</t>
    </r>
    <r>
      <rPr>
        <rFont val="等线"/>
        <b val="0"/>
        <color rgb="FFFF0000"/>
        <sz val="11.0"/>
      </rPr>
      <t>5 Scanning Angle
20 lines scanning</t>
    </r>
  </si>
  <si>
    <t>ZKB201</t>
  </si>
  <si>
    <r>
      <rPr>
        <rFont val="等线"/>
        <b/>
        <color rgb="FF000000"/>
        <sz val="11.0"/>
      </rPr>
      <t>2D Barcode QRcode Scanner</t>
    </r>
    <r>
      <rPr>
        <rFont val="等线"/>
        <b/>
        <color rgb="FFFF0000"/>
        <sz val="11.0"/>
      </rPr>
      <t xml:space="preserve">
</t>
    </r>
    <r>
      <rPr>
        <rFont val="等线"/>
        <b/>
        <color theme="1"/>
        <sz val="11.0"/>
      </rPr>
      <t xml:space="preserve">Pixel Sensor: </t>
    </r>
    <r>
      <rPr>
        <rFont val="等线"/>
        <b val="0"/>
        <color theme="1"/>
        <sz val="11.0"/>
      </rPr>
      <t xml:space="preserve">640 x 480 CMOS
</t>
    </r>
    <r>
      <rPr>
        <rFont val="等线"/>
        <b/>
        <color rgb="FF000000"/>
        <sz val="11.0"/>
      </rPr>
      <t xml:space="preserve">Decoding Depth of Field: </t>
    </r>
    <r>
      <rPr>
        <rFont val="等线"/>
        <b val="0"/>
        <color rgb="FFFF0000"/>
        <sz val="11.0"/>
      </rPr>
      <t xml:space="preserve">0-15cm
</t>
    </r>
    <r>
      <rPr>
        <rFont val="等线"/>
        <b/>
        <color theme="1"/>
        <sz val="11.0"/>
      </rPr>
      <t xml:space="preserve">Decoding Speed: </t>
    </r>
    <r>
      <rPr>
        <rFont val="等线"/>
        <b val="0"/>
        <color rgb="FFFF0000"/>
        <sz val="11.0"/>
      </rPr>
      <t>25cm/s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>USB</t>
    </r>
  </si>
  <si>
    <t>ZKB202</t>
  </si>
  <si>
    <r>
      <rPr>
        <rFont val="等线"/>
        <b/>
        <color rgb="FF000000"/>
        <sz val="11.0"/>
      </rPr>
      <t xml:space="preserve">2D </t>
    </r>
    <r>
      <rPr>
        <rFont val="等线"/>
        <b/>
        <color rgb="FFFF0000"/>
        <sz val="11.0"/>
      </rPr>
      <t>Wireless</t>
    </r>
    <r>
      <rPr>
        <rFont val="等线"/>
        <b/>
        <color rgb="FF000000"/>
        <sz val="11.0"/>
      </rPr>
      <t xml:space="preserve"> Barcode QRcode Scanner</t>
    </r>
    <r>
      <rPr>
        <rFont val="等线"/>
        <b/>
        <color rgb="FFFF0000"/>
        <sz val="11.0"/>
      </rPr>
      <t xml:space="preserve">
</t>
    </r>
    <r>
      <rPr>
        <rFont val="等线"/>
        <b/>
        <color theme="1"/>
        <sz val="11.0"/>
      </rPr>
      <t xml:space="preserve">Pixel Sensor: </t>
    </r>
    <r>
      <rPr>
        <rFont val="等线"/>
        <b val="0"/>
        <color theme="1"/>
        <sz val="11.0"/>
      </rPr>
      <t xml:space="preserve">640 x 480 CMOS
</t>
    </r>
    <r>
      <rPr>
        <rFont val="等线"/>
        <b/>
        <color rgb="FF000000"/>
        <sz val="11.0"/>
      </rPr>
      <t xml:space="preserve">Decoding Depth of Field: </t>
    </r>
    <r>
      <rPr>
        <rFont val="等线"/>
        <b val="0"/>
        <color rgb="FFFF0000"/>
        <sz val="11.0"/>
      </rPr>
      <t>0-15cm</t>
    </r>
    <r>
      <rPr>
        <rFont val="等线"/>
        <b/>
        <color rgb="FF000000"/>
        <sz val="11.0"/>
      </rPr>
      <t xml:space="preserve">
Decoding Speed: </t>
    </r>
    <r>
      <rPr>
        <rFont val="等线"/>
        <b val="0"/>
        <color rgb="FFFF0000"/>
        <sz val="11.0"/>
      </rPr>
      <t>25cm/s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 xml:space="preserve">USB or Wireless 2.4GHz
</t>
    </r>
    <r>
      <rPr>
        <rFont val="等线"/>
        <b/>
        <color rgb="FF000000"/>
        <sz val="11.0"/>
      </rPr>
      <t>Wireless Distance:</t>
    </r>
    <r>
      <rPr>
        <rFont val="等线"/>
        <b val="0"/>
        <color rgb="FF000000"/>
        <sz val="11.0"/>
      </rPr>
      <t xml:space="preserve"> 100m Max.
</t>
    </r>
    <r>
      <rPr>
        <rFont val="等线"/>
        <b/>
        <color rgb="FF000000"/>
        <sz val="11.0"/>
      </rPr>
      <t>Battery:</t>
    </r>
    <r>
      <rPr>
        <rFont val="等线"/>
        <b val="0"/>
        <color rgb="FF000000"/>
        <sz val="11.0"/>
      </rPr>
      <t xml:space="preserve"> 1600mAh</t>
    </r>
  </si>
  <si>
    <t>ZKB203</t>
  </si>
  <si>
    <r>
      <rPr>
        <rFont val="等线"/>
        <b/>
        <color rgb="FF000000"/>
        <sz val="11.0"/>
      </rPr>
      <t xml:space="preserve">2D Wireless Barcode QRcode Scanner </t>
    </r>
    <r>
      <rPr>
        <rFont val="等线"/>
        <b/>
        <color rgb="FFFF0000"/>
        <sz val="11.0"/>
      </rPr>
      <t xml:space="preserve">with Base
</t>
    </r>
    <r>
      <rPr>
        <rFont val="等线"/>
        <b/>
        <color theme="1"/>
        <sz val="11.0"/>
      </rPr>
      <t xml:space="preserve">Pixel Sensor: </t>
    </r>
    <r>
      <rPr>
        <rFont val="等线"/>
        <b val="0"/>
        <color theme="1"/>
        <sz val="11.0"/>
      </rPr>
      <t xml:space="preserve">640 x 480 CMOS
</t>
    </r>
    <r>
      <rPr>
        <rFont val="等线"/>
        <b/>
        <color rgb="FF000000"/>
        <sz val="11.0"/>
      </rPr>
      <t xml:space="preserve">Decoding Depth of Field: </t>
    </r>
    <r>
      <rPr>
        <rFont val="等线"/>
        <b val="0"/>
        <color rgb="FFFF0000"/>
        <sz val="11.0"/>
      </rPr>
      <t>0-15cm</t>
    </r>
    <r>
      <rPr>
        <rFont val="等线"/>
        <b/>
        <color rgb="FF000000"/>
        <sz val="11.0"/>
      </rPr>
      <t xml:space="preserve">
Decoding Speed: </t>
    </r>
    <r>
      <rPr>
        <rFont val="等线"/>
        <b val="0"/>
        <color rgb="FFFF0000"/>
        <sz val="11.0"/>
      </rPr>
      <t>25cm/s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 xml:space="preserve">USB or Wireless 2.4GHz
</t>
    </r>
    <r>
      <rPr>
        <rFont val="等线"/>
        <b/>
        <color rgb="FF000000"/>
        <sz val="11.0"/>
      </rPr>
      <t>Wireless Distance:</t>
    </r>
    <r>
      <rPr>
        <rFont val="等线"/>
        <b val="0"/>
        <color rgb="FF000000"/>
        <sz val="11.0"/>
      </rPr>
      <t xml:space="preserve"> 150m Max.
</t>
    </r>
    <r>
      <rPr>
        <rFont val="等线"/>
        <b/>
        <color rgb="FF000000"/>
        <sz val="11.0"/>
      </rPr>
      <t>Battery:</t>
    </r>
    <r>
      <rPr>
        <rFont val="等线"/>
        <b val="0"/>
        <color rgb="FF000000"/>
        <sz val="11.0"/>
      </rPr>
      <t xml:space="preserve"> 1600mAh</t>
    </r>
  </si>
  <si>
    <t>ZKB205</t>
  </si>
  <si>
    <t>Bluit-in 2D Barcode QRcode Scanner</t>
  </si>
  <si>
    <t>ZKB209</t>
  </si>
  <si>
    <r>
      <rPr>
        <rFont val="等线"/>
        <b/>
        <color rgb="FF000000"/>
        <sz val="11.0"/>
      </rPr>
      <t xml:space="preserve">2D </t>
    </r>
    <r>
      <rPr>
        <rFont val="等线"/>
        <b/>
        <color rgb="FFFF0000"/>
        <sz val="11.0"/>
      </rPr>
      <t>Desktop CCD</t>
    </r>
    <r>
      <rPr>
        <rFont val="等线"/>
        <b/>
        <color rgb="FF000000"/>
        <sz val="11.0"/>
      </rPr>
      <t xml:space="preserve"> Barcode QRcode Scanner
Scanning Angle: Pitch: 46.1° Yaw: 30.4
640pixel(H) x 480pixel(V)</t>
    </r>
    <r>
      <rPr>
        <rFont val="等线"/>
        <b val="0"/>
        <color theme="1"/>
        <sz val="11.0"/>
      </rPr>
      <t xml:space="preserve">
</t>
    </r>
    <r>
      <rPr>
        <rFont val="等线"/>
        <b/>
        <color theme="1"/>
        <sz val="11.0"/>
      </rPr>
      <t>Decoding Depth of Field:</t>
    </r>
    <r>
      <rPr>
        <rFont val="等线"/>
        <b val="0"/>
        <color theme="1"/>
        <sz val="11.0"/>
      </rPr>
      <t xml:space="preserve"> </t>
    </r>
    <r>
      <rPr>
        <rFont val="等线"/>
        <b val="0"/>
        <color rgb="FFFF0000"/>
        <sz val="11.0"/>
      </rPr>
      <t>0-15cm</t>
    </r>
    <r>
      <rPr>
        <rFont val="等线"/>
        <b/>
        <color rgb="FF000000"/>
        <sz val="11.0"/>
      </rPr>
      <t xml:space="preserve">
Communication Mode: </t>
    </r>
    <r>
      <rPr>
        <rFont val="等线"/>
        <b val="0"/>
        <color rgb="FF000000"/>
        <sz val="11.0"/>
      </rPr>
      <t>USB</t>
    </r>
  </si>
  <si>
    <t>ZKBS</t>
  </si>
  <si>
    <t>The stand for all hand-held scanner</t>
  </si>
  <si>
    <t>OTHER</t>
  </si>
  <si>
    <t>ZKD1504</t>
  </si>
  <si>
    <r>
      <rPr>
        <rFont val="Arial"/>
        <b/>
        <color theme="1"/>
        <sz val="11.0"/>
      </rPr>
      <t xml:space="preserve">Touch Monitor
Display: </t>
    </r>
    <r>
      <rPr>
        <rFont val="Arial"/>
        <b val="0"/>
        <color theme="1"/>
        <sz val="11.0"/>
      </rPr>
      <t>15'' True-flat TFT LCD panel, 1024*768, 60Hz</t>
    </r>
    <r>
      <rPr>
        <rFont val="Arial"/>
        <b/>
        <color theme="1"/>
        <sz val="11.0"/>
      </rPr>
      <t xml:space="preserve">
Touch Screen: </t>
    </r>
    <r>
      <rPr>
        <rFont val="Arial"/>
        <b val="0"/>
        <color theme="1"/>
        <sz val="11.0"/>
      </rPr>
      <t xml:space="preserve">Capacitive </t>
    </r>
    <r>
      <rPr>
        <rFont val="Arial"/>
        <b/>
        <color theme="1"/>
        <sz val="11.0"/>
      </rPr>
      <t xml:space="preserve">
Interfac: </t>
    </r>
    <r>
      <rPr>
        <rFont val="Arial"/>
        <b val="0"/>
        <color theme="1"/>
        <sz val="11.0"/>
      </rPr>
      <t>VGA + HDMI</t>
    </r>
    <r>
      <rPr>
        <rFont val="Arial"/>
        <b/>
        <color theme="1"/>
        <sz val="11.0"/>
      </rPr>
      <t xml:space="preserve">
Brightness: </t>
    </r>
    <r>
      <rPr>
        <rFont val="Arial"/>
        <b val="0"/>
        <color theme="1"/>
        <sz val="11.0"/>
      </rPr>
      <t>300cd/㎡</t>
    </r>
    <r>
      <rPr>
        <rFont val="Arial"/>
        <b/>
        <color theme="1"/>
        <sz val="11.0"/>
      </rPr>
      <t xml:space="preserve">
Base: </t>
    </r>
    <r>
      <rPr>
        <rFont val="Arial"/>
        <b val="0"/>
        <color theme="1"/>
        <sz val="11.0"/>
      </rPr>
      <t>Metal</t>
    </r>
  </si>
  <si>
    <t>ZK-VFD01</t>
  </si>
  <si>
    <t>Vacuum Fluorescent Display 
2lines*20 characters
Interface: USB port</t>
  </si>
  <si>
    <t>ZK-VFD02</t>
  </si>
  <si>
    <t>Vacuum Fluorescent Display 
2lines*20 characters
Interface: RS232 port</t>
  </si>
  <si>
    <t>ZK-MSR</t>
  </si>
  <si>
    <t>USB Magnetic Card Reader for POS</t>
  </si>
  <si>
    <t>OS</t>
  </si>
  <si>
    <t>Windows 10 Pro</t>
  </si>
  <si>
    <t>Windows 10 IoT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</si>
</sst>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₱]#,##0.00"/>
    <numFmt numFmtId="165" formatCode="[$PHP]\ #,##0.00"/>
    <numFmt numFmtId="166" formatCode="_(* #,##0.00_);_(* \(#,##0.00\);_(* &quot;-&quot;??_);_(@_)"/>
  </numFmts>
  <fonts count="12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9.0"/>
      <color theme="1"/>
      <name val="Arial"/>
    </font>
    <font>
      <b/>
      <sz val="8.0"/>
      <color theme="1"/>
      <name val="Arial"/>
    </font>
    <font>
      <b/>
      <color theme="1"/>
      <name val="Calibri"/>
    </font>
    <font>
      <color theme="1"/>
      <name val="Calibri"/>
    </font>
    <font>
      <b/>
      <sz val="8.0"/>
      <color rgb="FF000000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16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shrinkToFit="0" vertical="center" wrapText="1"/>
    </xf>
    <xf borderId="4" fillId="3" fontId="6" numFmtId="0" xfId="0" applyAlignment="1" applyBorder="1" applyFill="1" applyFont="1">
      <alignment shrinkToFit="0" vertical="center" wrapText="1"/>
    </xf>
    <xf borderId="4" fillId="0" fontId="7" numFmtId="165" xfId="0" applyAlignment="1" applyBorder="1" applyFont="1" applyNumberFormat="1">
      <alignment horizontal="center" shrinkToFit="0" vertical="center" wrapText="1"/>
    </xf>
    <xf borderId="4" fillId="4" fontId="8" numFmtId="166" xfId="0" applyAlignment="1" applyBorder="1" applyFill="1" applyFont="1" applyNumberFormat="1">
      <alignment horizontal="center" shrinkToFit="0" vertical="center" wrapText="1"/>
    </xf>
    <xf borderId="4" fillId="0" fontId="9" numFmtId="166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readingOrder="0" shrinkToFit="0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readingOrder="0" shrinkToFit="0" wrapText="1"/>
    </xf>
    <xf borderId="4" fillId="3" fontId="6" numFmtId="0" xfId="0" applyAlignment="1" applyBorder="1" applyFont="1">
      <alignment shrinkToFit="0" wrapText="1"/>
    </xf>
    <xf borderId="4" fillId="0" fontId="7" numFmtId="165" xfId="0" applyAlignment="1" applyBorder="1" applyFont="1" applyNumberFormat="1">
      <alignment horizontal="center" shrinkToFit="0" wrapText="1"/>
    </xf>
    <xf borderId="6" fillId="0" fontId="4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shrinkToFit="0" wrapText="1"/>
    </xf>
    <xf borderId="7" fillId="0" fontId="4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4" fillId="3" fontId="6" numFmtId="165" xfId="0" applyAlignment="1" applyBorder="1" applyFont="1" applyNumberFormat="1">
      <alignment shrinkToFit="0" wrapText="1"/>
    </xf>
    <xf borderId="4" fillId="0" fontId="6" numFmtId="165" xfId="0" applyAlignment="1" applyBorder="1" applyFont="1" applyNumberFormat="1">
      <alignment shrinkToFit="0" wrapText="1"/>
    </xf>
    <xf borderId="5" fillId="0" fontId="4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5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4" fillId="0" fontId="10" numFmtId="165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shrinkToFit="0" wrapText="1"/>
    </xf>
    <xf borderId="5" fillId="5" fontId="6" numFmtId="0" xfId="0" applyAlignment="1" applyBorder="1" applyFill="1" applyFont="1">
      <alignment shrinkToFit="0" wrapText="1"/>
    </xf>
    <xf borderId="4" fillId="5" fontId="6" numFmtId="0" xfId="0" applyAlignment="1" applyBorder="1" applyFont="1">
      <alignment shrinkToFit="0" wrapText="1"/>
    </xf>
    <xf borderId="5" fillId="0" fontId="5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11" numFmtId="0" xfId="0" applyAlignment="1" applyBorder="1" applyFont="1">
      <alignment horizontal="center" shrinkToFit="0" wrapText="1"/>
    </xf>
    <xf borderId="4" fillId="0" fontId="11" numFmtId="0" xfId="0" applyAlignment="1" applyBorder="1" applyFont="1">
      <alignment shrinkToFit="0" wrapText="1"/>
    </xf>
    <xf borderId="4" fillId="0" fontId="6" numFmtId="165" xfId="0" applyAlignment="1" applyBorder="1" applyFont="1" applyNumberFormat="1">
      <alignment horizontal="center" shrinkToFit="0" wrapText="1"/>
    </xf>
    <xf borderId="4" fillId="0" fontId="4" numFmtId="0" xfId="0" applyBorder="1" applyFont="1"/>
    <xf borderId="4" fillId="5" fontId="1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27.75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3"/>
      <c r="L1" s="4" t="s">
        <v>2</v>
      </c>
      <c r="M1" s="3"/>
      <c r="N1" s="4" t="s">
        <v>3</v>
      </c>
      <c r="O1" s="3"/>
    </row>
    <row r="2">
      <c r="A2" s="5" t="s">
        <v>4</v>
      </c>
      <c r="B2" s="5" t="s">
        <v>5</v>
      </c>
      <c r="C2" s="6" t="s">
        <v>6</v>
      </c>
      <c r="D2" s="6" t="s">
        <v>7</v>
      </c>
      <c r="E2" s="5" t="s">
        <v>8</v>
      </c>
      <c r="F2" s="5" t="s">
        <v>9</v>
      </c>
      <c r="G2" s="5" t="s">
        <v>10</v>
      </c>
      <c r="H2" s="6" t="s">
        <v>11</v>
      </c>
      <c r="I2" s="7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</row>
    <row r="3" hidden="1">
      <c r="A3" s="9" t="s">
        <v>19</v>
      </c>
      <c r="B3" s="9" t="s">
        <v>20</v>
      </c>
      <c r="C3" s="10" t="s">
        <v>21</v>
      </c>
      <c r="D3" s="10" t="s">
        <v>22</v>
      </c>
      <c r="E3" s="11" t="s">
        <v>23</v>
      </c>
      <c r="F3" s="12" t="s">
        <v>24</v>
      </c>
      <c r="G3" s="13"/>
      <c r="H3" s="14" t="s">
        <v>25</v>
      </c>
      <c r="I3" s="15">
        <v>22600.0</v>
      </c>
      <c r="J3" s="16">
        <f t="shared" ref="J3:J296" si="2">I3*1.5</f>
        <v>33900</v>
      </c>
      <c r="K3" s="16">
        <f t="shared" ref="K3:L3" si="1">I3*1.3</f>
        <v>29380</v>
      </c>
      <c r="L3" s="16">
        <f t="shared" si="1"/>
        <v>44070</v>
      </c>
      <c r="M3" s="17">
        <f t="shared" ref="M3:M296" si="4">I3*1.2</f>
        <v>27120</v>
      </c>
      <c r="N3" s="17">
        <f t="shared" ref="N3:N296" si="5">I3*1.15</f>
        <v>25990</v>
      </c>
      <c r="O3" s="17">
        <f t="shared" ref="O3:O296" si="6">I3*1.1</f>
        <v>24860</v>
      </c>
    </row>
    <row r="4">
      <c r="A4" s="9" t="s">
        <v>19</v>
      </c>
      <c r="B4" s="9" t="s">
        <v>20</v>
      </c>
      <c r="C4" s="10" t="s">
        <v>21</v>
      </c>
      <c r="D4" s="18" t="s">
        <v>22</v>
      </c>
      <c r="E4" s="18" t="s">
        <v>23</v>
      </c>
      <c r="F4" s="18" t="s">
        <v>26</v>
      </c>
      <c r="G4" s="13"/>
      <c r="H4" s="19" t="s">
        <v>27</v>
      </c>
      <c r="I4" s="15">
        <v>23500.0</v>
      </c>
      <c r="J4" s="16">
        <f t="shared" si="2"/>
        <v>35250</v>
      </c>
      <c r="K4" s="16">
        <f t="shared" ref="K4:L4" si="3">I4*1.3</f>
        <v>30550</v>
      </c>
      <c r="L4" s="16">
        <f t="shared" si="3"/>
        <v>45825</v>
      </c>
      <c r="M4" s="17">
        <f t="shared" si="4"/>
        <v>28200</v>
      </c>
      <c r="N4" s="17">
        <f t="shared" si="5"/>
        <v>27025</v>
      </c>
      <c r="O4" s="17">
        <f t="shared" si="6"/>
        <v>25850</v>
      </c>
    </row>
    <row r="5">
      <c r="A5" s="9" t="s">
        <v>19</v>
      </c>
      <c r="B5" s="9" t="s">
        <v>20</v>
      </c>
      <c r="C5" s="10" t="s">
        <v>21</v>
      </c>
      <c r="D5" s="18" t="s">
        <v>22</v>
      </c>
      <c r="E5" s="18" t="s">
        <v>23</v>
      </c>
      <c r="F5" s="20" t="s">
        <v>26</v>
      </c>
      <c r="G5" s="13"/>
      <c r="H5" s="19" t="s">
        <v>28</v>
      </c>
      <c r="I5" s="15">
        <v>24950.0</v>
      </c>
      <c r="J5" s="16">
        <f t="shared" si="2"/>
        <v>37425</v>
      </c>
      <c r="K5" s="16">
        <f t="shared" ref="K5:L5" si="7">I5*1.3</f>
        <v>32435</v>
      </c>
      <c r="L5" s="16">
        <f t="shared" si="7"/>
        <v>48652.5</v>
      </c>
      <c r="M5" s="17">
        <f t="shared" si="4"/>
        <v>29940</v>
      </c>
      <c r="N5" s="17">
        <f t="shared" si="5"/>
        <v>28692.5</v>
      </c>
      <c r="O5" s="17">
        <f t="shared" si="6"/>
        <v>27445</v>
      </c>
    </row>
    <row r="6">
      <c r="A6" s="9" t="s">
        <v>19</v>
      </c>
      <c r="B6" s="9" t="s">
        <v>20</v>
      </c>
      <c r="C6" s="10" t="s">
        <v>21</v>
      </c>
      <c r="D6" s="18" t="s">
        <v>22</v>
      </c>
      <c r="E6" s="18" t="s">
        <v>23</v>
      </c>
      <c r="F6" s="20" t="s">
        <v>26</v>
      </c>
      <c r="G6" s="13"/>
      <c r="H6" s="19" t="s">
        <v>29</v>
      </c>
      <c r="I6" s="15">
        <v>25750.0</v>
      </c>
      <c r="J6" s="16">
        <f t="shared" si="2"/>
        <v>38625</v>
      </c>
      <c r="K6" s="16">
        <f t="shared" ref="K6:L6" si="8">I6*1.3</f>
        <v>33475</v>
      </c>
      <c r="L6" s="16">
        <f t="shared" si="8"/>
        <v>50212.5</v>
      </c>
      <c r="M6" s="17">
        <f t="shared" si="4"/>
        <v>30900</v>
      </c>
      <c r="N6" s="17">
        <f t="shared" si="5"/>
        <v>29612.5</v>
      </c>
      <c r="O6" s="17">
        <f t="shared" si="6"/>
        <v>28325</v>
      </c>
    </row>
    <row r="7">
      <c r="A7" s="9" t="s">
        <v>19</v>
      </c>
      <c r="B7" s="9" t="s">
        <v>20</v>
      </c>
      <c r="C7" s="10" t="s">
        <v>21</v>
      </c>
      <c r="D7" s="18" t="s">
        <v>22</v>
      </c>
      <c r="E7" s="18" t="s">
        <v>23</v>
      </c>
      <c r="F7" s="20" t="s">
        <v>26</v>
      </c>
      <c r="G7" s="13"/>
      <c r="H7" s="19" t="s">
        <v>30</v>
      </c>
      <c r="I7" s="15">
        <v>23500.0</v>
      </c>
      <c r="J7" s="16">
        <f t="shared" si="2"/>
        <v>35250</v>
      </c>
      <c r="K7" s="16">
        <f t="shared" ref="K7:L7" si="9">I7*1.3</f>
        <v>30550</v>
      </c>
      <c r="L7" s="16">
        <f t="shared" si="9"/>
        <v>45825</v>
      </c>
      <c r="M7" s="17">
        <f t="shared" si="4"/>
        <v>28200</v>
      </c>
      <c r="N7" s="17">
        <f t="shared" si="5"/>
        <v>27025</v>
      </c>
      <c r="O7" s="17">
        <f t="shared" si="6"/>
        <v>25850</v>
      </c>
    </row>
    <row r="8">
      <c r="A8" s="9" t="s">
        <v>19</v>
      </c>
      <c r="B8" s="9" t="s">
        <v>20</v>
      </c>
      <c r="C8" s="10" t="s">
        <v>21</v>
      </c>
      <c r="D8" s="18" t="s">
        <v>22</v>
      </c>
      <c r="E8" s="18" t="s">
        <v>23</v>
      </c>
      <c r="F8" s="20" t="s">
        <v>26</v>
      </c>
      <c r="G8" s="13"/>
      <c r="H8" s="19" t="s">
        <v>31</v>
      </c>
      <c r="I8" s="15">
        <v>24400.0</v>
      </c>
      <c r="J8" s="16">
        <f t="shared" si="2"/>
        <v>36600</v>
      </c>
      <c r="K8" s="16">
        <f t="shared" ref="K8:L8" si="10">I8*1.3</f>
        <v>31720</v>
      </c>
      <c r="L8" s="16">
        <f t="shared" si="10"/>
        <v>47580</v>
      </c>
      <c r="M8" s="17">
        <f t="shared" si="4"/>
        <v>29280</v>
      </c>
      <c r="N8" s="17">
        <f t="shared" si="5"/>
        <v>28060</v>
      </c>
      <c r="O8" s="17">
        <f t="shared" si="6"/>
        <v>26840</v>
      </c>
    </row>
    <row r="9">
      <c r="A9" s="9" t="s">
        <v>19</v>
      </c>
      <c r="B9" s="9" t="s">
        <v>20</v>
      </c>
      <c r="C9" s="10" t="s">
        <v>21</v>
      </c>
      <c r="D9" s="18" t="s">
        <v>22</v>
      </c>
      <c r="E9" s="18" t="s">
        <v>23</v>
      </c>
      <c r="F9" s="20" t="s">
        <v>26</v>
      </c>
      <c r="G9" s="13"/>
      <c r="H9" s="19" t="s">
        <v>32</v>
      </c>
      <c r="I9" s="15">
        <v>25850.0</v>
      </c>
      <c r="J9" s="16">
        <f t="shared" si="2"/>
        <v>38775</v>
      </c>
      <c r="K9" s="16">
        <f t="shared" ref="K9:L9" si="11">I9*1.3</f>
        <v>33605</v>
      </c>
      <c r="L9" s="16">
        <f t="shared" si="11"/>
        <v>50407.5</v>
      </c>
      <c r="M9" s="17">
        <f t="shared" si="4"/>
        <v>31020</v>
      </c>
      <c r="N9" s="17">
        <f t="shared" si="5"/>
        <v>29727.5</v>
      </c>
      <c r="O9" s="17">
        <f t="shared" si="6"/>
        <v>28435</v>
      </c>
    </row>
    <row r="10">
      <c r="A10" s="9" t="s">
        <v>19</v>
      </c>
      <c r="B10" s="9" t="s">
        <v>20</v>
      </c>
      <c r="C10" s="10" t="s">
        <v>21</v>
      </c>
      <c r="D10" s="18" t="s">
        <v>22</v>
      </c>
      <c r="E10" s="18" t="s">
        <v>23</v>
      </c>
      <c r="F10" s="20" t="s">
        <v>26</v>
      </c>
      <c r="G10" s="13"/>
      <c r="H10" s="19" t="s">
        <v>33</v>
      </c>
      <c r="I10" s="15">
        <v>26700.0</v>
      </c>
      <c r="J10" s="16">
        <f t="shared" si="2"/>
        <v>40050</v>
      </c>
      <c r="K10" s="16">
        <f t="shared" ref="K10:L10" si="12">I10*1.3</f>
        <v>34710</v>
      </c>
      <c r="L10" s="16">
        <f t="shared" si="12"/>
        <v>52065</v>
      </c>
      <c r="M10" s="17">
        <f t="shared" si="4"/>
        <v>32040</v>
      </c>
      <c r="N10" s="17">
        <f t="shared" si="5"/>
        <v>30705</v>
      </c>
      <c r="O10" s="17">
        <f t="shared" si="6"/>
        <v>29370</v>
      </c>
    </row>
    <row r="11">
      <c r="A11" s="9" t="s">
        <v>19</v>
      </c>
      <c r="B11" s="9" t="s">
        <v>20</v>
      </c>
      <c r="C11" s="10" t="s">
        <v>21</v>
      </c>
      <c r="D11" s="18" t="s">
        <v>22</v>
      </c>
      <c r="E11" s="18" t="s">
        <v>23</v>
      </c>
      <c r="F11" s="20" t="s">
        <v>34</v>
      </c>
      <c r="G11" s="13"/>
      <c r="H11" s="19" t="s">
        <v>35</v>
      </c>
      <c r="I11" s="15">
        <v>24950.0</v>
      </c>
      <c r="J11" s="16">
        <f t="shared" si="2"/>
        <v>37425</v>
      </c>
      <c r="K11" s="16">
        <f t="shared" ref="K11:L11" si="13">I11*1.3</f>
        <v>32435</v>
      </c>
      <c r="L11" s="16">
        <f t="shared" si="13"/>
        <v>48652.5</v>
      </c>
      <c r="M11" s="17">
        <f t="shared" si="4"/>
        <v>29940</v>
      </c>
      <c r="N11" s="17">
        <f t="shared" si="5"/>
        <v>28692.5</v>
      </c>
      <c r="O11" s="17">
        <f t="shared" si="6"/>
        <v>27445</v>
      </c>
    </row>
    <row r="12">
      <c r="A12" s="9" t="s">
        <v>19</v>
      </c>
      <c r="B12" s="9" t="s">
        <v>20</v>
      </c>
      <c r="C12" s="10" t="s">
        <v>21</v>
      </c>
      <c r="D12" s="18" t="s">
        <v>22</v>
      </c>
      <c r="E12" s="18" t="s">
        <v>23</v>
      </c>
      <c r="F12" s="20" t="s">
        <v>26</v>
      </c>
      <c r="G12" s="13"/>
      <c r="H12" s="19" t="s">
        <v>36</v>
      </c>
      <c r="I12" s="15">
        <v>25850.0</v>
      </c>
      <c r="J12" s="16">
        <f t="shared" si="2"/>
        <v>38775</v>
      </c>
      <c r="K12" s="16">
        <f t="shared" ref="K12:L12" si="14">I12*1.3</f>
        <v>33605</v>
      </c>
      <c r="L12" s="16">
        <f t="shared" si="14"/>
        <v>50407.5</v>
      </c>
      <c r="M12" s="17">
        <f t="shared" si="4"/>
        <v>31020</v>
      </c>
      <c r="N12" s="17">
        <f t="shared" si="5"/>
        <v>29727.5</v>
      </c>
      <c r="O12" s="17">
        <f t="shared" si="6"/>
        <v>28435</v>
      </c>
    </row>
    <row r="13">
      <c r="A13" s="9" t="s">
        <v>19</v>
      </c>
      <c r="B13" s="9" t="s">
        <v>20</v>
      </c>
      <c r="C13" s="10" t="s">
        <v>21</v>
      </c>
      <c r="D13" s="18" t="s">
        <v>22</v>
      </c>
      <c r="E13" s="18" t="s">
        <v>23</v>
      </c>
      <c r="F13" s="20" t="s">
        <v>26</v>
      </c>
      <c r="G13" s="13"/>
      <c r="H13" s="19" t="s">
        <v>37</v>
      </c>
      <c r="I13" s="15">
        <v>27300.0</v>
      </c>
      <c r="J13" s="16">
        <f t="shared" si="2"/>
        <v>40950</v>
      </c>
      <c r="K13" s="16">
        <f t="shared" ref="K13:L13" si="15">I13*1.3</f>
        <v>35490</v>
      </c>
      <c r="L13" s="16">
        <f t="shared" si="15"/>
        <v>53235</v>
      </c>
      <c r="M13" s="17">
        <f t="shared" si="4"/>
        <v>32760</v>
      </c>
      <c r="N13" s="17">
        <f t="shared" si="5"/>
        <v>31395</v>
      </c>
      <c r="O13" s="17">
        <f t="shared" si="6"/>
        <v>30030</v>
      </c>
    </row>
    <row r="14">
      <c r="A14" s="9" t="s">
        <v>19</v>
      </c>
      <c r="B14" s="9" t="s">
        <v>20</v>
      </c>
      <c r="C14" s="10" t="s">
        <v>21</v>
      </c>
      <c r="D14" s="18" t="s">
        <v>22</v>
      </c>
      <c r="E14" s="21" t="s">
        <v>23</v>
      </c>
      <c r="F14" s="22" t="s">
        <v>26</v>
      </c>
      <c r="G14" s="13"/>
      <c r="H14" s="19" t="s">
        <v>38</v>
      </c>
      <c r="I14" s="15">
        <v>28100.0</v>
      </c>
      <c r="J14" s="16">
        <f t="shared" si="2"/>
        <v>42150</v>
      </c>
      <c r="K14" s="16">
        <f t="shared" ref="K14:L14" si="16">I14*1.3</f>
        <v>36530</v>
      </c>
      <c r="L14" s="16">
        <f t="shared" si="16"/>
        <v>54795</v>
      </c>
      <c r="M14" s="17">
        <f t="shared" si="4"/>
        <v>33720</v>
      </c>
      <c r="N14" s="17">
        <f t="shared" si="5"/>
        <v>32315</v>
      </c>
      <c r="O14" s="17">
        <f t="shared" si="6"/>
        <v>30910</v>
      </c>
    </row>
    <row r="15">
      <c r="A15" s="9" t="s">
        <v>19</v>
      </c>
      <c r="B15" s="9" t="s">
        <v>20</v>
      </c>
      <c r="C15" s="10" t="s">
        <v>21</v>
      </c>
      <c r="D15" s="18" t="s">
        <v>22</v>
      </c>
      <c r="E15" s="18" t="s">
        <v>39</v>
      </c>
      <c r="F15" s="18" t="s">
        <v>40</v>
      </c>
      <c r="G15" s="13"/>
      <c r="H15" s="23" t="s">
        <v>25</v>
      </c>
      <c r="I15" s="24">
        <v>31650.0</v>
      </c>
      <c r="J15" s="16">
        <f t="shared" si="2"/>
        <v>47475</v>
      </c>
      <c r="K15" s="16">
        <f t="shared" ref="K15:L15" si="17">I15*1.3</f>
        <v>41145</v>
      </c>
      <c r="L15" s="16">
        <f t="shared" si="17"/>
        <v>61717.5</v>
      </c>
      <c r="M15" s="17">
        <f t="shared" si="4"/>
        <v>37980</v>
      </c>
      <c r="N15" s="17">
        <f t="shared" si="5"/>
        <v>36397.5</v>
      </c>
      <c r="O15" s="17">
        <f t="shared" si="6"/>
        <v>34815</v>
      </c>
    </row>
    <row r="16">
      <c r="A16" s="9" t="s">
        <v>19</v>
      </c>
      <c r="B16" s="9" t="s">
        <v>20</v>
      </c>
      <c r="C16" s="10" t="s">
        <v>21</v>
      </c>
      <c r="D16" s="18" t="s">
        <v>22</v>
      </c>
      <c r="E16" s="25" t="s">
        <v>39</v>
      </c>
      <c r="F16" s="26" t="s">
        <v>40</v>
      </c>
      <c r="G16" s="13"/>
      <c r="H16" s="27" t="s">
        <v>27</v>
      </c>
      <c r="I16" s="24">
        <v>32550.0</v>
      </c>
      <c r="J16" s="16">
        <f t="shared" si="2"/>
        <v>48825</v>
      </c>
      <c r="K16" s="16">
        <f t="shared" ref="K16:L16" si="18">I16*1.3</f>
        <v>42315</v>
      </c>
      <c r="L16" s="16">
        <f t="shared" si="18"/>
        <v>63472.5</v>
      </c>
      <c r="M16" s="17">
        <f t="shared" si="4"/>
        <v>39060</v>
      </c>
      <c r="N16" s="17">
        <f t="shared" si="5"/>
        <v>37432.5</v>
      </c>
      <c r="O16" s="17">
        <f t="shared" si="6"/>
        <v>35805</v>
      </c>
    </row>
    <row r="17">
      <c r="A17" s="9" t="s">
        <v>19</v>
      </c>
      <c r="B17" s="9" t="s">
        <v>20</v>
      </c>
      <c r="C17" s="10" t="s">
        <v>21</v>
      </c>
      <c r="D17" s="18" t="s">
        <v>22</v>
      </c>
      <c r="E17" s="25" t="s">
        <v>39</v>
      </c>
      <c r="F17" s="26" t="s">
        <v>40</v>
      </c>
      <c r="G17" s="13"/>
      <c r="H17" s="27" t="s">
        <v>28</v>
      </c>
      <c r="I17" s="24">
        <v>34000.0</v>
      </c>
      <c r="J17" s="16">
        <f t="shared" si="2"/>
        <v>51000</v>
      </c>
      <c r="K17" s="16">
        <f t="shared" ref="K17:L17" si="19">I17*1.3</f>
        <v>44200</v>
      </c>
      <c r="L17" s="16">
        <f t="shared" si="19"/>
        <v>66300</v>
      </c>
      <c r="M17" s="17">
        <f t="shared" si="4"/>
        <v>40800</v>
      </c>
      <c r="N17" s="17">
        <f t="shared" si="5"/>
        <v>39100</v>
      </c>
      <c r="O17" s="17">
        <f t="shared" si="6"/>
        <v>37400</v>
      </c>
    </row>
    <row r="18">
      <c r="A18" s="9" t="s">
        <v>19</v>
      </c>
      <c r="B18" s="9" t="s">
        <v>20</v>
      </c>
      <c r="C18" s="10" t="s">
        <v>21</v>
      </c>
      <c r="D18" s="18" t="s">
        <v>22</v>
      </c>
      <c r="E18" s="25" t="s">
        <v>39</v>
      </c>
      <c r="F18" s="26" t="s">
        <v>40</v>
      </c>
      <c r="G18" s="13"/>
      <c r="H18" s="27" t="s">
        <v>29</v>
      </c>
      <c r="I18" s="24">
        <v>34800.0</v>
      </c>
      <c r="J18" s="16">
        <f t="shared" si="2"/>
        <v>52200</v>
      </c>
      <c r="K18" s="16">
        <f t="shared" ref="K18:L18" si="20">I18*1.3</f>
        <v>45240</v>
      </c>
      <c r="L18" s="16">
        <f t="shared" si="20"/>
        <v>67860</v>
      </c>
      <c r="M18" s="17">
        <f t="shared" si="4"/>
        <v>41760</v>
      </c>
      <c r="N18" s="17">
        <f t="shared" si="5"/>
        <v>40020</v>
      </c>
      <c r="O18" s="17">
        <f t="shared" si="6"/>
        <v>38280</v>
      </c>
    </row>
    <row r="19">
      <c r="A19" s="9" t="s">
        <v>19</v>
      </c>
      <c r="B19" s="9" t="s">
        <v>20</v>
      </c>
      <c r="C19" s="10" t="s">
        <v>21</v>
      </c>
      <c r="D19" s="18" t="s">
        <v>22</v>
      </c>
      <c r="E19" s="25" t="s">
        <v>39</v>
      </c>
      <c r="F19" s="26" t="s">
        <v>40</v>
      </c>
      <c r="G19" s="13"/>
      <c r="H19" s="27" t="s">
        <v>30</v>
      </c>
      <c r="I19" s="24">
        <v>32550.0</v>
      </c>
      <c r="J19" s="16">
        <f t="shared" si="2"/>
        <v>48825</v>
      </c>
      <c r="K19" s="16">
        <f t="shared" ref="K19:L19" si="21">I19*1.3</f>
        <v>42315</v>
      </c>
      <c r="L19" s="16">
        <f t="shared" si="21"/>
        <v>63472.5</v>
      </c>
      <c r="M19" s="17">
        <f t="shared" si="4"/>
        <v>39060</v>
      </c>
      <c r="N19" s="17">
        <f t="shared" si="5"/>
        <v>37432.5</v>
      </c>
      <c r="O19" s="17">
        <f t="shared" si="6"/>
        <v>35805</v>
      </c>
    </row>
    <row r="20">
      <c r="A20" s="9" t="s">
        <v>19</v>
      </c>
      <c r="B20" s="9" t="s">
        <v>20</v>
      </c>
      <c r="C20" s="10" t="s">
        <v>21</v>
      </c>
      <c r="D20" s="18" t="s">
        <v>22</v>
      </c>
      <c r="E20" s="25" t="s">
        <v>39</v>
      </c>
      <c r="F20" s="26" t="s">
        <v>40</v>
      </c>
      <c r="G20" s="13"/>
      <c r="H20" s="27" t="s">
        <v>31</v>
      </c>
      <c r="I20" s="24">
        <v>33450.0</v>
      </c>
      <c r="J20" s="16">
        <f t="shared" si="2"/>
        <v>50175</v>
      </c>
      <c r="K20" s="16">
        <f t="shared" ref="K20:L20" si="22">I20*1.3</f>
        <v>43485</v>
      </c>
      <c r="L20" s="16">
        <f t="shared" si="22"/>
        <v>65227.5</v>
      </c>
      <c r="M20" s="17">
        <f t="shared" si="4"/>
        <v>40140</v>
      </c>
      <c r="N20" s="17">
        <f t="shared" si="5"/>
        <v>38467.5</v>
      </c>
      <c r="O20" s="17">
        <f t="shared" si="6"/>
        <v>36795</v>
      </c>
    </row>
    <row r="21">
      <c r="A21" s="9" t="s">
        <v>19</v>
      </c>
      <c r="B21" s="9" t="s">
        <v>20</v>
      </c>
      <c r="C21" s="10" t="s">
        <v>21</v>
      </c>
      <c r="D21" s="18" t="s">
        <v>22</v>
      </c>
      <c r="E21" s="25" t="s">
        <v>39</v>
      </c>
      <c r="F21" s="26" t="s">
        <v>40</v>
      </c>
      <c r="G21" s="13"/>
      <c r="H21" s="27" t="s">
        <v>32</v>
      </c>
      <c r="I21" s="24">
        <v>34900.0</v>
      </c>
      <c r="J21" s="16">
        <f t="shared" si="2"/>
        <v>52350</v>
      </c>
      <c r="K21" s="16">
        <f t="shared" ref="K21:L21" si="23">I21*1.3</f>
        <v>45370</v>
      </c>
      <c r="L21" s="16">
        <f t="shared" si="23"/>
        <v>68055</v>
      </c>
      <c r="M21" s="17">
        <f t="shared" si="4"/>
        <v>41880</v>
      </c>
      <c r="N21" s="17">
        <f t="shared" si="5"/>
        <v>40135</v>
      </c>
      <c r="O21" s="17">
        <f t="shared" si="6"/>
        <v>38390</v>
      </c>
    </row>
    <row r="22">
      <c r="A22" s="9" t="s">
        <v>19</v>
      </c>
      <c r="B22" s="9" t="s">
        <v>20</v>
      </c>
      <c r="C22" s="10" t="s">
        <v>21</v>
      </c>
      <c r="D22" s="18" t="s">
        <v>22</v>
      </c>
      <c r="E22" s="25" t="s">
        <v>39</v>
      </c>
      <c r="F22" s="26" t="s">
        <v>40</v>
      </c>
      <c r="G22" s="13"/>
      <c r="H22" s="27" t="s">
        <v>33</v>
      </c>
      <c r="I22" s="24">
        <v>35700.0</v>
      </c>
      <c r="J22" s="16">
        <f t="shared" si="2"/>
        <v>53550</v>
      </c>
      <c r="K22" s="16">
        <f t="shared" ref="K22:L22" si="24">I22*1.3</f>
        <v>46410</v>
      </c>
      <c r="L22" s="16">
        <f t="shared" si="24"/>
        <v>69615</v>
      </c>
      <c r="M22" s="17">
        <f t="shared" si="4"/>
        <v>42840</v>
      </c>
      <c r="N22" s="17">
        <f t="shared" si="5"/>
        <v>41055</v>
      </c>
      <c r="O22" s="17">
        <f t="shared" si="6"/>
        <v>39270</v>
      </c>
    </row>
    <row r="23">
      <c r="A23" s="9" t="s">
        <v>19</v>
      </c>
      <c r="B23" s="9" t="s">
        <v>20</v>
      </c>
      <c r="C23" s="10" t="s">
        <v>21</v>
      </c>
      <c r="D23" s="18" t="s">
        <v>22</v>
      </c>
      <c r="E23" s="25" t="s">
        <v>39</v>
      </c>
      <c r="F23" s="26" t="s">
        <v>40</v>
      </c>
      <c r="G23" s="13"/>
      <c r="H23" s="27" t="s">
        <v>35</v>
      </c>
      <c r="I23" s="24">
        <v>34000.0</v>
      </c>
      <c r="J23" s="16">
        <f t="shared" si="2"/>
        <v>51000</v>
      </c>
      <c r="K23" s="16">
        <f t="shared" ref="K23:L23" si="25">I23*1.3</f>
        <v>44200</v>
      </c>
      <c r="L23" s="16">
        <f t="shared" si="25"/>
        <v>66300</v>
      </c>
      <c r="M23" s="17">
        <f t="shared" si="4"/>
        <v>40800</v>
      </c>
      <c r="N23" s="17">
        <f t="shared" si="5"/>
        <v>39100</v>
      </c>
      <c r="O23" s="17">
        <f t="shared" si="6"/>
        <v>37400</v>
      </c>
    </row>
    <row r="24">
      <c r="A24" s="9" t="s">
        <v>19</v>
      </c>
      <c r="B24" s="9" t="s">
        <v>20</v>
      </c>
      <c r="C24" s="10" t="s">
        <v>21</v>
      </c>
      <c r="D24" s="18" t="s">
        <v>22</v>
      </c>
      <c r="E24" s="25" t="s">
        <v>39</v>
      </c>
      <c r="F24" s="26" t="s">
        <v>40</v>
      </c>
      <c r="G24" s="13"/>
      <c r="H24" s="27" t="s">
        <v>36</v>
      </c>
      <c r="I24" s="24">
        <v>34900.0</v>
      </c>
      <c r="J24" s="16">
        <f t="shared" si="2"/>
        <v>52350</v>
      </c>
      <c r="K24" s="16">
        <f t="shared" ref="K24:L24" si="26">I24*1.3</f>
        <v>45370</v>
      </c>
      <c r="L24" s="16">
        <f t="shared" si="26"/>
        <v>68055</v>
      </c>
      <c r="M24" s="17">
        <f t="shared" si="4"/>
        <v>41880</v>
      </c>
      <c r="N24" s="17">
        <f t="shared" si="5"/>
        <v>40135</v>
      </c>
      <c r="O24" s="17">
        <f t="shared" si="6"/>
        <v>38390</v>
      </c>
    </row>
    <row r="25">
      <c r="A25" s="9" t="s">
        <v>19</v>
      </c>
      <c r="B25" s="9" t="s">
        <v>20</v>
      </c>
      <c r="C25" s="10" t="s">
        <v>21</v>
      </c>
      <c r="D25" s="18" t="s">
        <v>22</v>
      </c>
      <c r="E25" s="25" t="s">
        <v>39</v>
      </c>
      <c r="F25" s="26" t="s">
        <v>40</v>
      </c>
      <c r="G25" s="13"/>
      <c r="H25" s="27" t="s">
        <v>37</v>
      </c>
      <c r="I25" s="24">
        <v>36350.0</v>
      </c>
      <c r="J25" s="16">
        <f t="shared" si="2"/>
        <v>54525</v>
      </c>
      <c r="K25" s="16">
        <f t="shared" ref="K25:L25" si="27">I25*1.3</f>
        <v>47255</v>
      </c>
      <c r="L25" s="16">
        <f t="shared" si="27"/>
        <v>70882.5</v>
      </c>
      <c r="M25" s="17">
        <f t="shared" si="4"/>
        <v>43620</v>
      </c>
      <c r="N25" s="17">
        <f t="shared" si="5"/>
        <v>41802.5</v>
      </c>
      <c r="O25" s="17">
        <f t="shared" si="6"/>
        <v>39985</v>
      </c>
    </row>
    <row r="26">
      <c r="A26" s="9" t="s">
        <v>19</v>
      </c>
      <c r="B26" s="9" t="s">
        <v>20</v>
      </c>
      <c r="C26" s="10" t="s">
        <v>21</v>
      </c>
      <c r="D26" s="18" t="s">
        <v>22</v>
      </c>
      <c r="E26" s="28" t="s">
        <v>39</v>
      </c>
      <c r="F26" s="29" t="s">
        <v>40</v>
      </c>
      <c r="G26" s="13"/>
      <c r="H26" s="27" t="s">
        <v>38</v>
      </c>
      <c r="I26" s="24">
        <v>37150.0</v>
      </c>
      <c r="J26" s="16">
        <f t="shared" si="2"/>
        <v>55725</v>
      </c>
      <c r="K26" s="16">
        <f t="shared" ref="K26:L26" si="28">I26*1.3</f>
        <v>48295</v>
      </c>
      <c r="L26" s="16">
        <f t="shared" si="28"/>
        <v>72442.5</v>
      </c>
      <c r="M26" s="17">
        <f t="shared" si="4"/>
        <v>44580</v>
      </c>
      <c r="N26" s="17">
        <f t="shared" si="5"/>
        <v>42722.5</v>
      </c>
      <c r="O26" s="17">
        <f t="shared" si="6"/>
        <v>40865</v>
      </c>
    </row>
    <row r="27">
      <c r="A27" s="9" t="s">
        <v>19</v>
      </c>
      <c r="B27" s="9" t="s">
        <v>20</v>
      </c>
      <c r="C27" s="9" t="s">
        <v>41</v>
      </c>
      <c r="D27" s="18" t="s">
        <v>22</v>
      </c>
      <c r="E27" s="9"/>
      <c r="F27" s="9" t="s">
        <v>42</v>
      </c>
      <c r="G27" s="9" t="s">
        <v>43</v>
      </c>
      <c r="H27" s="9"/>
      <c r="I27" s="24">
        <v>3250.0</v>
      </c>
      <c r="J27" s="16">
        <f t="shared" si="2"/>
        <v>4875</v>
      </c>
      <c r="K27" s="16">
        <f t="shared" ref="K27:L27" si="29">I27*1.3</f>
        <v>4225</v>
      </c>
      <c r="L27" s="16">
        <f t="shared" si="29"/>
        <v>6337.5</v>
      </c>
      <c r="M27" s="17">
        <f t="shared" si="4"/>
        <v>3900</v>
      </c>
      <c r="N27" s="17">
        <f t="shared" si="5"/>
        <v>3737.5</v>
      </c>
      <c r="O27" s="17">
        <f t="shared" si="6"/>
        <v>3575</v>
      </c>
    </row>
    <row r="28">
      <c r="A28" s="9" t="s">
        <v>19</v>
      </c>
      <c r="B28" s="9" t="s">
        <v>20</v>
      </c>
      <c r="C28" s="9" t="s">
        <v>41</v>
      </c>
      <c r="D28" s="18" t="s">
        <v>22</v>
      </c>
      <c r="E28" s="9"/>
      <c r="F28" s="9" t="s">
        <v>44</v>
      </c>
      <c r="G28" s="9" t="s">
        <v>43</v>
      </c>
      <c r="H28" s="9"/>
      <c r="I28" s="24">
        <v>5400.0</v>
      </c>
      <c r="J28" s="16">
        <f t="shared" si="2"/>
        <v>8100</v>
      </c>
      <c r="K28" s="16">
        <f t="shared" ref="K28:L28" si="30">I28*1.3</f>
        <v>7020</v>
      </c>
      <c r="L28" s="16">
        <f t="shared" si="30"/>
        <v>10530</v>
      </c>
      <c r="M28" s="17">
        <f t="shared" si="4"/>
        <v>6480</v>
      </c>
      <c r="N28" s="17">
        <f t="shared" si="5"/>
        <v>6210</v>
      </c>
      <c r="O28" s="17">
        <f t="shared" si="6"/>
        <v>5940</v>
      </c>
    </row>
    <row r="29">
      <c r="A29" s="9" t="s">
        <v>19</v>
      </c>
      <c r="B29" s="9" t="s">
        <v>20</v>
      </c>
      <c r="C29" s="9" t="s">
        <v>41</v>
      </c>
      <c r="D29" s="18" t="s">
        <v>22</v>
      </c>
      <c r="E29" s="9"/>
      <c r="F29" s="9" t="s">
        <v>45</v>
      </c>
      <c r="G29" s="9" t="s">
        <v>43</v>
      </c>
      <c r="H29" s="9"/>
      <c r="I29" s="24">
        <v>2200.0</v>
      </c>
      <c r="J29" s="16">
        <f t="shared" si="2"/>
        <v>3300</v>
      </c>
      <c r="K29" s="16">
        <f t="shared" ref="K29:L29" si="31">I29*1.3</f>
        <v>2860</v>
      </c>
      <c r="L29" s="16">
        <f t="shared" si="31"/>
        <v>4290</v>
      </c>
      <c r="M29" s="17">
        <f t="shared" si="4"/>
        <v>2640</v>
      </c>
      <c r="N29" s="17">
        <f t="shared" si="5"/>
        <v>2530</v>
      </c>
      <c r="O29" s="17">
        <f t="shared" si="6"/>
        <v>2420</v>
      </c>
    </row>
    <row r="30">
      <c r="A30" s="9" t="s">
        <v>19</v>
      </c>
      <c r="B30" s="9" t="s">
        <v>20</v>
      </c>
      <c r="C30" s="9" t="s">
        <v>41</v>
      </c>
      <c r="D30" s="21" t="s">
        <v>22</v>
      </c>
      <c r="E30" s="9"/>
      <c r="F30" s="9" t="s">
        <v>46</v>
      </c>
      <c r="G30" s="9" t="s">
        <v>43</v>
      </c>
      <c r="H30" s="9"/>
      <c r="I30" s="24">
        <v>1100.0</v>
      </c>
      <c r="J30" s="16">
        <f t="shared" si="2"/>
        <v>1650</v>
      </c>
      <c r="K30" s="16">
        <f t="shared" ref="K30:L30" si="32">I30*1.3</f>
        <v>1430</v>
      </c>
      <c r="L30" s="16">
        <f t="shared" si="32"/>
        <v>2145</v>
      </c>
      <c r="M30" s="17">
        <f t="shared" si="4"/>
        <v>1320</v>
      </c>
      <c r="N30" s="17">
        <f t="shared" si="5"/>
        <v>1265</v>
      </c>
      <c r="O30" s="17">
        <f t="shared" si="6"/>
        <v>1210</v>
      </c>
    </row>
    <row r="31" hidden="1">
      <c r="A31" s="9" t="s">
        <v>19</v>
      </c>
      <c r="B31" s="9" t="s">
        <v>20</v>
      </c>
      <c r="C31" s="10" t="s">
        <v>21</v>
      </c>
      <c r="D31" s="30" t="s">
        <v>47</v>
      </c>
      <c r="E31" s="31" t="s">
        <v>48</v>
      </c>
      <c r="F31" s="32" t="s">
        <v>49</v>
      </c>
      <c r="G31" s="13"/>
      <c r="H31" s="23" t="s">
        <v>25</v>
      </c>
      <c r="I31" s="24">
        <v>28050.0</v>
      </c>
      <c r="J31" s="16">
        <f t="shared" si="2"/>
        <v>42075</v>
      </c>
      <c r="K31" s="16">
        <f t="shared" ref="K31:L31" si="33">I31*1.3</f>
        <v>36465</v>
      </c>
      <c r="L31" s="16">
        <f t="shared" si="33"/>
        <v>54697.5</v>
      </c>
      <c r="M31" s="17">
        <f t="shared" si="4"/>
        <v>33660</v>
      </c>
      <c r="N31" s="17">
        <f t="shared" si="5"/>
        <v>32257.5</v>
      </c>
      <c r="O31" s="17">
        <f t="shared" si="6"/>
        <v>30855</v>
      </c>
    </row>
    <row r="32" hidden="1">
      <c r="A32" s="9" t="s">
        <v>19</v>
      </c>
      <c r="B32" s="9" t="s">
        <v>20</v>
      </c>
      <c r="C32" s="10" t="s">
        <v>21</v>
      </c>
      <c r="D32" s="33"/>
      <c r="E32" s="33"/>
      <c r="F32" s="33"/>
      <c r="G32" s="13"/>
      <c r="H32" s="27" t="s">
        <v>27</v>
      </c>
      <c r="I32" s="24">
        <v>28950.0</v>
      </c>
      <c r="J32" s="16">
        <f t="shared" si="2"/>
        <v>43425</v>
      </c>
      <c r="K32" s="16">
        <f t="shared" ref="K32:L32" si="34">I32*1.3</f>
        <v>37635</v>
      </c>
      <c r="L32" s="16">
        <f t="shared" si="34"/>
        <v>56452.5</v>
      </c>
      <c r="M32" s="17">
        <f t="shared" si="4"/>
        <v>34740</v>
      </c>
      <c r="N32" s="17">
        <f t="shared" si="5"/>
        <v>33292.5</v>
      </c>
      <c r="O32" s="17">
        <f t="shared" si="6"/>
        <v>31845</v>
      </c>
    </row>
    <row r="33" hidden="1">
      <c r="A33" s="9" t="s">
        <v>19</v>
      </c>
      <c r="B33" s="9" t="s">
        <v>20</v>
      </c>
      <c r="C33" s="10" t="s">
        <v>21</v>
      </c>
      <c r="D33" s="33"/>
      <c r="E33" s="33"/>
      <c r="F33" s="33"/>
      <c r="G33" s="13"/>
      <c r="H33" s="27" t="s">
        <v>28</v>
      </c>
      <c r="I33" s="24">
        <v>30400.0</v>
      </c>
      <c r="J33" s="16">
        <f t="shared" si="2"/>
        <v>45600</v>
      </c>
      <c r="K33" s="16">
        <f t="shared" ref="K33:L33" si="35">I33*1.3</f>
        <v>39520</v>
      </c>
      <c r="L33" s="16">
        <f t="shared" si="35"/>
        <v>59280</v>
      </c>
      <c r="M33" s="17">
        <f t="shared" si="4"/>
        <v>36480</v>
      </c>
      <c r="N33" s="17">
        <f t="shared" si="5"/>
        <v>34960</v>
      </c>
      <c r="O33" s="17">
        <f t="shared" si="6"/>
        <v>33440</v>
      </c>
    </row>
    <row r="34" hidden="1">
      <c r="A34" s="9" t="s">
        <v>19</v>
      </c>
      <c r="B34" s="9" t="s">
        <v>20</v>
      </c>
      <c r="C34" s="10" t="s">
        <v>21</v>
      </c>
      <c r="D34" s="33"/>
      <c r="E34" s="33"/>
      <c r="F34" s="33"/>
      <c r="G34" s="13"/>
      <c r="H34" s="27" t="s">
        <v>29</v>
      </c>
      <c r="I34" s="24">
        <v>31200.0</v>
      </c>
      <c r="J34" s="16">
        <f t="shared" si="2"/>
        <v>46800</v>
      </c>
      <c r="K34" s="16">
        <f t="shared" ref="K34:L34" si="36">I34*1.3</f>
        <v>40560</v>
      </c>
      <c r="L34" s="16">
        <f t="shared" si="36"/>
        <v>60840</v>
      </c>
      <c r="M34" s="17">
        <f t="shared" si="4"/>
        <v>37440</v>
      </c>
      <c r="N34" s="17">
        <f t="shared" si="5"/>
        <v>35880</v>
      </c>
      <c r="O34" s="17">
        <f t="shared" si="6"/>
        <v>34320</v>
      </c>
    </row>
    <row r="35" hidden="1">
      <c r="A35" s="9" t="s">
        <v>19</v>
      </c>
      <c r="B35" s="9" t="s">
        <v>20</v>
      </c>
      <c r="C35" s="10" t="s">
        <v>21</v>
      </c>
      <c r="D35" s="33"/>
      <c r="E35" s="33"/>
      <c r="F35" s="33"/>
      <c r="G35" s="13"/>
      <c r="H35" s="27" t="s">
        <v>50</v>
      </c>
      <c r="I35" s="24">
        <v>28950.0</v>
      </c>
      <c r="J35" s="16">
        <f t="shared" si="2"/>
        <v>43425</v>
      </c>
      <c r="K35" s="16">
        <f t="shared" ref="K35:L35" si="37">I35*1.3</f>
        <v>37635</v>
      </c>
      <c r="L35" s="16">
        <f t="shared" si="37"/>
        <v>56452.5</v>
      </c>
      <c r="M35" s="17">
        <f t="shared" si="4"/>
        <v>34740</v>
      </c>
      <c r="N35" s="17">
        <f t="shared" si="5"/>
        <v>33292.5</v>
      </c>
      <c r="O35" s="17">
        <f t="shared" si="6"/>
        <v>31845</v>
      </c>
    </row>
    <row r="36" hidden="1">
      <c r="A36" s="9" t="s">
        <v>19</v>
      </c>
      <c r="B36" s="9" t="s">
        <v>20</v>
      </c>
      <c r="C36" s="10" t="s">
        <v>21</v>
      </c>
      <c r="D36" s="33"/>
      <c r="E36" s="33"/>
      <c r="F36" s="33"/>
      <c r="G36" s="13"/>
      <c r="H36" s="27" t="s">
        <v>51</v>
      </c>
      <c r="I36" s="24">
        <v>30200.0</v>
      </c>
      <c r="J36" s="16">
        <f t="shared" si="2"/>
        <v>45300</v>
      </c>
      <c r="K36" s="16">
        <f t="shared" ref="K36:L36" si="38">I36*1.3</f>
        <v>39260</v>
      </c>
      <c r="L36" s="16">
        <f t="shared" si="38"/>
        <v>58890</v>
      </c>
      <c r="M36" s="17">
        <f t="shared" si="4"/>
        <v>36240</v>
      </c>
      <c r="N36" s="17">
        <f t="shared" si="5"/>
        <v>34730</v>
      </c>
      <c r="O36" s="17">
        <f t="shared" si="6"/>
        <v>33220</v>
      </c>
    </row>
    <row r="37" hidden="1">
      <c r="A37" s="9" t="s">
        <v>19</v>
      </c>
      <c r="B37" s="9" t="s">
        <v>20</v>
      </c>
      <c r="C37" s="10" t="s">
        <v>21</v>
      </c>
      <c r="D37" s="33"/>
      <c r="E37" s="33"/>
      <c r="F37" s="33"/>
      <c r="G37" s="13"/>
      <c r="H37" s="27" t="s">
        <v>30</v>
      </c>
      <c r="I37" s="24">
        <v>28950.0</v>
      </c>
      <c r="J37" s="16">
        <f t="shared" si="2"/>
        <v>43425</v>
      </c>
      <c r="K37" s="16">
        <f t="shared" ref="K37:L37" si="39">I37*1.3</f>
        <v>37635</v>
      </c>
      <c r="L37" s="16">
        <f t="shared" si="39"/>
        <v>56452.5</v>
      </c>
      <c r="M37" s="17">
        <f t="shared" si="4"/>
        <v>34740</v>
      </c>
      <c r="N37" s="17">
        <f t="shared" si="5"/>
        <v>33292.5</v>
      </c>
      <c r="O37" s="17">
        <f t="shared" si="6"/>
        <v>31845</v>
      </c>
    </row>
    <row r="38" hidden="1">
      <c r="A38" s="9" t="s">
        <v>19</v>
      </c>
      <c r="B38" s="9" t="s">
        <v>20</v>
      </c>
      <c r="C38" s="10" t="s">
        <v>21</v>
      </c>
      <c r="D38" s="33"/>
      <c r="E38" s="33"/>
      <c r="F38" s="33"/>
      <c r="G38" s="13"/>
      <c r="H38" s="27" t="s">
        <v>31</v>
      </c>
      <c r="I38" s="24">
        <v>29850.0</v>
      </c>
      <c r="J38" s="16">
        <f t="shared" si="2"/>
        <v>44775</v>
      </c>
      <c r="K38" s="16">
        <f t="shared" ref="K38:L38" si="40">I38*1.3</f>
        <v>38805</v>
      </c>
      <c r="L38" s="16">
        <f t="shared" si="40"/>
        <v>58207.5</v>
      </c>
      <c r="M38" s="17">
        <f t="shared" si="4"/>
        <v>35820</v>
      </c>
      <c r="N38" s="17">
        <f t="shared" si="5"/>
        <v>34327.5</v>
      </c>
      <c r="O38" s="17">
        <f t="shared" si="6"/>
        <v>32835</v>
      </c>
    </row>
    <row r="39" hidden="1">
      <c r="A39" s="9" t="s">
        <v>19</v>
      </c>
      <c r="B39" s="9" t="s">
        <v>20</v>
      </c>
      <c r="C39" s="10" t="s">
        <v>21</v>
      </c>
      <c r="D39" s="33"/>
      <c r="E39" s="33"/>
      <c r="F39" s="33"/>
      <c r="G39" s="13"/>
      <c r="H39" s="27" t="s">
        <v>32</v>
      </c>
      <c r="I39" s="24">
        <v>31300.0</v>
      </c>
      <c r="J39" s="16">
        <f t="shared" si="2"/>
        <v>46950</v>
      </c>
      <c r="K39" s="16">
        <f t="shared" ref="K39:L39" si="41">I39*1.3</f>
        <v>40690</v>
      </c>
      <c r="L39" s="16">
        <f t="shared" si="41"/>
        <v>61035</v>
      </c>
      <c r="M39" s="17">
        <f t="shared" si="4"/>
        <v>37560</v>
      </c>
      <c r="N39" s="17">
        <f t="shared" si="5"/>
        <v>35995</v>
      </c>
      <c r="O39" s="17">
        <f t="shared" si="6"/>
        <v>34430</v>
      </c>
    </row>
    <row r="40" hidden="1">
      <c r="A40" s="9" t="s">
        <v>19</v>
      </c>
      <c r="B40" s="9" t="s">
        <v>20</v>
      </c>
      <c r="C40" s="10" t="s">
        <v>21</v>
      </c>
      <c r="D40" s="33"/>
      <c r="E40" s="33"/>
      <c r="F40" s="33"/>
      <c r="G40" s="13"/>
      <c r="H40" s="27" t="s">
        <v>33</v>
      </c>
      <c r="I40" s="24">
        <v>32100.0</v>
      </c>
      <c r="J40" s="16">
        <f t="shared" si="2"/>
        <v>48150</v>
      </c>
      <c r="K40" s="16">
        <f t="shared" ref="K40:L40" si="42">I40*1.3</f>
        <v>41730</v>
      </c>
      <c r="L40" s="16">
        <f t="shared" si="42"/>
        <v>62595</v>
      </c>
      <c r="M40" s="17">
        <f t="shared" si="4"/>
        <v>38520</v>
      </c>
      <c r="N40" s="17">
        <f t="shared" si="5"/>
        <v>36915</v>
      </c>
      <c r="O40" s="17">
        <f t="shared" si="6"/>
        <v>35310</v>
      </c>
    </row>
    <row r="41" hidden="1">
      <c r="A41" s="9" t="s">
        <v>19</v>
      </c>
      <c r="B41" s="9" t="s">
        <v>20</v>
      </c>
      <c r="C41" s="10" t="s">
        <v>21</v>
      </c>
      <c r="D41" s="33"/>
      <c r="E41" s="33"/>
      <c r="F41" s="33"/>
      <c r="G41" s="13"/>
      <c r="H41" s="27" t="s">
        <v>52</v>
      </c>
      <c r="I41" s="24">
        <v>29850.0</v>
      </c>
      <c r="J41" s="16">
        <f t="shared" si="2"/>
        <v>44775</v>
      </c>
      <c r="K41" s="16">
        <f t="shared" ref="K41:L41" si="43">I41*1.3</f>
        <v>38805</v>
      </c>
      <c r="L41" s="16">
        <f t="shared" si="43"/>
        <v>58207.5</v>
      </c>
      <c r="M41" s="17">
        <f t="shared" si="4"/>
        <v>35820</v>
      </c>
      <c r="N41" s="17">
        <f t="shared" si="5"/>
        <v>34327.5</v>
      </c>
      <c r="O41" s="17">
        <f t="shared" si="6"/>
        <v>32835</v>
      </c>
    </row>
    <row r="42" hidden="1">
      <c r="A42" s="9" t="s">
        <v>19</v>
      </c>
      <c r="B42" s="9" t="s">
        <v>20</v>
      </c>
      <c r="C42" s="10" t="s">
        <v>21</v>
      </c>
      <c r="D42" s="33"/>
      <c r="E42" s="33"/>
      <c r="F42" s="33"/>
      <c r="G42" s="13"/>
      <c r="H42" s="27" t="s">
        <v>53</v>
      </c>
      <c r="I42" s="24">
        <v>31100.0</v>
      </c>
      <c r="J42" s="16">
        <f t="shared" si="2"/>
        <v>46650</v>
      </c>
      <c r="K42" s="16">
        <f t="shared" ref="K42:L42" si="44">I42*1.3</f>
        <v>40430</v>
      </c>
      <c r="L42" s="16">
        <f t="shared" si="44"/>
        <v>60645</v>
      </c>
      <c r="M42" s="17">
        <f t="shared" si="4"/>
        <v>37320</v>
      </c>
      <c r="N42" s="17">
        <f t="shared" si="5"/>
        <v>35765</v>
      </c>
      <c r="O42" s="17">
        <f t="shared" si="6"/>
        <v>34210</v>
      </c>
    </row>
    <row r="43" hidden="1">
      <c r="A43" s="9" t="s">
        <v>19</v>
      </c>
      <c r="B43" s="9" t="s">
        <v>20</v>
      </c>
      <c r="C43" s="10" t="s">
        <v>21</v>
      </c>
      <c r="D43" s="33"/>
      <c r="E43" s="33"/>
      <c r="F43" s="33"/>
      <c r="G43" s="13"/>
      <c r="H43" s="27" t="s">
        <v>35</v>
      </c>
      <c r="I43" s="24">
        <v>30400.0</v>
      </c>
      <c r="J43" s="16">
        <f t="shared" si="2"/>
        <v>45600</v>
      </c>
      <c r="K43" s="16">
        <f t="shared" ref="K43:L43" si="45">I43*1.3</f>
        <v>39520</v>
      </c>
      <c r="L43" s="16">
        <f t="shared" si="45"/>
        <v>59280</v>
      </c>
      <c r="M43" s="17">
        <f t="shared" si="4"/>
        <v>36480</v>
      </c>
      <c r="N43" s="17">
        <f t="shared" si="5"/>
        <v>34960</v>
      </c>
      <c r="O43" s="17">
        <f t="shared" si="6"/>
        <v>33440</v>
      </c>
    </row>
    <row r="44" hidden="1">
      <c r="A44" s="9" t="s">
        <v>19</v>
      </c>
      <c r="B44" s="9" t="s">
        <v>20</v>
      </c>
      <c r="C44" s="10" t="s">
        <v>21</v>
      </c>
      <c r="D44" s="33"/>
      <c r="E44" s="33"/>
      <c r="F44" s="33"/>
      <c r="G44" s="13"/>
      <c r="H44" s="27" t="s">
        <v>36</v>
      </c>
      <c r="I44" s="24">
        <v>31300.0</v>
      </c>
      <c r="J44" s="16">
        <f t="shared" si="2"/>
        <v>46950</v>
      </c>
      <c r="K44" s="16">
        <f t="shared" ref="K44:L44" si="46">I44*1.3</f>
        <v>40690</v>
      </c>
      <c r="L44" s="16">
        <f t="shared" si="46"/>
        <v>61035</v>
      </c>
      <c r="M44" s="17">
        <f t="shared" si="4"/>
        <v>37560</v>
      </c>
      <c r="N44" s="17">
        <f t="shared" si="5"/>
        <v>35995</v>
      </c>
      <c r="O44" s="17">
        <f t="shared" si="6"/>
        <v>34430</v>
      </c>
    </row>
    <row r="45" hidden="1">
      <c r="A45" s="9" t="s">
        <v>19</v>
      </c>
      <c r="B45" s="9" t="s">
        <v>20</v>
      </c>
      <c r="C45" s="10" t="s">
        <v>21</v>
      </c>
      <c r="D45" s="33"/>
      <c r="E45" s="33"/>
      <c r="F45" s="33"/>
      <c r="G45" s="13"/>
      <c r="H45" s="27" t="s">
        <v>37</v>
      </c>
      <c r="I45" s="24">
        <v>32750.0</v>
      </c>
      <c r="J45" s="16">
        <f t="shared" si="2"/>
        <v>49125</v>
      </c>
      <c r="K45" s="16">
        <f t="shared" ref="K45:L45" si="47">I45*1.3</f>
        <v>42575</v>
      </c>
      <c r="L45" s="16">
        <f t="shared" si="47"/>
        <v>63862.5</v>
      </c>
      <c r="M45" s="17">
        <f t="shared" si="4"/>
        <v>39300</v>
      </c>
      <c r="N45" s="17">
        <f t="shared" si="5"/>
        <v>37662.5</v>
      </c>
      <c r="O45" s="17">
        <f t="shared" si="6"/>
        <v>36025</v>
      </c>
    </row>
    <row r="46" hidden="1">
      <c r="A46" s="9" t="s">
        <v>19</v>
      </c>
      <c r="B46" s="9" t="s">
        <v>20</v>
      </c>
      <c r="C46" s="10" t="s">
        <v>21</v>
      </c>
      <c r="D46" s="33"/>
      <c r="E46" s="33"/>
      <c r="F46" s="33"/>
      <c r="G46" s="13"/>
      <c r="H46" s="27" t="s">
        <v>38</v>
      </c>
      <c r="I46" s="24">
        <v>33550.0</v>
      </c>
      <c r="J46" s="16">
        <f t="shared" si="2"/>
        <v>50325</v>
      </c>
      <c r="K46" s="16">
        <f t="shared" ref="K46:L46" si="48">I46*1.3</f>
        <v>43615</v>
      </c>
      <c r="L46" s="16">
        <f t="shared" si="48"/>
        <v>65422.5</v>
      </c>
      <c r="M46" s="17">
        <f t="shared" si="4"/>
        <v>40260</v>
      </c>
      <c r="N46" s="17">
        <f t="shared" si="5"/>
        <v>38582.5</v>
      </c>
      <c r="O46" s="17">
        <f t="shared" si="6"/>
        <v>36905</v>
      </c>
    </row>
    <row r="47" hidden="1">
      <c r="A47" s="9" t="s">
        <v>19</v>
      </c>
      <c r="B47" s="9" t="s">
        <v>20</v>
      </c>
      <c r="C47" s="10" t="s">
        <v>21</v>
      </c>
      <c r="D47" s="33"/>
      <c r="E47" s="33"/>
      <c r="F47" s="33"/>
      <c r="G47" s="13"/>
      <c r="H47" s="27" t="s">
        <v>54</v>
      </c>
      <c r="I47" s="24">
        <v>31300.0</v>
      </c>
      <c r="J47" s="16">
        <f t="shared" si="2"/>
        <v>46950</v>
      </c>
      <c r="K47" s="16">
        <f t="shared" ref="K47:L47" si="49">I47*1.3</f>
        <v>40690</v>
      </c>
      <c r="L47" s="16">
        <f t="shared" si="49"/>
        <v>61035</v>
      </c>
      <c r="M47" s="17">
        <f t="shared" si="4"/>
        <v>37560</v>
      </c>
      <c r="N47" s="17">
        <f t="shared" si="5"/>
        <v>35995</v>
      </c>
      <c r="O47" s="17">
        <f t="shared" si="6"/>
        <v>34430</v>
      </c>
    </row>
    <row r="48" hidden="1">
      <c r="A48" s="9" t="s">
        <v>19</v>
      </c>
      <c r="B48" s="9" t="s">
        <v>20</v>
      </c>
      <c r="C48" s="10" t="s">
        <v>21</v>
      </c>
      <c r="D48" s="33"/>
      <c r="E48" s="34"/>
      <c r="F48" s="34"/>
      <c r="G48" s="13"/>
      <c r="H48" s="27" t="s">
        <v>55</v>
      </c>
      <c r="I48" s="24">
        <v>32550.0</v>
      </c>
      <c r="J48" s="16">
        <f t="shared" si="2"/>
        <v>48825</v>
      </c>
      <c r="K48" s="16">
        <f t="shared" ref="K48:L48" si="50">I48*1.3</f>
        <v>42315</v>
      </c>
      <c r="L48" s="16">
        <f t="shared" si="50"/>
        <v>63472.5</v>
      </c>
      <c r="M48" s="17">
        <f t="shared" si="4"/>
        <v>39060</v>
      </c>
      <c r="N48" s="17">
        <f t="shared" si="5"/>
        <v>37432.5</v>
      </c>
      <c r="O48" s="17">
        <f t="shared" si="6"/>
        <v>35805</v>
      </c>
    </row>
    <row r="49" hidden="1">
      <c r="A49" s="9" t="s">
        <v>19</v>
      </c>
      <c r="B49" s="9" t="s">
        <v>20</v>
      </c>
      <c r="C49" s="10" t="s">
        <v>21</v>
      </c>
      <c r="D49" s="33"/>
      <c r="E49" s="11" t="s">
        <v>56</v>
      </c>
      <c r="F49" s="35" t="s">
        <v>57</v>
      </c>
      <c r="G49" s="13"/>
      <c r="H49" s="23" t="s">
        <v>25</v>
      </c>
      <c r="I49" s="24">
        <v>33900.0</v>
      </c>
      <c r="J49" s="16">
        <f t="shared" si="2"/>
        <v>50850</v>
      </c>
      <c r="K49" s="16">
        <f t="shared" ref="K49:L49" si="51">I49*1.3</f>
        <v>44070</v>
      </c>
      <c r="L49" s="16">
        <f t="shared" si="51"/>
        <v>66105</v>
      </c>
      <c r="M49" s="17">
        <f t="shared" si="4"/>
        <v>40680</v>
      </c>
      <c r="N49" s="17">
        <f t="shared" si="5"/>
        <v>38985</v>
      </c>
      <c r="O49" s="17">
        <f t="shared" si="6"/>
        <v>37290</v>
      </c>
    </row>
    <row r="50" hidden="1">
      <c r="A50" s="9" t="s">
        <v>19</v>
      </c>
      <c r="B50" s="9" t="s">
        <v>20</v>
      </c>
      <c r="C50" s="10" t="s">
        <v>21</v>
      </c>
      <c r="D50" s="33"/>
      <c r="E50" s="33"/>
      <c r="F50" s="33"/>
      <c r="G50" s="13"/>
      <c r="H50" s="27" t="s">
        <v>27</v>
      </c>
      <c r="I50" s="24">
        <v>34800.0</v>
      </c>
      <c r="J50" s="16">
        <f t="shared" si="2"/>
        <v>52200</v>
      </c>
      <c r="K50" s="16">
        <f t="shared" ref="K50:L50" si="52">I50*1.3</f>
        <v>45240</v>
      </c>
      <c r="L50" s="16">
        <f t="shared" si="52"/>
        <v>67860</v>
      </c>
      <c r="M50" s="17">
        <f t="shared" si="4"/>
        <v>41760</v>
      </c>
      <c r="N50" s="17">
        <f t="shared" si="5"/>
        <v>40020</v>
      </c>
      <c r="O50" s="17">
        <f t="shared" si="6"/>
        <v>38280</v>
      </c>
    </row>
    <row r="51" hidden="1">
      <c r="A51" s="9" t="s">
        <v>19</v>
      </c>
      <c r="B51" s="9" t="s">
        <v>20</v>
      </c>
      <c r="C51" s="10" t="s">
        <v>21</v>
      </c>
      <c r="D51" s="33"/>
      <c r="E51" s="33"/>
      <c r="F51" s="33"/>
      <c r="G51" s="13"/>
      <c r="H51" s="27" t="s">
        <v>28</v>
      </c>
      <c r="I51" s="24">
        <v>36250.0</v>
      </c>
      <c r="J51" s="16">
        <f t="shared" si="2"/>
        <v>54375</v>
      </c>
      <c r="K51" s="16">
        <f t="shared" ref="K51:L51" si="53">I51*1.3</f>
        <v>47125</v>
      </c>
      <c r="L51" s="16">
        <f t="shared" si="53"/>
        <v>70687.5</v>
      </c>
      <c r="M51" s="17">
        <f t="shared" si="4"/>
        <v>43500</v>
      </c>
      <c r="N51" s="17">
        <f t="shared" si="5"/>
        <v>41687.5</v>
      </c>
      <c r="O51" s="17">
        <f t="shared" si="6"/>
        <v>39875</v>
      </c>
    </row>
    <row r="52" hidden="1">
      <c r="A52" s="9" t="s">
        <v>19</v>
      </c>
      <c r="B52" s="9" t="s">
        <v>20</v>
      </c>
      <c r="C52" s="10" t="s">
        <v>21</v>
      </c>
      <c r="D52" s="33"/>
      <c r="E52" s="33"/>
      <c r="F52" s="33"/>
      <c r="G52" s="13"/>
      <c r="H52" s="27" t="s">
        <v>29</v>
      </c>
      <c r="I52" s="24">
        <v>37050.0</v>
      </c>
      <c r="J52" s="16">
        <f t="shared" si="2"/>
        <v>55575</v>
      </c>
      <c r="K52" s="16">
        <f t="shared" ref="K52:L52" si="54">I52*1.3</f>
        <v>48165</v>
      </c>
      <c r="L52" s="16">
        <f t="shared" si="54"/>
        <v>72247.5</v>
      </c>
      <c r="M52" s="17">
        <f t="shared" si="4"/>
        <v>44460</v>
      </c>
      <c r="N52" s="17">
        <f t="shared" si="5"/>
        <v>42607.5</v>
      </c>
      <c r="O52" s="17">
        <f t="shared" si="6"/>
        <v>40755</v>
      </c>
    </row>
    <row r="53" hidden="1">
      <c r="A53" s="9" t="s">
        <v>19</v>
      </c>
      <c r="B53" s="9" t="s">
        <v>20</v>
      </c>
      <c r="C53" s="10" t="s">
        <v>21</v>
      </c>
      <c r="D53" s="33"/>
      <c r="E53" s="33"/>
      <c r="F53" s="33"/>
      <c r="G53" s="13"/>
      <c r="H53" s="27" t="s">
        <v>50</v>
      </c>
      <c r="I53" s="24">
        <v>34800.0</v>
      </c>
      <c r="J53" s="16">
        <f t="shared" si="2"/>
        <v>52200</v>
      </c>
      <c r="K53" s="16">
        <f t="shared" ref="K53:L53" si="55">I53*1.3</f>
        <v>45240</v>
      </c>
      <c r="L53" s="16">
        <f t="shared" si="55"/>
        <v>67860</v>
      </c>
      <c r="M53" s="17">
        <f t="shared" si="4"/>
        <v>41760</v>
      </c>
      <c r="N53" s="17">
        <f t="shared" si="5"/>
        <v>40020</v>
      </c>
      <c r="O53" s="17">
        <f t="shared" si="6"/>
        <v>38280</v>
      </c>
    </row>
    <row r="54" hidden="1">
      <c r="A54" s="9" t="s">
        <v>19</v>
      </c>
      <c r="B54" s="9" t="s">
        <v>20</v>
      </c>
      <c r="C54" s="10" t="s">
        <v>21</v>
      </c>
      <c r="D54" s="33"/>
      <c r="E54" s="33"/>
      <c r="F54" s="33"/>
      <c r="G54" s="13"/>
      <c r="H54" s="27" t="s">
        <v>51</v>
      </c>
      <c r="I54" s="24">
        <v>36050.0</v>
      </c>
      <c r="J54" s="16">
        <f t="shared" si="2"/>
        <v>54075</v>
      </c>
      <c r="K54" s="16">
        <f t="shared" ref="K54:L54" si="56">I54*1.3</f>
        <v>46865</v>
      </c>
      <c r="L54" s="16">
        <f t="shared" si="56"/>
        <v>70297.5</v>
      </c>
      <c r="M54" s="17">
        <f t="shared" si="4"/>
        <v>43260</v>
      </c>
      <c r="N54" s="17">
        <f t="shared" si="5"/>
        <v>41457.5</v>
      </c>
      <c r="O54" s="17">
        <f t="shared" si="6"/>
        <v>39655</v>
      </c>
    </row>
    <row r="55" hidden="1">
      <c r="A55" s="9" t="s">
        <v>19</v>
      </c>
      <c r="B55" s="9" t="s">
        <v>20</v>
      </c>
      <c r="C55" s="10" t="s">
        <v>21</v>
      </c>
      <c r="D55" s="33"/>
      <c r="E55" s="33"/>
      <c r="F55" s="33"/>
      <c r="G55" s="13"/>
      <c r="H55" s="27" t="s">
        <v>30</v>
      </c>
      <c r="I55" s="24">
        <v>34800.0</v>
      </c>
      <c r="J55" s="16">
        <f t="shared" si="2"/>
        <v>52200</v>
      </c>
      <c r="K55" s="16">
        <f t="shared" ref="K55:L55" si="57">I55*1.3</f>
        <v>45240</v>
      </c>
      <c r="L55" s="16">
        <f t="shared" si="57"/>
        <v>67860</v>
      </c>
      <c r="M55" s="17">
        <f t="shared" si="4"/>
        <v>41760</v>
      </c>
      <c r="N55" s="17">
        <f t="shared" si="5"/>
        <v>40020</v>
      </c>
      <c r="O55" s="17">
        <f t="shared" si="6"/>
        <v>38280</v>
      </c>
    </row>
    <row r="56" hidden="1">
      <c r="A56" s="9" t="s">
        <v>19</v>
      </c>
      <c r="B56" s="9" t="s">
        <v>20</v>
      </c>
      <c r="C56" s="10" t="s">
        <v>21</v>
      </c>
      <c r="D56" s="33"/>
      <c r="E56" s="33"/>
      <c r="F56" s="33"/>
      <c r="G56" s="13"/>
      <c r="H56" s="27" t="s">
        <v>31</v>
      </c>
      <c r="I56" s="24">
        <v>35700.0</v>
      </c>
      <c r="J56" s="16">
        <f t="shared" si="2"/>
        <v>53550</v>
      </c>
      <c r="K56" s="16">
        <f t="shared" ref="K56:L56" si="58">I56*1.3</f>
        <v>46410</v>
      </c>
      <c r="L56" s="16">
        <f t="shared" si="58"/>
        <v>69615</v>
      </c>
      <c r="M56" s="17">
        <f t="shared" si="4"/>
        <v>42840</v>
      </c>
      <c r="N56" s="17">
        <f t="shared" si="5"/>
        <v>41055</v>
      </c>
      <c r="O56" s="17">
        <f t="shared" si="6"/>
        <v>39270</v>
      </c>
    </row>
    <row r="57" hidden="1">
      <c r="A57" s="9" t="s">
        <v>19</v>
      </c>
      <c r="B57" s="9" t="s">
        <v>20</v>
      </c>
      <c r="C57" s="10" t="s">
        <v>21</v>
      </c>
      <c r="D57" s="33"/>
      <c r="E57" s="33"/>
      <c r="F57" s="33"/>
      <c r="G57" s="13"/>
      <c r="H57" s="27" t="s">
        <v>32</v>
      </c>
      <c r="I57" s="24">
        <v>37150.0</v>
      </c>
      <c r="J57" s="16">
        <f t="shared" si="2"/>
        <v>55725</v>
      </c>
      <c r="K57" s="16">
        <f t="shared" ref="K57:L57" si="59">I57*1.3</f>
        <v>48295</v>
      </c>
      <c r="L57" s="16">
        <f t="shared" si="59"/>
        <v>72442.5</v>
      </c>
      <c r="M57" s="17">
        <f t="shared" si="4"/>
        <v>44580</v>
      </c>
      <c r="N57" s="17">
        <f t="shared" si="5"/>
        <v>42722.5</v>
      </c>
      <c r="O57" s="17">
        <f t="shared" si="6"/>
        <v>40865</v>
      </c>
    </row>
    <row r="58" hidden="1">
      <c r="A58" s="9" t="s">
        <v>19</v>
      </c>
      <c r="B58" s="9" t="s">
        <v>20</v>
      </c>
      <c r="C58" s="10" t="s">
        <v>21</v>
      </c>
      <c r="D58" s="33"/>
      <c r="E58" s="33"/>
      <c r="F58" s="33"/>
      <c r="G58" s="13"/>
      <c r="H58" s="27" t="s">
        <v>33</v>
      </c>
      <c r="I58" s="24">
        <v>37950.0</v>
      </c>
      <c r="J58" s="16">
        <f t="shared" si="2"/>
        <v>56925</v>
      </c>
      <c r="K58" s="16">
        <f t="shared" ref="K58:L58" si="60">I58*1.3</f>
        <v>49335</v>
      </c>
      <c r="L58" s="16">
        <f t="shared" si="60"/>
        <v>74002.5</v>
      </c>
      <c r="M58" s="17">
        <f t="shared" si="4"/>
        <v>45540</v>
      </c>
      <c r="N58" s="17">
        <f t="shared" si="5"/>
        <v>43642.5</v>
      </c>
      <c r="O58" s="17">
        <f t="shared" si="6"/>
        <v>41745</v>
      </c>
    </row>
    <row r="59" hidden="1">
      <c r="A59" s="9" t="s">
        <v>19</v>
      </c>
      <c r="B59" s="9" t="s">
        <v>20</v>
      </c>
      <c r="C59" s="10" t="s">
        <v>21</v>
      </c>
      <c r="D59" s="33"/>
      <c r="E59" s="33"/>
      <c r="F59" s="33"/>
      <c r="G59" s="13"/>
      <c r="H59" s="27" t="s">
        <v>52</v>
      </c>
      <c r="I59" s="24">
        <v>35700.0</v>
      </c>
      <c r="J59" s="16">
        <f t="shared" si="2"/>
        <v>53550</v>
      </c>
      <c r="K59" s="16">
        <f t="shared" ref="K59:L59" si="61">I59*1.3</f>
        <v>46410</v>
      </c>
      <c r="L59" s="16">
        <f t="shared" si="61"/>
        <v>69615</v>
      </c>
      <c r="M59" s="17">
        <f t="shared" si="4"/>
        <v>42840</v>
      </c>
      <c r="N59" s="17">
        <f t="shared" si="5"/>
        <v>41055</v>
      </c>
      <c r="O59" s="17">
        <f t="shared" si="6"/>
        <v>39270</v>
      </c>
    </row>
    <row r="60" hidden="1">
      <c r="A60" s="9" t="s">
        <v>19</v>
      </c>
      <c r="B60" s="9" t="s">
        <v>20</v>
      </c>
      <c r="C60" s="10" t="s">
        <v>21</v>
      </c>
      <c r="D60" s="33"/>
      <c r="E60" s="33"/>
      <c r="F60" s="33"/>
      <c r="G60" s="13"/>
      <c r="H60" s="27" t="s">
        <v>53</v>
      </c>
      <c r="I60" s="24">
        <v>36950.0</v>
      </c>
      <c r="J60" s="16">
        <f t="shared" si="2"/>
        <v>55425</v>
      </c>
      <c r="K60" s="16">
        <f t="shared" ref="K60:L60" si="62">I60*1.3</f>
        <v>48035</v>
      </c>
      <c r="L60" s="16">
        <f t="shared" si="62"/>
        <v>72052.5</v>
      </c>
      <c r="M60" s="17">
        <f t="shared" si="4"/>
        <v>44340</v>
      </c>
      <c r="N60" s="17">
        <f t="shared" si="5"/>
        <v>42492.5</v>
      </c>
      <c r="O60" s="17">
        <f t="shared" si="6"/>
        <v>40645</v>
      </c>
    </row>
    <row r="61" hidden="1">
      <c r="A61" s="9" t="s">
        <v>19</v>
      </c>
      <c r="B61" s="9" t="s">
        <v>20</v>
      </c>
      <c r="C61" s="10" t="s">
        <v>21</v>
      </c>
      <c r="D61" s="33"/>
      <c r="E61" s="33"/>
      <c r="F61" s="33"/>
      <c r="G61" s="13"/>
      <c r="H61" s="27" t="s">
        <v>35</v>
      </c>
      <c r="I61" s="24">
        <v>36250.0</v>
      </c>
      <c r="J61" s="16">
        <f t="shared" si="2"/>
        <v>54375</v>
      </c>
      <c r="K61" s="16">
        <f t="shared" ref="K61:L61" si="63">I61*1.3</f>
        <v>47125</v>
      </c>
      <c r="L61" s="16">
        <f t="shared" si="63"/>
        <v>70687.5</v>
      </c>
      <c r="M61" s="17">
        <f t="shared" si="4"/>
        <v>43500</v>
      </c>
      <c r="N61" s="17">
        <f t="shared" si="5"/>
        <v>41687.5</v>
      </c>
      <c r="O61" s="17">
        <f t="shared" si="6"/>
        <v>39875</v>
      </c>
    </row>
    <row r="62" hidden="1">
      <c r="A62" s="9" t="s">
        <v>19</v>
      </c>
      <c r="B62" s="9" t="s">
        <v>20</v>
      </c>
      <c r="C62" s="10" t="s">
        <v>21</v>
      </c>
      <c r="D62" s="33"/>
      <c r="E62" s="33"/>
      <c r="F62" s="33"/>
      <c r="G62" s="13"/>
      <c r="H62" s="27" t="s">
        <v>36</v>
      </c>
      <c r="I62" s="24">
        <v>37150.0</v>
      </c>
      <c r="J62" s="16">
        <f t="shared" si="2"/>
        <v>55725</v>
      </c>
      <c r="K62" s="16">
        <f t="shared" ref="K62:L62" si="64">I62*1.3</f>
        <v>48295</v>
      </c>
      <c r="L62" s="16">
        <f t="shared" si="64"/>
        <v>72442.5</v>
      </c>
      <c r="M62" s="17">
        <f t="shared" si="4"/>
        <v>44580</v>
      </c>
      <c r="N62" s="17">
        <f t="shared" si="5"/>
        <v>42722.5</v>
      </c>
      <c r="O62" s="17">
        <f t="shared" si="6"/>
        <v>40865</v>
      </c>
    </row>
    <row r="63" hidden="1">
      <c r="A63" s="9" t="s">
        <v>19</v>
      </c>
      <c r="B63" s="9" t="s">
        <v>20</v>
      </c>
      <c r="C63" s="10" t="s">
        <v>21</v>
      </c>
      <c r="D63" s="33"/>
      <c r="E63" s="33"/>
      <c r="F63" s="33"/>
      <c r="G63" s="13"/>
      <c r="H63" s="27" t="s">
        <v>37</v>
      </c>
      <c r="I63" s="24">
        <v>38600.0</v>
      </c>
      <c r="J63" s="16">
        <f t="shared" si="2"/>
        <v>57900</v>
      </c>
      <c r="K63" s="16">
        <f t="shared" ref="K63:L63" si="65">I63*1.3</f>
        <v>50180</v>
      </c>
      <c r="L63" s="16">
        <f t="shared" si="65"/>
        <v>75270</v>
      </c>
      <c r="M63" s="17">
        <f t="shared" si="4"/>
        <v>46320</v>
      </c>
      <c r="N63" s="17">
        <f t="shared" si="5"/>
        <v>44390</v>
      </c>
      <c r="O63" s="17">
        <f t="shared" si="6"/>
        <v>42460</v>
      </c>
    </row>
    <row r="64" hidden="1">
      <c r="A64" s="9" t="s">
        <v>19</v>
      </c>
      <c r="B64" s="9" t="s">
        <v>20</v>
      </c>
      <c r="C64" s="10" t="s">
        <v>21</v>
      </c>
      <c r="D64" s="33"/>
      <c r="E64" s="33"/>
      <c r="F64" s="33"/>
      <c r="G64" s="13"/>
      <c r="H64" s="27" t="s">
        <v>38</v>
      </c>
      <c r="I64" s="24">
        <v>39400.0</v>
      </c>
      <c r="J64" s="16">
        <f t="shared" si="2"/>
        <v>59100</v>
      </c>
      <c r="K64" s="16">
        <f t="shared" ref="K64:L64" si="66">I64*1.3</f>
        <v>51220</v>
      </c>
      <c r="L64" s="16">
        <f t="shared" si="66"/>
        <v>76830</v>
      </c>
      <c r="M64" s="17">
        <f t="shared" si="4"/>
        <v>47280</v>
      </c>
      <c r="N64" s="17">
        <f t="shared" si="5"/>
        <v>45310</v>
      </c>
      <c r="O64" s="17">
        <f t="shared" si="6"/>
        <v>43340</v>
      </c>
    </row>
    <row r="65" hidden="1">
      <c r="A65" s="9" t="s">
        <v>19</v>
      </c>
      <c r="B65" s="9" t="s">
        <v>20</v>
      </c>
      <c r="C65" s="10" t="s">
        <v>21</v>
      </c>
      <c r="D65" s="33"/>
      <c r="E65" s="33"/>
      <c r="F65" s="33"/>
      <c r="G65" s="13"/>
      <c r="H65" s="27" t="s">
        <v>54</v>
      </c>
      <c r="I65" s="24">
        <v>37150.0</v>
      </c>
      <c r="J65" s="16">
        <f t="shared" si="2"/>
        <v>55725</v>
      </c>
      <c r="K65" s="16">
        <f t="shared" ref="K65:L65" si="67">I65*1.3</f>
        <v>48295</v>
      </c>
      <c r="L65" s="16">
        <f t="shared" si="67"/>
        <v>72442.5</v>
      </c>
      <c r="M65" s="17">
        <f t="shared" si="4"/>
        <v>44580</v>
      </c>
      <c r="N65" s="17">
        <f t="shared" si="5"/>
        <v>42722.5</v>
      </c>
      <c r="O65" s="17">
        <f t="shared" si="6"/>
        <v>40865</v>
      </c>
    </row>
    <row r="66" hidden="1">
      <c r="A66" s="9" t="s">
        <v>19</v>
      </c>
      <c r="B66" s="9" t="s">
        <v>20</v>
      </c>
      <c r="C66" s="10" t="s">
        <v>21</v>
      </c>
      <c r="D66" s="33"/>
      <c r="E66" s="34"/>
      <c r="F66" s="34"/>
      <c r="G66" s="13"/>
      <c r="H66" s="27" t="s">
        <v>55</v>
      </c>
      <c r="I66" s="24">
        <v>38400.0</v>
      </c>
      <c r="J66" s="16">
        <f t="shared" si="2"/>
        <v>57600</v>
      </c>
      <c r="K66" s="16">
        <f t="shared" ref="K66:L66" si="68">I66*1.3</f>
        <v>49920</v>
      </c>
      <c r="L66" s="16">
        <f t="shared" si="68"/>
        <v>74880</v>
      </c>
      <c r="M66" s="17">
        <f t="shared" si="4"/>
        <v>46080</v>
      </c>
      <c r="N66" s="17">
        <f t="shared" si="5"/>
        <v>44160</v>
      </c>
      <c r="O66" s="17">
        <f t="shared" si="6"/>
        <v>42240</v>
      </c>
    </row>
    <row r="67" hidden="1">
      <c r="A67" s="9" t="s">
        <v>19</v>
      </c>
      <c r="B67" s="9" t="s">
        <v>20</v>
      </c>
      <c r="C67" s="10" t="s">
        <v>21</v>
      </c>
      <c r="D67" s="33"/>
      <c r="E67" s="11" t="s">
        <v>58</v>
      </c>
      <c r="F67" s="35" t="s">
        <v>59</v>
      </c>
      <c r="G67" s="13"/>
      <c r="H67" s="23" t="s">
        <v>25</v>
      </c>
      <c r="I67" s="24">
        <v>36150.0</v>
      </c>
      <c r="J67" s="16">
        <f t="shared" si="2"/>
        <v>54225</v>
      </c>
      <c r="K67" s="16">
        <f t="shared" ref="K67:L67" si="69">I67*1.3</f>
        <v>46995</v>
      </c>
      <c r="L67" s="16">
        <f t="shared" si="69"/>
        <v>70492.5</v>
      </c>
      <c r="M67" s="17">
        <f t="shared" si="4"/>
        <v>43380</v>
      </c>
      <c r="N67" s="17">
        <f t="shared" si="5"/>
        <v>41572.5</v>
      </c>
      <c r="O67" s="17">
        <f t="shared" si="6"/>
        <v>39765</v>
      </c>
    </row>
    <row r="68" hidden="1">
      <c r="A68" s="9" t="s">
        <v>19</v>
      </c>
      <c r="B68" s="9" t="s">
        <v>20</v>
      </c>
      <c r="C68" s="10" t="s">
        <v>21</v>
      </c>
      <c r="D68" s="33"/>
      <c r="E68" s="33"/>
      <c r="F68" s="33"/>
      <c r="G68" s="13"/>
      <c r="H68" s="27" t="s">
        <v>27</v>
      </c>
      <c r="I68" s="24">
        <v>37050.0</v>
      </c>
      <c r="J68" s="16">
        <f t="shared" si="2"/>
        <v>55575</v>
      </c>
      <c r="K68" s="16">
        <f t="shared" ref="K68:L68" si="70">I68*1.3</f>
        <v>48165</v>
      </c>
      <c r="L68" s="16">
        <f t="shared" si="70"/>
        <v>72247.5</v>
      </c>
      <c r="M68" s="17">
        <f t="shared" si="4"/>
        <v>44460</v>
      </c>
      <c r="N68" s="17">
        <f t="shared" si="5"/>
        <v>42607.5</v>
      </c>
      <c r="O68" s="17">
        <f t="shared" si="6"/>
        <v>40755</v>
      </c>
    </row>
    <row r="69" hidden="1">
      <c r="A69" s="9" t="s">
        <v>19</v>
      </c>
      <c r="B69" s="9" t="s">
        <v>20</v>
      </c>
      <c r="C69" s="10" t="s">
        <v>21</v>
      </c>
      <c r="D69" s="33"/>
      <c r="E69" s="33"/>
      <c r="F69" s="33"/>
      <c r="G69" s="13"/>
      <c r="H69" s="27" t="s">
        <v>28</v>
      </c>
      <c r="I69" s="24">
        <v>38500.0</v>
      </c>
      <c r="J69" s="16">
        <f t="shared" si="2"/>
        <v>57750</v>
      </c>
      <c r="K69" s="16">
        <f t="shared" ref="K69:L69" si="71">I69*1.3</f>
        <v>50050</v>
      </c>
      <c r="L69" s="16">
        <f t="shared" si="71"/>
        <v>75075</v>
      </c>
      <c r="M69" s="17">
        <f t="shared" si="4"/>
        <v>46200</v>
      </c>
      <c r="N69" s="17">
        <f t="shared" si="5"/>
        <v>44275</v>
      </c>
      <c r="O69" s="17">
        <f t="shared" si="6"/>
        <v>42350</v>
      </c>
    </row>
    <row r="70" hidden="1">
      <c r="A70" s="9" t="s">
        <v>19</v>
      </c>
      <c r="B70" s="9" t="s">
        <v>20</v>
      </c>
      <c r="C70" s="10" t="s">
        <v>21</v>
      </c>
      <c r="D70" s="33"/>
      <c r="E70" s="33"/>
      <c r="F70" s="33"/>
      <c r="G70" s="13"/>
      <c r="H70" s="27" t="s">
        <v>29</v>
      </c>
      <c r="I70" s="24">
        <v>39300.0</v>
      </c>
      <c r="J70" s="16">
        <f t="shared" si="2"/>
        <v>58950</v>
      </c>
      <c r="K70" s="16">
        <f t="shared" ref="K70:L70" si="72">I70*1.3</f>
        <v>51090</v>
      </c>
      <c r="L70" s="16">
        <f t="shared" si="72"/>
        <v>76635</v>
      </c>
      <c r="M70" s="17">
        <f t="shared" si="4"/>
        <v>47160</v>
      </c>
      <c r="N70" s="17">
        <f t="shared" si="5"/>
        <v>45195</v>
      </c>
      <c r="O70" s="17">
        <f t="shared" si="6"/>
        <v>43230</v>
      </c>
    </row>
    <row r="71" hidden="1">
      <c r="A71" s="9" t="s">
        <v>19</v>
      </c>
      <c r="B71" s="9" t="s">
        <v>20</v>
      </c>
      <c r="C71" s="10" t="s">
        <v>21</v>
      </c>
      <c r="D71" s="33"/>
      <c r="E71" s="33"/>
      <c r="F71" s="33"/>
      <c r="G71" s="13"/>
      <c r="H71" s="27" t="s">
        <v>50</v>
      </c>
      <c r="I71" s="24">
        <v>37050.0</v>
      </c>
      <c r="J71" s="16">
        <f t="shared" si="2"/>
        <v>55575</v>
      </c>
      <c r="K71" s="16">
        <f t="shared" ref="K71:L71" si="73">I71*1.3</f>
        <v>48165</v>
      </c>
      <c r="L71" s="16">
        <f t="shared" si="73"/>
        <v>72247.5</v>
      </c>
      <c r="M71" s="17">
        <f t="shared" si="4"/>
        <v>44460</v>
      </c>
      <c r="N71" s="17">
        <f t="shared" si="5"/>
        <v>42607.5</v>
      </c>
      <c r="O71" s="17">
        <f t="shared" si="6"/>
        <v>40755</v>
      </c>
    </row>
    <row r="72" hidden="1">
      <c r="A72" s="9" t="s">
        <v>19</v>
      </c>
      <c r="B72" s="9" t="s">
        <v>20</v>
      </c>
      <c r="C72" s="10" t="s">
        <v>21</v>
      </c>
      <c r="D72" s="33"/>
      <c r="E72" s="33"/>
      <c r="F72" s="33"/>
      <c r="G72" s="13"/>
      <c r="H72" s="27" t="s">
        <v>51</v>
      </c>
      <c r="I72" s="24">
        <v>38350.0</v>
      </c>
      <c r="J72" s="16">
        <f t="shared" si="2"/>
        <v>57525</v>
      </c>
      <c r="K72" s="16">
        <f t="shared" ref="K72:L72" si="74">I72*1.3</f>
        <v>49855</v>
      </c>
      <c r="L72" s="16">
        <f t="shared" si="74"/>
        <v>74782.5</v>
      </c>
      <c r="M72" s="17">
        <f t="shared" si="4"/>
        <v>46020</v>
      </c>
      <c r="N72" s="17">
        <f t="shared" si="5"/>
        <v>44102.5</v>
      </c>
      <c r="O72" s="17">
        <f t="shared" si="6"/>
        <v>42185</v>
      </c>
    </row>
    <row r="73" hidden="1">
      <c r="A73" s="9" t="s">
        <v>19</v>
      </c>
      <c r="B73" s="9" t="s">
        <v>20</v>
      </c>
      <c r="C73" s="10" t="s">
        <v>21</v>
      </c>
      <c r="D73" s="33"/>
      <c r="E73" s="33"/>
      <c r="F73" s="33"/>
      <c r="G73" s="13"/>
      <c r="H73" s="27" t="s">
        <v>30</v>
      </c>
      <c r="I73" s="24">
        <v>37050.0</v>
      </c>
      <c r="J73" s="16">
        <f t="shared" si="2"/>
        <v>55575</v>
      </c>
      <c r="K73" s="16">
        <f t="shared" ref="K73:L73" si="75">I73*1.3</f>
        <v>48165</v>
      </c>
      <c r="L73" s="16">
        <f t="shared" si="75"/>
        <v>72247.5</v>
      </c>
      <c r="M73" s="17">
        <f t="shared" si="4"/>
        <v>44460</v>
      </c>
      <c r="N73" s="17">
        <f t="shared" si="5"/>
        <v>42607.5</v>
      </c>
      <c r="O73" s="17">
        <f t="shared" si="6"/>
        <v>40755</v>
      </c>
    </row>
    <row r="74" hidden="1">
      <c r="A74" s="9" t="s">
        <v>19</v>
      </c>
      <c r="B74" s="9" t="s">
        <v>20</v>
      </c>
      <c r="C74" s="10" t="s">
        <v>21</v>
      </c>
      <c r="D74" s="33"/>
      <c r="E74" s="33"/>
      <c r="F74" s="33"/>
      <c r="G74" s="13"/>
      <c r="H74" s="27" t="s">
        <v>31</v>
      </c>
      <c r="I74" s="24">
        <v>37950.0</v>
      </c>
      <c r="J74" s="16">
        <f t="shared" si="2"/>
        <v>56925</v>
      </c>
      <c r="K74" s="16">
        <f t="shared" ref="K74:L74" si="76">I74*1.3</f>
        <v>49335</v>
      </c>
      <c r="L74" s="16">
        <f t="shared" si="76"/>
        <v>74002.5</v>
      </c>
      <c r="M74" s="17">
        <f t="shared" si="4"/>
        <v>45540</v>
      </c>
      <c r="N74" s="17">
        <f t="shared" si="5"/>
        <v>43642.5</v>
      </c>
      <c r="O74" s="17">
        <f t="shared" si="6"/>
        <v>41745</v>
      </c>
    </row>
    <row r="75" hidden="1">
      <c r="A75" s="9" t="s">
        <v>19</v>
      </c>
      <c r="B75" s="9" t="s">
        <v>20</v>
      </c>
      <c r="C75" s="10" t="s">
        <v>21</v>
      </c>
      <c r="D75" s="33"/>
      <c r="E75" s="33"/>
      <c r="F75" s="33"/>
      <c r="G75" s="13"/>
      <c r="H75" s="27" t="s">
        <v>32</v>
      </c>
      <c r="I75" s="24">
        <v>39400.0</v>
      </c>
      <c r="J75" s="16">
        <f t="shared" si="2"/>
        <v>59100</v>
      </c>
      <c r="K75" s="16">
        <f t="shared" ref="K75:L75" si="77">I75*1.3</f>
        <v>51220</v>
      </c>
      <c r="L75" s="16">
        <f t="shared" si="77"/>
        <v>76830</v>
      </c>
      <c r="M75" s="17">
        <f t="shared" si="4"/>
        <v>47280</v>
      </c>
      <c r="N75" s="17">
        <f t="shared" si="5"/>
        <v>45310</v>
      </c>
      <c r="O75" s="17">
        <f t="shared" si="6"/>
        <v>43340</v>
      </c>
    </row>
    <row r="76" hidden="1">
      <c r="A76" s="9" t="s">
        <v>19</v>
      </c>
      <c r="B76" s="9" t="s">
        <v>20</v>
      </c>
      <c r="C76" s="10" t="s">
        <v>21</v>
      </c>
      <c r="D76" s="33"/>
      <c r="E76" s="33"/>
      <c r="F76" s="33"/>
      <c r="G76" s="13"/>
      <c r="H76" s="27" t="s">
        <v>33</v>
      </c>
      <c r="I76" s="24">
        <v>40250.0</v>
      </c>
      <c r="J76" s="16">
        <f t="shared" si="2"/>
        <v>60375</v>
      </c>
      <c r="K76" s="16">
        <f t="shared" ref="K76:L76" si="78">I76*1.3</f>
        <v>52325</v>
      </c>
      <c r="L76" s="16">
        <f t="shared" si="78"/>
        <v>78487.5</v>
      </c>
      <c r="M76" s="17">
        <f t="shared" si="4"/>
        <v>48300</v>
      </c>
      <c r="N76" s="17">
        <f t="shared" si="5"/>
        <v>46287.5</v>
      </c>
      <c r="O76" s="17">
        <f t="shared" si="6"/>
        <v>44275</v>
      </c>
    </row>
    <row r="77" hidden="1">
      <c r="A77" s="9" t="s">
        <v>19</v>
      </c>
      <c r="B77" s="9" t="s">
        <v>20</v>
      </c>
      <c r="C77" s="10" t="s">
        <v>21</v>
      </c>
      <c r="D77" s="33"/>
      <c r="E77" s="33"/>
      <c r="F77" s="33"/>
      <c r="G77" s="13"/>
      <c r="H77" s="27" t="s">
        <v>52</v>
      </c>
      <c r="I77" s="24">
        <v>37950.0</v>
      </c>
      <c r="J77" s="16">
        <f t="shared" si="2"/>
        <v>56925</v>
      </c>
      <c r="K77" s="16">
        <f t="shared" ref="K77:L77" si="79">I77*1.3</f>
        <v>49335</v>
      </c>
      <c r="L77" s="16">
        <f t="shared" si="79"/>
        <v>74002.5</v>
      </c>
      <c r="M77" s="17">
        <f t="shared" si="4"/>
        <v>45540</v>
      </c>
      <c r="N77" s="17">
        <f t="shared" si="5"/>
        <v>43642.5</v>
      </c>
      <c r="O77" s="17">
        <f t="shared" si="6"/>
        <v>41745</v>
      </c>
    </row>
    <row r="78" hidden="1">
      <c r="A78" s="9" t="s">
        <v>19</v>
      </c>
      <c r="B78" s="9" t="s">
        <v>20</v>
      </c>
      <c r="C78" s="10" t="s">
        <v>21</v>
      </c>
      <c r="D78" s="33"/>
      <c r="E78" s="33"/>
      <c r="F78" s="33"/>
      <c r="G78" s="13"/>
      <c r="H78" s="27" t="s">
        <v>53</v>
      </c>
      <c r="I78" s="24">
        <v>39250.0</v>
      </c>
      <c r="J78" s="16">
        <f t="shared" si="2"/>
        <v>58875</v>
      </c>
      <c r="K78" s="16">
        <f t="shared" ref="K78:L78" si="80">I78*1.3</f>
        <v>51025</v>
      </c>
      <c r="L78" s="16">
        <f t="shared" si="80"/>
        <v>76537.5</v>
      </c>
      <c r="M78" s="17">
        <f t="shared" si="4"/>
        <v>47100</v>
      </c>
      <c r="N78" s="17">
        <f t="shared" si="5"/>
        <v>45137.5</v>
      </c>
      <c r="O78" s="17">
        <f t="shared" si="6"/>
        <v>43175</v>
      </c>
    </row>
    <row r="79" hidden="1">
      <c r="A79" s="9" t="s">
        <v>19</v>
      </c>
      <c r="B79" s="9" t="s">
        <v>20</v>
      </c>
      <c r="C79" s="10" t="s">
        <v>21</v>
      </c>
      <c r="D79" s="33"/>
      <c r="E79" s="33"/>
      <c r="F79" s="33"/>
      <c r="G79" s="13"/>
      <c r="H79" s="27" t="s">
        <v>35</v>
      </c>
      <c r="I79" s="24">
        <v>38500.0</v>
      </c>
      <c r="J79" s="16">
        <f t="shared" si="2"/>
        <v>57750</v>
      </c>
      <c r="K79" s="16">
        <f t="shared" ref="K79:L79" si="81">I79*1.3</f>
        <v>50050</v>
      </c>
      <c r="L79" s="16">
        <f t="shared" si="81"/>
        <v>75075</v>
      </c>
      <c r="M79" s="17">
        <f t="shared" si="4"/>
        <v>46200</v>
      </c>
      <c r="N79" s="17">
        <f t="shared" si="5"/>
        <v>44275</v>
      </c>
      <c r="O79" s="17">
        <f t="shared" si="6"/>
        <v>42350</v>
      </c>
    </row>
    <row r="80" hidden="1">
      <c r="A80" s="9" t="s">
        <v>19</v>
      </c>
      <c r="B80" s="9" t="s">
        <v>20</v>
      </c>
      <c r="C80" s="10" t="s">
        <v>21</v>
      </c>
      <c r="D80" s="33"/>
      <c r="E80" s="33"/>
      <c r="F80" s="33"/>
      <c r="G80" s="13"/>
      <c r="H80" s="27" t="s">
        <v>36</v>
      </c>
      <c r="I80" s="24">
        <v>39400.0</v>
      </c>
      <c r="J80" s="16">
        <f t="shared" si="2"/>
        <v>59100</v>
      </c>
      <c r="K80" s="16">
        <f t="shared" ref="K80:L80" si="82">I80*1.3</f>
        <v>51220</v>
      </c>
      <c r="L80" s="16">
        <f t="shared" si="82"/>
        <v>76830</v>
      </c>
      <c r="M80" s="17">
        <f t="shared" si="4"/>
        <v>47280</v>
      </c>
      <c r="N80" s="17">
        <f t="shared" si="5"/>
        <v>45310</v>
      </c>
      <c r="O80" s="17">
        <f t="shared" si="6"/>
        <v>43340</v>
      </c>
    </row>
    <row r="81" hidden="1">
      <c r="A81" s="9" t="s">
        <v>19</v>
      </c>
      <c r="B81" s="9" t="s">
        <v>20</v>
      </c>
      <c r="C81" s="10" t="s">
        <v>21</v>
      </c>
      <c r="D81" s="33"/>
      <c r="E81" s="33"/>
      <c r="F81" s="33"/>
      <c r="G81" s="13"/>
      <c r="H81" s="27" t="s">
        <v>37</v>
      </c>
      <c r="I81" s="24">
        <v>40850.0</v>
      </c>
      <c r="J81" s="16">
        <f t="shared" si="2"/>
        <v>61275</v>
      </c>
      <c r="K81" s="16">
        <f t="shared" ref="K81:L81" si="83">I81*1.3</f>
        <v>53105</v>
      </c>
      <c r="L81" s="16">
        <f t="shared" si="83"/>
        <v>79657.5</v>
      </c>
      <c r="M81" s="17">
        <f t="shared" si="4"/>
        <v>49020</v>
      </c>
      <c r="N81" s="17">
        <f t="shared" si="5"/>
        <v>46977.5</v>
      </c>
      <c r="O81" s="17">
        <f t="shared" si="6"/>
        <v>44935</v>
      </c>
    </row>
    <row r="82" hidden="1">
      <c r="A82" s="9" t="s">
        <v>19</v>
      </c>
      <c r="B82" s="9" t="s">
        <v>20</v>
      </c>
      <c r="C82" s="10" t="s">
        <v>21</v>
      </c>
      <c r="D82" s="33"/>
      <c r="E82" s="33"/>
      <c r="F82" s="33"/>
      <c r="G82" s="13"/>
      <c r="H82" s="27" t="s">
        <v>38</v>
      </c>
      <c r="I82" s="24">
        <v>41650.0</v>
      </c>
      <c r="J82" s="16">
        <f t="shared" si="2"/>
        <v>62475</v>
      </c>
      <c r="K82" s="16">
        <f t="shared" ref="K82:L82" si="84">I82*1.3</f>
        <v>54145</v>
      </c>
      <c r="L82" s="16">
        <f t="shared" si="84"/>
        <v>81217.5</v>
      </c>
      <c r="M82" s="17">
        <f t="shared" si="4"/>
        <v>49980</v>
      </c>
      <c r="N82" s="17">
        <f t="shared" si="5"/>
        <v>47897.5</v>
      </c>
      <c r="O82" s="17">
        <f t="shared" si="6"/>
        <v>45815</v>
      </c>
    </row>
    <row r="83" hidden="1">
      <c r="A83" s="9" t="s">
        <v>19</v>
      </c>
      <c r="B83" s="9" t="s">
        <v>20</v>
      </c>
      <c r="C83" s="10" t="s">
        <v>21</v>
      </c>
      <c r="D83" s="33"/>
      <c r="E83" s="33"/>
      <c r="F83" s="33"/>
      <c r="G83" s="13"/>
      <c r="H83" s="27" t="s">
        <v>54</v>
      </c>
      <c r="I83" s="24">
        <v>39400.0</v>
      </c>
      <c r="J83" s="16">
        <f t="shared" si="2"/>
        <v>59100</v>
      </c>
      <c r="K83" s="16">
        <f t="shared" ref="K83:L83" si="85">I83*1.3</f>
        <v>51220</v>
      </c>
      <c r="L83" s="16">
        <f t="shared" si="85"/>
        <v>76830</v>
      </c>
      <c r="M83" s="17">
        <f t="shared" si="4"/>
        <v>47280</v>
      </c>
      <c r="N83" s="17">
        <f t="shared" si="5"/>
        <v>45310</v>
      </c>
      <c r="O83" s="17">
        <f t="shared" si="6"/>
        <v>43340</v>
      </c>
    </row>
    <row r="84" hidden="1">
      <c r="A84" s="9" t="s">
        <v>19</v>
      </c>
      <c r="B84" s="9" t="s">
        <v>20</v>
      </c>
      <c r="C84" s="10" t="s">
        <v>21</v>
      </c>
      <c r="D84" s="33"/>
      <c r="E84" s="34"/>
      <c r="F84" s="34"/>
      <c r="G84" s="13"/>
      <c r="H84" s="27" t="s">
        <v>55</v>
      </c>
      <c r="I84" s="24">
        <v>40700.0</v>
      </c>
      <c r="J84" s="16">
        <f t="shared" si="2"/>
        <v>61050</v>
      </c>
      <c r="K84" s="16">
        <f t="shared" ref="K84:L84" si="86">I84*1.3</f>
        <v>52910</v>
      </c>
      <c r="L84" s="16">
        <f t="shared" si="86"/>
        <v>79365</v>
      </c>
      <c r="M84" s="17">
        <f t="shared" si="4"/>
        <v>48840</v>
      </c>
      <c r="N84" s="17">
        <f t="shared" si="5"/>
        <v>46805</v>
      </c>
      <c r="O84" s="17">
        <f t="shared" si="6"/>
        <v>44770</v>
      </c>
    </row>
    <row r="85" hidden="1">
      <c r="A85" s="9" t="s">
        <v>19</v>
      </c>
      <c r="B85" s="9" t="s">
        <v>20</v>
      </c>
      <c r="C85" s="9" t="s">
        <v>41</v>
      </c>
      <c r="D85" s="33"/>
      <c r="E85" s="36"/>
      <c r="F85" s="37" t="s">
        <v>60</v>
      </c>
      <c r="G85" s="9" t="s">
        <v>43</v>
      </c>
      <c r="H85" s="27"/>
      <c r="I85" s="24">
        <v>3250.0</v>
      </c>
      <c r="J85" s="16">
        <f t="shared" si="2"/>
        <v>4875</v>
      </c>
      <c r="K85" s="16">
        <f t="shared" ref="K85:L85" si="87">I85*1.3</f>
        <v>4225</v>
      </c>
      <c r="L85" s="16">
        <f t="shared" si="87"/>
        <v>6337.5</v>
      </c>
      <c r="M85" s="17">
        <f t="shared" si="4"/>
        <v>3900</v>
      </c>
      <c r="N85" s="17">
        <f t="shared" si="5"/>
        <v>3737.5</v>
      </c>
      <c r="O85" s="17">
        <f t="shared" si="6"/>
        <v>3575</v>
      </c>
    </row>
    <row r="86" hidden="1">
      <c r="A86" s="9" t="s">
        <v>19</v>
      </c>
      <c r="B86" s="9" t="s">
        <v>20</v>
      </c>
      <c r="C86" s="9" t="s">
        <v>41</v>
      </c>
      <c r="D86" s="33"/>
      <c r="E86" s="36"/>
      <c r="F86" s="37" t="s">
        <v>61</v>
      </c>
      <c r="G86" s="9" t="s">
        <v>43</v>
      </c>
      <c r="H86" s="27"/>
      <c r="I86" s="24">
        <v>7550.0</v>
      </c>
      <c r="J86" s="16">
        <f t="shared" si="2"/>
        <v>11325</v>
      </c>
      <c r="K86" s="16">
        <f t="shared" ref="K86:L86" si="88">I86*1.3</f>
        <v>9815</v>
      </c>
      <c r="L86" s="16">
        <f t="shared" si="88"/>
        <v>14722.5</v>
      </c>
      <c r="M86" s="17">
        <f t="shared" si="4"/>
        <v>9060</v>
      </c>
      <c r="N86" s="17">
        <f t="shared" si="5"/>
        <v>8682.5</v>
      </c>
      <c r="O86" s="17">
        <f t="shared" si="6"/>
        <v>8305</v>
      </c>
    </row>
    <row r="87" hidden="1">
      <c r="A87" s="9" t="s">
        <v>19</v>
      </c>
      <c r="B87" s="9" t="s">
        <v>20</v>
      </c>
      <c r="C87" s="9" t="s">
        <v>41</v>
      </c>
      <c r="D87" s="33"/>
      <c r="E87" s="36"/>
      <c r="F87" s="37" t="s">
        <v>62</v>
      </c>
      <c r="G87" s="9" t="s">
        <v>43</v>
      </c>
      <c r="H87" s="27"/>
      <c r="I87" s="24">
        <v>2200.0</v>
      </c>
      <c r="J87" s="16">
        <f t="shared" si="2"/>
        <v>3300</v>
      </c>
      <c r="K87" s="16">
        <f t="shared" ref="K87:L87" si="89">I87*1.3</f>
        <v>2860</v>
      </c>
      <c r="L87" s="16">
        <f t="shared" si="89"/>
        <v>4290</v>
      </c>
      <c r="M87" s="17">
        <f t="shared" si="4"/>
        <v>2640</v>
      </c>
      <c r="N87" s="17">
        <f t="shared" si="5"/>
        <v>2530</v>
      </c>
      <c r="O87" s="17">
        <f t="shared" si="6"/>
        <v>2420</v>
      </c>
    </row>
    <row r="88" hidden="1">
      <c r="A88" s="9" t="s">
        <v>19</v>
      </c>
      <c r="B88" s="9" t="s">
        <v>20</v>
      </c>
      <c r="C88" s="9" t="s">
        <v>41</v>
      </c>
      <c r="D88" s="33"/>
      <c r="E88" s="36"/>
      <c r="F88" s="37" t="s">
        <v>63</v>
      </c>
      <c r="G88" s="9" t="s">
        <v>43</v>
      </c>
      <c r="H88" s="27"/>
      <c r="I88" s="24">
        <v>1650.0</v>
      </c>
      <c r="J88" s="16">
        <f t="shared" si="2"/>
        <v>2475</v>
      </c>
      <c r="K88" s="16">
        <f t="shared" ref="K88:L88" si="90">I88*1.3</f>
        <v>2145</v>
      </c>
      <c r="L88" s="16">
        <f t="shared" si="90"/>
        <v>3217.5</v>
      </c>
      <c r="M88" s="17">
        <f t="shared" si="4"/>
        <v>1980</v>
      </c>
      <c r="N88" s="17">
        <f t="shared" si="5"/>
        <v>1897.5</v>
      </c>
      <c r="O88" s="17">
        <f t="shared" si="6"/>
        <v>1815</v>
      </c>
    </row>
    <row r="89" hidden="1">
      <c r="A89" s="9" t="s">
        <v>19</v>
      </c>
      <c r="B89" s="9" t="s">
        <v>20</v>
      </c>
      <c r="C89" s="9" t="s">
        <v>41</v>
      </c>
      <c r="D89" s="33"/>
      <c r="E89" s="36"/>
      <c r="F89" s="37" t="s">
        <v>64</v>
      </c>
      <c r="G89" s="9" t="s">
        <v>43</v>
      </c>
      <c r="H89" s="27"/>
      <c r="I89" s="24">
        <v>2700.0</v>
      </c>
      <c r="J89" s="16">
        <f t="shared" si="2"/>
        <v>4050</v>
      </c>
      <c r="K89" s="16">
        <f t="shared" ref="K89:L89" si="91">I89*1.3</f>
        <v>3510</v>
      </c>
      <c r="L89" s="16">
        <f t="shared" si="91"/>
        <v>5265</v>
      </c>
      <c r="M89" s="17">
        <f t="shared" si="4"/>
        <v>3240</v>
      </c>
      <c r="N89" s="17">
        <f t="shared" si="5"/>
        <v>3105</v>
      </c>
      <c r="O89" s="17">
        <f t="shared" si="6"/>
        <v>2970</v>
      </c>
    </row>
    <row r="90" hidden="1">
      <c r="A90" s="9" t="s">
        <v>19</v>
      </c>
      <c r="B90" s="9" t="s">
        <v>20</v>
      </c>
      <c r="C90" s="9" t="s">
        <v>41</v>
      </c>
      <c r="D90" s="33"/>
      <c r="E90" s="36"/>
      <c r="F90" s="37" t="s">
        <v>65</v>
      </c>
      <c r="G90" s="9" t="s">
        <v>43</v>
      </c>
      <c r="H90" s="27"/>
      <c r="I90" s="24">
        <v>3250.0</v>
      </c>
      <c r="J90" s="16">
        <f t="shared" si="2"/>
        <v>4875</v>
      </c>
      <c r="K90" s="16">
        <f t="shared" ref="K90:L90" si="92">I90*1.3</f>
        <v>4225</v>
      </c>
      <c r="L90" s="16">
        <f t="shared" si="92"/>
        <v>6337.5</v>
      </c>
      <c r="M90" s="17">
        <f t="shared" si="4"/>
        <v>3900</v>
      </c>
      <c r="N90" s="17">
        <f t="shared" si="5"/>
        <v>3737.5</v>
      </c>
      <c r="O90" s="17">
        <f t="shared" si="6"/>
        <v>3575</v>
      </c>
    </row>
    <row r="91" hidden="1">
      <c r="A91" s="9" t="s">
        <v>19</v>
      </c>
      <c r="B91" s="9" t="s">
        <v>20</v>
      </c>
      <c r="C91" s="9" t="s">
        <v>41</v>
      </c>
      <c r="D91" s="33"/>
      <c r="E91" s="36"/>
      <c r="F91" s="37" t="s">
        <v>66</v>
      </c>
      <c r="G91" s="9" t="s">
        <v>43</v>
      </c>
      <c r="H91" s="27"/>
      <c r="I91" s="24">
        <v>5400.0</v>
      </c>
      <c r="J91" s="16">
        <f t="shared" si="2"/>
        <v>8100</v>
      </c>
      <c r="K91" s="16">
        <f t="shared" ref="K91:L91" si="93">I91*1.3</f>
        <v>7020</v>
      </c>
      <c r="L91" s="16">
        <f t="shared" si="93"/>
        <v>10530</v>
      </c>
      <c r="M91" s="17">
        <f t="shared" si="4"/>
        <v>6480</v>
      </c>
      <c r="N91" s="17">
        <f t="shared" si="5"/>
        <v>6210</v>
      </c>
      <c r="O91" s="17">
        <f t="shared" si="6"/>
        <v>5940</v>
      </c>
    </row>
    <row r="92" hidden="1">
      <c r="A92" s="9" t="s">
        <v>19</v>
      </c>
      <c r="B92" s="9" t="s">
        <v>20</v>
      </c>
      <c r="C92" s="9" t="s">
        <v>41</v>
      </c>
      <c r="D92" s="33"/>
      <c r="E92" s="36"/>
      <c r="F92" s="37" t="s">
        <v>46</v>
      </c>
      <c r="G92" s="9" t="s">
        <v>43</v>
      </c>
      <c r="H92" s="27"/>
      <c r="I92" s="24">
        <v>1100.0</v>
      </c>
      <c r="J92" s="16">
        <f t="shared" si="2"/>
        <v>1650</v>
      </c>
      <c r="K92" s="16">
        <f t="shared" ref="K92:L92" si="94">I92*1.3</f>
        <v>1430</v>
      </c>
      <c r="L92" s="16">
        <f t="shared" si="94"/>
        <v>2145</v>
      </c>
      <c r="M92" s="17">
        <f t="shared" si="4"/>
        <v>1320</v>
      </c>
      <c r="N92" s="17">
        <f t="shared" si="5"/>
        <v>1265</v>
      </c>
      <c r="O92" s="17">
        <f t="shared" si="6"/>
        <v>1210</v>
      </c>
    </row>
    <row r="93" hidden="1">
      <c r="A93" s="9" t="s">
        <v>19</v>
      </c>
      <c r="B93" s="9" t="s">
        <v>20</v>
      </c>
      <c r="C93" s="9" t="s">
        <v>41</v>
      </c>
      <c r="D93" s="33"/>
      <c r="E93" s="36"/>
      <c r="F93" s="37" t="s">
        <v>67</v>
      </c>
      <c r="G93" s="9" t="s">
        <v>43</v>
      </c>
      <c r="H93" s="27"/>
      <c r="I93" s="24">
        <v>2600.0</v>
      </c>
      <c r="J93" s="16">
        <f t="shared" si="2"/>
        <v>3900</v>
      </c>
      <c r="K93" s="16">
        <f t="shared" ref="K93:L93" si="95">I93*1.3</f>
        <v>3380</v>
      </c>
      <c r="L93" s="16">
        <f t="shared" si="95"/>
        <v>5070</v>
      </c>
      <c r="M93" s="17">
        <f t="shared" si="4"/>
        <v>3120</v>
      </c>
      <c r="N93" s="17">
        <f t="shared" si="5"/>
        <v>2990</v>
      </c>
      <c r="O93" s="17">
        <f t="shared" si="6"/>
        <v>2860</v>
      </c>
    </row>
    <row r="94" hidden="1">
      <c r="A94" s="9" t="s">
        <v>19</v>
      </c>
      <c r="B94" s="9" t="s">
        <v>20</v>
      </c>
      <c r="C94" s="38" t="s">
        <v>41</v>
      </c>
      <c r="D94" s="34"/>
      <c r="E94" s="36"/>
      <c r="F94" s="37" t="s">
        <v>68</v>
      </c>
      <c r="G94" s="9" t="s">
        <v>43</v>
      </c>
      <c r="H94" s="27"/>
      <c r="I94" s="24">
        <v>4000.0</v>
      </c>
      <c r="J94" s="16">
        <f t="shared" si="2"/>
        <v>6000</v>
      </c>
      <c r="K94" s="16">
        <f t="shared" ref="K94:L94" si="96">I94*1.3</f>
        <v>5200</v>
      </c>
      <c r="L94" s="16">
        <f t="shared" si="96"/>
        <v>7800</v>
      </c>
      <c r="M94" s="17">
        <f t="shared" si="4"/>
        <v>4800</v>
      </c>
      <c r="N94" s="17">
        <f t="shared" si="5"/>
        <v>4600</v>
      </c>
      <c r="O94" s="17">
        <f t="shared" si="6"/>
        <v>4400</v>
      </c>
    </row>
    <row r="95" hidden="1">
      <c r="A95" s="9" t="s">
        <v>19</v>
      </c>
      <c r="B95" s="9" t="s">
        <v>20</v>
      </c>
      <c r="C95" s="10" t="s">
        <v>21</v>
      </c>
      <c r="D95" s="39" t="s">
        <v>69</v>
      </c>
      <c r="E95" s="11" t="s">
        <v>70</v>
      </c>
      <c r="F95" s="32" t="s">
        <v>71</v>
      </c>
      <c r="G95" s="13"/>
      <c r="H95" s="23" t="s">
        <v>25</v>
      </c>
      <c r="I95" s="24">
        <v>26200.0</v>
      </c>
      <c r="J95" s="16">
        <f t="shared" si="2"/>
        <v>39300</v>
      </c>
      <c r="K95" s="16">
        <f t="shared" ref="K95:L95" si="97">I95*1.3</f>
        <v>34060</v>
      </c>
      <c r="L95" s="16">
        <f t="shared" si="97"/>
        <v>51090</v>
      </c>
      <c r="M95" s="17">
        <f t="shared" si="4"/>
        <v>31440</v>
      </c>
      <c r="N95" s="17">
        <f t="shared" si="5"/>
        <v>30130</v>
      </c>
      <c r="O95" s="17">
        <f t="shared" si="6"/>
        <v>28820</v>
      </c>
    </row>
    <row r="96" hidden="1">
      <c r="A96" s="9" t="s">
        <v>19</v>
      </c>
      <c r="B96" s="9" t="s">
        <v>20</v>
      </c>
      <c r="C96" s="10" t="s">
        <v>21</v>
      </c>
      <c r="D96" s="33"/>
      <c r="E96" s="33"/>
      <c r="F96" s="33"/>
      <c r="G96" s="13"/>
      <c r="H96" s="27" t="s">
        <v>27</v>
      </c>
      <c r="I96" s="24">
        <v>27150.0</v>
      </c>
      <c r="J96" s="16">
        <f t="shared" si="2"/>
        <v>40725</v>
      </c>
      <c r="K96" s="16">
        <f t="shared" ref="K96:L96" si="98">I96*1.3</f>
        <v>35295</v>
      </c>
      <c r="L96" s="16">
        <f t="shared" si="98"/>
        <v>52942.5</v>
      </c>
      <c r="M96" s="17">
        <f t="shared" si="4"/>
        <v>32580</v>
      </c>
      <c r="N96" s="17">
        <f t="shared" si="5"/>
        <v>31222.5</v>
      </c>
      <c r="O96" s="17">
        <f t="shared" si="6"/>
        <v>29865</v>
      </c>
    </row>
    <row r="97" hidden="1">
      <c r="A97" s="9" t="s">
        <v>19</v>
      </c>
      <c r="B97" s="9" t="s">
        <v>20</v>
      </c>
      <c r="C97" s="10" t="s">
        <v>21</v>
      </c>
      <c r="D97" s="33"/>
      <c r="E97" s="33"/>
      <c r="F97" s="33"/>
      <c r="G97" s="13"/>
      <c r="H97" s="27" t="s">
        <v>28</v>
      </c>
      <c r="I97" s="24">
        <v>28550.0</v>
      </c>
      <c r="J97" s="16">
        <f t="shared" si="2"/>
        <v>42825</v>
      </c>
      <c r="K97" s="16">
        <f t="shared" ref="K97:L97" si="99">I97*1.3</f>
        <v>37115</v>
      </c>
      <c r="L97" s="16">
        <f t="shared" si="99"/>
        <v>55672.5</v>
      </c>
      <c r="M97" s="17">
        <f t="shared" si="4"/>
        <v>34260</v>
      </c>
      <c r="N97" s="17">
        <f t="shared" si="5"/>
        <v>32832.5</v>
      </c>
      <c r="O97" s="17">
        <f t="shared" si="6"/>
        <v>31405</v>
      </c>
    </row>
    <row r="98" hidden="1">
      <c r="A98" s="9" t="s">
        <v>19</v>
      </c>
      <c r="B98" s="9" t="s">
        <v>20</v>
      </c>
      <c r="C98" s="10" t="s">
        <v>21</v>
      </c>
      <c r="D98" s="33"/>
      <c r="E98" s="33"/>
      <c r="F98" s="33"/>
      <c r="G98" s="13"/>
      <c r="H98" s="27" t="s">
        <v>29</v>
      </c>
      <c r="I98" s="24">
        <v>29400.0</v>
      </c>
      <c r="J98" s="16">
        <f t="shared" si="2"/>
        <v>44100</v>
      </c>
      <c r="K98" s="16">
        <f t="shared" ref="K98:L98" si="100">I98*1.3</f>
        <v>38220</v>
      </c>
      <c r="L98" s="16">
        <f t="shared" si="100"/>
        <v>57330</v>
      </c>
      <c r="M98" s="17">
        <f t="shared" si="4"/>
        <v>35280</v>
      </c>
      <c r="N98" s="17">
        <f t="shared" si="5"/>
        <v>33810</v>
      </c>
      <c r="O98" s="17">
        <f t="shared" si="6"/>
        <v>32340</v>
      </c>
    </row>
    <row r="99" hidden="1">
      <c r="A99" s="9" t="s">
        <v>19</v>
      </c>
      <c r="B99" s="9" t="s">
        <v>20</v>
      </c>
      <c r="C99" s="10" t="s">
        <v>21</v>
      </c>
      <c r="D99" s="33"/>
      <c r="E99" s="33"/>
      <c r="F99" s="33"/>
      <c r="G99" s="13"/>
      <c r="H99" s="27" t="s">
        <v>50</v>
      </c>
      <c r="I99" s="24">
        <v>27150.0</v>
      </c>
      <c r="J99" s="16">
        <f t="shared" si="2"/>
        <v>40725</v>
      </c>
      <c r="K99" s="16">
        <f t="shared" ref="K99:L99" si="101">I99*1.3</f>
        <v>35295</v>
      </c>
      <c r="L99" s="16">
        <f t="shared" si="101"/>
        <v>52942.5</v>
      </c>
      <c r="M99" s="17">
        <f t="shared" si="4"/>
        <v>32580</v>
      </c>
      <c r="N99" s="17">
        <f t="shared" si="5"/>
        <v>31222.5</v>
      </c>
      <c r="O99" s="17">
        <f t="shared" si="6"/>
        <v>29865</v>
      </c>
    </row>
    <row r="100" hidden="1">
      <c r="A100" s="9" t="s">
        <v>19</v>
      </c>
      <c r="B100" s="9" t="s">
        <v>20</v>
      </c>
      <c r="C100" s="10" t="s">
        <v>21</v>
      </c>
      <c r="D100" s="33"/>
      <c r="E100" s="33"/>
      <c r="F100" s="33"/>
      <c r="G100" s="13"/>
      <c r="H100" s="27" t="s">
        <v>51</v>
      </c>
      <c r="I100" s="24">
        <v>28400.0</v>
      </c>
      <c r="J100" s="16">
        <f t="shared" si="2"/>
        <v>42600</v>
      </c>
      <c r="K100" s="16">
        <f t="shared" ref="K100:L100" si="102">I100*1.3</f>
        <v>36920</v>
      </c>
      <c r="L100" s="16">
        <f t="shared" si="102"/>
        <v>55380</v>
      </c>
      <c r="M100" s="17">
        <f t="shared" si="4"/>
        <v>34080</v>
      </c>
      <c r="N100" s="17">
        <f t="shared" si="5"/>
        <v>32660</v>
      </c>
      <c r="O100" s="17">
        <f t="shared" si="6"/>
        <v>31240</v>
      </c>
    </row>
    <row r="101" hidden="1">
      <c r="A101" s="9" t="s">
        <v>19</v>
      </c>
      <c r="B101" s="9" t="s">
        <v>20</v>
      </c>
      <c r="C101" s="10" t="s">
        <v>21</v>
      </c>
      <c r="D101" s="33"/>
      <c r="E101" s="33"/>
      <c r="F101" s="33"/>
      <c r="G101" s="13"/>
      <c r="H101" s="27" t="s">
        <v>30</v>
      </c>
      <c r="I101" s="24">
        <v>27150.0</v>
      </c>
      <c r="J101" s="16">
        <f t="shared" si="2"/>
        <v>40725</v>
      </c>
      <c r="K101" s="16">
        <f t="shared" ref="K101:L101" si="103">I101*1.3</f>
        <v>35295</v>
      </c>
      <c r="L101" s="16">
        <f t="shared" si="103"/>
        <v>52942.5</v>
      </c>
      <c r="M101" s="17">
        <f t="shared" si="4"/>
        <v>32580</v>
      </c>
      <c r="N101" s="17">
        <f t="shared" si="5"/>
        <v>31222.5</v>
      </c>
      <c r="O101" s="17">
        <f t="shared" si="6"/>
        <v>29865</v>
      </c>
    </row>
    <row r="102" hidden="1">
      <c r="A102" s="9" t="s">
        <v>19</v>
      </c>
      <c r="B102" s="9" t="s">
        <v>20</v>
      </c>
      <c r="C102" s="10" t="s">
        <v>21</v>
      </c>
      <c r="D102" s="33"/>
      <c r="E102" s="33"/>
      <c r="F102" s="33"/>
      <c r="G102" s="13"/>
      <c r="H102" s="27" t="s">
        <v>31</v>
      </c>
      <c r="I102" s="24">
        <v>28100.0</v>
      </c>
      <c r="J102" s="16">
        <f t="shared" si="2"/>
        <v>42150</v>
      </c>
      <c r="K102" s="16">
        <f t="shared" ref="K102:L102" si="104">I102*1.3</f>
        <v>36530</v>
      </c>
      <c r="L102" s="16">
        <f t="shared" si="104"/>
        <v>54795</v>
      </c>
      <c r="M102" s="17">
        <f t="shared" si="4"/>
        <v>33720</v>
      </c>
      <c r="N102" s="17">
        <f t="shared" si="5"/>
        <v>32315</v>
      </c>
      <c r="O102" s="17">
        <f t="shared" si="6"/>
        <v>30910</v>
      </c>
    </row>
    <row r="103" hidden="1">
      <c r="A103" s="9" t="s">
        <v>19</v>
      </c>
      <c r="B103" s="9" t="s">
        <v>20</v>
      </c>
      <c r="C103" s="10" t="s">
        <v>21</v>
      </c>
      <c r="D103" s="33"/>
      <c r="E103" s="33"/>
      <c r="F103" s="33"/>
      <c r="G103" s="13"/>
      <c r="H103" s="27" t="s">
        <v>32</v>
      </c>
      <c r="I103" s="24">
        <v>29500.0</v>
      </c>
      <c r="J103" s="16">
        <f t="shared" si="2"/>
        <v>44250</v>
      </c>
      <c r="K103" s="16">
        <f t="shared" ref="K103:L103" si="105">I103*1.3</f>
        <v>38350</v>
      </c>
      <c r="L103" s="16">
        <f t="shared" si="105"/>
        <v>57525</v>
      </c>
      <c r="M103" s="17">
        <f t="shared" si="4"/>
        <v>35400</v>
      </c>
      <c r="N103" s="17">
        <f t="shared" si="5"/>
        <v>33925</v>
      </c>
      <c r="O103" s="17">
        <f t="shared" si="6"/>
        <v>32450</v>
      </c>
    </row>
    <row r="104" hidden="1">
      <c r="A104" s="9" t="s">
        <v>19</v>
      </c>
      <c r="B104" s="9" t="s">
        <v>20</v>
      </c>
      <c r="C104" s="10" t="s">
        <v>21</v>
      </c>
      <c r="D104" s="33"/>
      <c r="E104" s="33"/>
      <c r="F104" s="33"/>
      <c r="G104" s="13"/>
      <c r="H104" s="27" t="s">
        <v>33</v>
      </c>
      <c r="I104" s="24">
        <v>30300.0</v>
      </c>
      <c r="J104" s="16">
        <f t="shared" si="2"/>
        <v>45450</v>
      </c>
      <c r="K104" s="16">
        <f t="shared" ref="K104:L104" si="106">I104*1.3</f>
        <v>39390</v>
      </c>
      <c r="L104" s="16">
        <f t="shared" si="106"/>
        <v>59085</v>
      </c>
      <c r="M104" s="17">
        <f t="shared" si="4"/>
        <v>36360</v>
      </c>
      <c r="N104" s="17">
        <f t="shared" si="5"/>
        <v>34845</v>
      </c>
      <c r="O104" s="17">
        <f t="shared" si="6"/>
        <v>33330</v>
      </c>
    </row>
    <row r="105" hidden="1">
      <c r="A105" s="9" t="s">
        <v>19</v>
      </c>
      <c r="B105" s="9" t="s">
        <v>20</v>
      </c>
      <c r="C105" s="10" t="s">
        <v>21</v>
      </c>
      <c r="D105" s="33"/>
      <c r="E105" s="33"/>
      <c r="F105" s="33"/>
      <c r="G105" s="13"/>
      <c r="H105" s="27" t="s">
        <v>52</v>
      </c>
      <c r="I105" s="24">
        <v>28050.0</v>
      </c>
      <c r="J105" s="16">
        <f t="shared" si="2"/>
        <v>42075</v>
      </c>
      <c r="K105" s="16">
        <f t="shared" ref="K105:L105" si="107">I105*1.3</f>
        <v>36465</v>
      </c>
      <c r="L105" s="16">
        <f t="shared" si="107"/>
        <v>54697.5</v>
      </c>
      <c r="M105" s="17">
        <f t="shared" si="4"/>
        <v>33660</v>
      </c>
      <c r="N105" s="17">
        <f t="shared" si="5"/>
        <v>32257.5</v>
      </c>
      <c r="O105" s="17">
        <f t="shared" si="6"/>
        <v>30855</v>
      </c>
    </row>
    <row r="106" hidden="1">
      <c r="A106" s="9" t="s">
        <v>19</v>
      </c>
      <c r="B106" s="9" t="s">
        <v>20</v>
      </c>
      <c r="C106" s="10" t="s">
        <v>21</v>
      </c>
      <c r="D106" s="33"/>
      <c r="E106" s="33"/>
      <c r="F106" s="33"/>
      <c r="G106" s="13"/>
      <c r="H106" s="27" t="s">
        <v>53</v>
      </c>
      <c r="I106" s="24">
        <v>29300.0</v>
      </c>
      <c r="J106" s="16">
        <f t="shared" si="2"/>
        <v>43950</v>
      </c>
      <c r="K106" s="16">
        <f t="shared" ref="K106:L106" si="108">I106*1.3</f>
        <v>38090</v>
      </c>
      <c r="L106" s="16">
        <f t="shared" si="108"/>
        <v>57135</v>
      </c>
      <c r="M106" s="17">
        <f t="shared" si="4"/>
        <v>35160</v>
      </c>
      <c r="N106" s="17">
        <f t="shared" si="5"/>
        <v>33695</v>
      </c>
      <c r="O106" s="17">
        <f t="shared" si="6"/>
        <v>32230</v>
      </c>
    </row>
    <row r="107" hidden="1">
      <c r="A107" s="9" t="s">
        <v>19</v>
      </c>
      <c r="B107" s="9" t="s">
        <v>20</v>
      </c>
      <c r="C107" s="10" t="s">
        <v>21</v>
      </c>
      <c r="D107" s="33"/>
      <c r="E107" s="33"/>
      <c r="F107" s="33"/>
      <c r="G107" s="13"/>
      <c r="H107" s="27" t="s">
        <v>35</v>
      </c>
      <c r="I107" s="24">
        <v>28550.0</v>
      </c>
      <c r="J107" s="16">
        <f t="shared" si="2"/>
        <v>42825</v>
      </c>
      <c r="K107" s="16">
        <f t="shared" ref="K107:L107" si="109">I107*1.3</f>
        <v>37115</v>
      </c>
      <c r="L107" s="16">
        <f t="shared" si="109"/>
        <v>55672.5</v>
      </c>
      <c r="M107" s="17">
        <f t="shared" si="4"/>
        <v>34260</v>
      </c>
      <c r="N107" s="17">
        <f t="shared" si="5"/>
        <v>32832.5</v>
      </c>
      <c r="O107" s="17">
        <f t="shared" si="6"/>
        <v>31405</v>
      </c>
    </row>
    <row r="108" hidden="1">
      <c r="A108" s="9" t="s">
        <v>19</v>
      </c>
      <c r="B108" s="9" t="s">
        <v>20</v>
      </c>
      <c r="C108" s="10" t="s">
        <v>21</v>
      </c>
      <c r="D108" s="33"/>
      <c r="E108" s="33"/>
      <c r="F108" s="33"/>
      <c r="G108" s="13"/>
      <c r="H108" s="27" t="s">
        <v>36</v>
      </c>
      <c r="I108" s="24">
        <v>29500.0</v>
      </c>
      <c r="J108" s="16">
        <f t="shared" si="2"/>
        <v>44250</v>
      </c>
      <c r="K108" s="16">
        <f t="shared" ref="K108:L108" si="110">I108*1.3</f>
        <v>38350</v>
      </c>
      <c r="L108" s="16">
        <f t="shared" si="110"/>
        <v>57525</v>
      </c>
      <c r="M108" s="17">
        <f t="shared" si="4"/>
        <v>35400</v>
      </c>
      <c r="N108" s="17">
        <f t="shared" si="5"/>
        <v>33925</v>
      </c>
      <c r="O108" s="17">
        <f t="shared" si="6"/>
        <v>32450</v>
      </c>
    </row>
    <row r="109" hidden="1">
      <c r="A109" s="9" t="s">
        <v>19</v>
      </c>
      <c r="B109" s="9" t="s">
        <v>20</v>
      </c>
      <c r="C109" s="10" t="s">
        <v>21</v>
      </c>
      <c r="D109" s="33"/>
      <c r="E109" s="33"/>
      <c r="F109" s="33"/>
      <c r="G109" s="13"/>
      <c r="H109" s="27" t="s">
        <v>37</v>
      </c>
      <c r="I109" s="24">
        <v>30900.0</v>
      </c>
      <c r="J109" s="16">
        <f t="shared" si="2"/>
        <v>46350</v>
      </c>
      <c r="K109" s="16">
        <f t="shared" ref="K109:L109" si="111">I109*1.3</f>
        <v>40170</v>
      </c>
      <c r="L109" s="16">
        <f t="shared" si="111"/>
        <v>60255</v>
      </c>
      <c r="M109" s="17">
        <f t="shared" si="4"/>
        <v>37080</v>
      </c>
      <c r="N109" s="17">
        <f t="shared" si="5"/>
        <v>35535</v>
      </c>
      <c r="O109" s="17">
        <f t="shared" si="6"/>
        <v>33990</v>
      </c>
    </row>
    <row r="110" hidden="1">
      <c r="A110" s="9" t="s">
        <v>19</v>
      </c>
      <c r="B110" s="9" t="s">
        <v>20</v>
      </c>
      <c r="C110" s="10" t="s">
        <v>21</v>
      </c>
      <c r="D110" s="33"/>
      <c r="E110" s="33"/>
      <c r="F110" s="33"/>
      <c r="G110" s="13"/>
      <c r="H110" s="27" t="s">
        <v>38</v>
      </c>
      <c r="I110" s="24">
        <v>31750.0</v>
      </c>
      <c r="J110" s="16">
        <f t="shared" si="2"/>
        <v>47625</v>
      </c>
      <c r="K110" s="16">
        <f t="shared" ref="K110:L110" si="112">I110*1.3</f>
        <v>41275</v>
      </c>
      <c r="L110" s="16">
        <f t="shared" si="112"/>
        <v>61912.5</v>
      </c>
      <c r="M110" s="17">
        <f t="shared" si="4"/>
        <v>38100</v>
      </c>
      <c r="N110" s="17">
        <f t="shared" si="5"/>
        <v>36512.5</v>
      </c>
      <c r="O110" s="17">
        <f t="shared" si="6"/>
        <v>34925</v>
      </c>
    </row>
    <row r="111" hidden="1">
      <c r="A111" s="9" t="s">
        <v>19</v>
      </c>
      <c r="B111" s="9" t="s">
        <v>20</v>
      </c>
      <c r="C111" s="10" t="s">
        <v>21</v>
      </c>
      <c r="D111" s="33"/>
      <c r="E111" s="33"/>
      <c r="F111" s="33"/>
      <c r="G111" s="13"/>
      <c r="H111" s="27" t="s">
        <v>54</v>
      </c>
      <c r="I111" s="24">
        <v>29500.0</v>
      </c>
      <c r="J111" s="16">
        <f t="shared" si="2"/>
        <v>44250</v>
      </c>
      <c r="K111" s="16">
        <f t="shared" ref="K111:L111" si="113">I111*1.3</f>
        <v>38350</v>
      </c>
      <c r="L111" s="16">
        <f t="shared" si="113"/>
        <v>57525</v>
      </c>
      <c r="M111" s="17">
        <f t="shared" si="4"/>
        <v>35400</v>
      </c>
      <c r="N111" s="17">
        <f t="shared" si="5"/>
        <v>33925</v>
      </c>
      <c r="O111" s="17">
        <f t="shared" si="6"/>
        <v>32450</v>
      </c>
    </row>
    <row r="112" hidden="1">
      <c r="A112" s="9" t="s">
        <v>19</v>
      </c>
      <c r="B112" s="9" t="s">
        <v>20</v>
      </c>
      <c r="C112" s="10" t="s">
        <v>21</v>
      </c>
      <c r="D112" s="33"/>
      <c r="E112" s="34"/>
      <c r="F112" s="34"/>
      <c r="G112" s="13"/>
      <c r="H112" s="27" t="s">
        <v>55</v>
      </c>
      <c r="I112" s="24">
        <v>30750.0</v>
      </c>
      <c r="J112" s="16">
        <f t="shared" si="2"/>
        <v>46125</v>
      </c>
      <c r="K112" s="16">
        <f t="shared" ref="K112:L112" si="114">I112*1.3</f>
        <v>39975</v>
      </c>
      <c r="L112" s="16">
        <f t="shared" si="114"/>
        <v>59962.5</v>
      </c>
      <c r="M112" s="17">
        <f t="shared" si="4"/>
        <v>36900</v>
      </c>
      <c r="N112" s="17">
        <f t="shared" si="5"/>
        <v>35362.5</v>
      </c>
      <c r="O112" s="17">
        <f t="shared" si="6"/>
        <v>33825</v>
      </c>
    </row>
    <row r="113" hidden="1">
      <c r="A113" s="9" t="s">
        <v>19</v>
      </c>
      <c r="B113" s="9" t="s">
        <v>20</v>
      </c>
      <c r="C113" s="10" t="s">
        <v>21</v>
      </c>
      <c r="D113" s="33"/>
      <c r="E113" s="30" t="s">
        <v>72</v>
      </c>
      <c r="F113" s="35" t="s">
        <v>73</v>
      </c>
      <c r="G113" s="13"/>
      <c r="H113" s="40" t="s">
        <v>25</v>
      </c>
      <c r="I113" s="24">
        <v>31650.0</v>
      </c>
      <c r="J113" s="16">
        <f t="shared" si="2"/>
        <v>47475</v>
      </c>
      <c r="K113" s="16">
        <f t="shared" ref="K113:L113" si="115">I113*1.3</f>
        <v>41145</v>
      </c>
      <c r="L113" s="16">
        <f t="shared" si="115"/>
        <v>61717.5</v>
      </c>
      <c r="M113" s="17">
        <f t="shared" si="4"/>
        <v>37980</v>
      </c>
      <c r="N113" s="17">
        <f t="shared" si="5"/>
        <v>36397.5</v>
      </c>
      <c r="O113" s="17">
        <f t="shared" si="6"/>
        <v>34815</v>
      </c>
    </row>
    <row r="114" hidden="1">
      <c r="A114" s="9" t="s">
        <v>19</v>
      </c>
      <c r="B114" s="9" t="s">
        <v>20</v>
      </c>
      <c r="C114" s="10" t="s">
        <v>21</v>
      </c>
      <c r="D114" s="33"/>
      <c r="E114" s="33"/>
      <c r="F114" s="33"/>
      <c r="G114" s="13"/>
      <c r="H114" s="41" t="s">
        <v>27</v>
      </c>
      <c r="I114" s="24">
        <v>32550.0</v>
      </c>
      <c r="J114" s="16">
        <f t="shared" si="2"/>
        <v>48825</v>
      </c>
      <c r="K114" s="16">
        <f t="shared" ref="K114:L114" si="116">I114*1.3</f>
        <v>42315</v>
      </c>
      <c r="L114" s="16">
        <f t="shared" si="116"/>
        <v>63472.5</v>
      </c>
      <c r="M114" s="17">
        <f t="shared" si="4"/>
        <v>39060</v>
      </c>
      <c r="N114" s="17">
        <f t="shared" si="5"/>
        <v>37432.5</v>
      </c>
      <c r="O114" s="17">
        <f t="shared" si="6"/>
        <v>35805</v>
      </c>
    </row>
    <row r="115" hidden="1">
      <c r="A115" s="9" t="s">
        <v>19</v>
      </c>
      <c r="B115" s="9" t="s">
        <v>20</v>
      </c>
      <c r="C115" s="10" t="s">
        <v>21</v>
      </c>
      <c r="D115" s="33"/>
      <c r="E115" s="33"/>
      <c r="F115" s="33"/>
      <c r="G115" s="13"/>
      <c r="H115" s="41" t="s">
        <v>28</v>
      </c>
      <c r="I115" s="24">
        <v>34000.0</v>
      </c>
      <c r="J115" s="16">
        <f t="shared" si="2"/>
        <v>51000</v>
      </c>
      <c r="K115" s="16">
        <f t="shared" ref="K115:L115" si="117">I115*1.3</f>
        <v>44200</v>
      </c>
      <c r="L115" s="16">
        <f t="shared" si="117"/>
        <v>66300</v>
      </c>
      <c r="M115" s="17">
        <f t="shared" si="4"/>
        <v>40800</v>
      </c>
      <c r="N115" s="17">
        <f t="shared" si="5"/>
        <v>39100</v>
      </c>
      <c r="O115" s="17">
        <f t="shared" si="6"/>
        <v>37400</v>
      </c>
    </row>
    <row r="116" hidden="1">
      <c r="A116" s="9" t="s">
        <v>19</v>
      </c>
      <c r="B116" s="9" t="s">
        <v>20</v>
      </c>
      <c r="C116" s="10" t="s">
        <v>21</v>
      </c>
      <c r="D116" s="33"/>
      <c r="E116" s="33"/>
      <c r="F116" s="33"/>
      <c r="G116" s="13"/>
      <c r="H116" s="41" t="s">
        <v>29</v>
      </c>
      <c r="I116" s="24">
        <v>34800.0</v>
      </c>
      <c r="J116" s="16">
        <f t="shared" si="2"/>
        <v>52200</v>
      </c>
      <c r="K116" s="16">
        <f t="shared" ref="K116:L116" si="118">I116*1.3</f>
        <v>45240</v>
      </c>
      <c r="L116" s="16">
        <f t="shared" si="118"/>
        <v>67860</v>
      </c>
      <c r="M116" s="17">
        <f t="shared" si="4"/>
        <v>41760</v>
      </c>
      <c r="N116" s="17">
        <f t="shared" si="5"/>
        <v>40020</v>
      </c>
      <c r="O116" s="17">
        <f t="shared" si="6"/>
        <v>38280</v>
      </c>
    </row>
    <row r="117" hidden="1">
      <c r="A117" s="9" t="s">
        <v>19</v>
      </c>
      <c r="B117" s="9" t="s">
        <v>20</v>
      </c>
      <c r="C117" s="10" t="s">
        <v>21</v>
      </c>
      <c r="D117" s="33"/>
      <c r="E117" s="33"/>
      <c r="F117" s="33"/>
      <c r="G117" s="13"/>
      <c r="H117" s="41" t="s">
        <v>50</v>
      </c>
      <c r="I117" s="24">
        <v>32550.0</v>
      </c>
      <c r="J117" s="16">
        <f t="shared" si="2"/>
        <v>48825</v>
      </c>
      <c r="K117" s="16">
        <f t="shared" ref="K117:L117" si="119">I117*1.3</f>
        <v>42315</v>
      </c>
      <c r="L117" s="16">
        <f t="shared" si="119"/>
        <v>63472.5</v>
      </c>
      <c r="M117" s="17">
        <f t="shared" si="4"/>
        <v>39060</v>
      </c>
      <c r="N117" s="17">
        <f t="shared" si="5"/>
        <v>37432.5</v>
      </c>
      <c r="O117" s="17">
        <f t="shared" si="6"/>
        <v>35805</v>
      </c>
    </row>
    <row r="118" hidden="1">
      <c r="A118" s="9" t="s">
        <v>19</v>
      </c>
      <c r="B118" s="9" t="s">
        <v>20</v>
      </c>
      <c r="C118" s="10" t="s">
        <v>21</v>
      </c>
      <c r="D118" s="33"/>
      <c r="E118" s="33"/>
      <c r="F118" s="33"/>
      <c r="G118" s="13"/>
      <c r="H118" s="41" t="s">
        <v>51</v>
      </c>
      <c r="I118" s="24">
        <v>33800.0</v>
      </c>
      <c r="J118" s="16">
        <f t="shared" si="2"/>
        <v>50700</v>
      </c>
      <c r="K118" s="16">
        <f t="shared" ref="K118:L118" si="120">I118*1.3</f>
        <v>43940</v>
      </c>
      <c r="L118" s="16">
        <f t="shared" si="120"/>
        <v>65910</v>
      </c>
      <c r="M118" s="17">
        <f t="shared" si="4"/>
        <v>40560</v>
      </c>
      <c r="N118" s="17">
        <f t="shared" si="5"/>
        <v>38870</v>
      </c>
      <c r="O118" s="17">
        <f t="shared" si="6"/>
        <v>37180</v>
      </c>
    </row>
    <row r="119" hidden="1">
      <c r="A119" s="9" t="s">
        <v>19</v>
      </c>
      <c r="B119" s="9" t="s">
        <v>20</v>
      </c>
      <c r="C119" s="10" t="s">
        <v>21</v>
      </c>
      <c r="D119" s="33"/>
      <c r="E119" s="33"/>
      <c r="F119" s="33"/>
      <c r="G119" s="13"/>
      <c r="H119" s="41" t="s">
        <v>30</v>
      </c>
      <c r="I119" s="24">
        <v>32550.0</v>
      </c>
      <c r="J119" s="16">
        <f t="shared" si="2"/>
        <v>48825</v>
      </c>
      <c r="K119" s="16">
        <f t="shared" ref="K119:L119" si="121">I119*1.3</f>
        <v>42315</v>
      </c>
      <c r="L119" s="16">
        <f t="shared" si="121"/>
        <v>63472.5</v>
      </c>
      <c r="M119" s="17">
        <f t="shared" si="4"/>
        <v>39060</v>
      </c>
      <c r="N119" s="17">
        <f t="shared" si="5"/>
        <v>37432.5</v>
      </c>
      <c r="O119" s="17">
        <f t="shared" si="6"/>
        <v>35805</v>
      </c>
    </row>
    <row r="120" hidden="1">
      <c r="A120" s="9" t="s">
        <v>19</v>
      </c>
      <c r="B120" s="9" t="s">
        <v>20</v>
      </c>
      <c r="C120" s="10" t="s">
        <v>21</v>
      </c>
      <c r="D120" s="33"/>
      <c r="E120" s="33"/>
      <c r="F120" s="33"/>
      <c r="G120" s="13"/>
      <c r="H120" s="41" t="s">
        <v>31</v>
      </c>
      <c r="I120" s="24">
        <v>33450.0</v>
      </c>
      <c r="J120" s="16">
        <f t="shared" si="2"/>
        <v>50175</v>
      </c>
      <c r="K120" s="16">
        <f t="shared" ref="K120:L120" si="122">I120*1.3</f>
        <v>43485</v>
      </c>
      <c r="L120" s="16">
        <f t="shared" si="122"/>
        <v>65227.5</v>
      </c>
      <c r="M120" s="17">
        <f t="shared" si="4"/>
        <v>40140</v>
      </c>
      <c r="N120" s="17">
        <f t="shared" si="5"/>
        <v>38467.5</v>
      </c>
      <c r="O120" s="17">
        <f t="shared" si="6"/>
        <v>36795</v>
      </c>
    </row>
    <row r="121" hidden="1">
      <c r="A121" s="9" t="s">
        <v>19</v>
      </c>
      <c r="B121" s="9" t="s">
        <v>20</v>
      </c>
      <c r="C121" s="10" t="s">
        <v>21</v>
      </c>
      <c r="D121" s="33"/>
      <c r="E121" s="33"/>
      <c r="F121" s="33"/>
      <c r="G121" s="13"/>
      <c r="H121" s="41" t="s">
        <v>32</v>
      </c>
      <c r="I121" s="24">
        <v>34900.0</v>
      </c>
      <c r="J121" s="16">
        <f t="shared" si="2"/>
        <v>52350</v>
      </c>
      <c r="K121" s="16">
        <f t="shared" ref="K121:L121" si="123">I121*1.3</f>
        <v>45370</v>
      </c>
      <c r="L121" s="16">
        <f t="shared" si="123"/>
        <v>68055</v>
      </c>
      <c r="M121" s="17">
        <f t="shared" si="4"/>
        <v>41880</v>
      </c>
      <c r="N121" s="17">
        <f t="shared" si="5"/>
        <v>40135</v>
      </c>
      <c r="O121" s="17">
        <f t="shared" si="6"/>
        <v>38390</v>
      </c>
    </row>
    <row r="122" hidden="1">
      <c r="A122" s="9" t="s">
        <v>19</v>
      </c>
      <c r="B122" s="9" t="s">
        <v>20</v>
      </c>
      <c r="C122" s="10" t="s">
        <v>21</v>
      </c>
      <c r="D122" s="33"/>
      <c r="E122" s="33"/>
      <c r="F122" s="33"/>
      <c r="G122" s="13"/>
      <c r="H122" s="41" t="s">
        <v>33</v>
      </c>
      <c r="I122" s="24">
        <v>35700.0</v>
      </c>
      <c r="J122" s="16">
        <f t="shared" si="2"/>
        <v>53550</v>
      </c>
      <c r="K122" s="16">
        <f t="shared" ref="K122:L122" si="124">I122*1.3</f>
        <v>46410</v>
      </c>
      <c r="L122" s="16">
        <f t="shared" si="124"/>
        <v>69615</v>
      </c>
      <c r="M122" s="17">
        <f t="shared" si="4"/>
        <v>42840</v>
      </c>
      <c r="N122" s="17">
        <f t="shared" si="5"/>
        <v>41055</v>
      </c>
      <c r="O122" s="17">
        <f t="shared" si="6"/>
        <v>39270</v>
      </c>
    </row>
    <row r="123" hidden="1">
      <c r="A123" s="9" t="s">
        <v>19</v>
      </c>
      <c r="B123" s="9" t="s">
        <v>20</v>
      </c>
      <c r="C123" s="10" t="s">
        <v>21</v>
      </c>
      <c r="D123" s="33"/>
      <c r="E123" s="33"/>
      <c r="F123" s="33"/>
      <c r="G123" s="13"/>
      <c r="H123" s="41" t="s">
        <v>52</v>
      </c>
      <c r="I123" s="24">
        <v>33450.0</v>
      </c>
      <c r="J123" s="16">
        <f t="shared" si="2"/>
        <v>50175</v>
      </c>
      <c r="K123" s="16">
        <f t="shared" ref="K123:L123" si="125">I123*1.3</f>
        <v>43485</v>
      </c>
      <c r="L123" s="16">
        <f t="shared" si="125"/>
        <v>65227.5</v>
      </c>
      <c r="M123" s="17">
        <f t="shared" si="4"/>
        <v>40140</v>
      </c>
      <c r="N123" s="17">
        <f t="shared" si="5"/>
        <v>38467.5</v>
      </c>
      <c r="O123" s="17">
        <f t="shared" si="6"/>
        <v>36795</v>
      </c>
    </row>
    <row r="124" hidden="1">
      <c r="A124" s="9" t="s">
        <v>19</v>
      </c>
      <c r="B124" s="9" t="s">
        <v>20</v>
      </c>
      <c r="C124" s="10" t="s">
        <v>21</v>
      </c>
      <c r="D124" s="33"/>
      <c r="E124" s="33"/>
      <c r="F124" s="33"/>
      <c r="G124" s="13"/>
      <c r="H124" s="41" t="s">
        <v>53</v>
      </c>
      <c r="I124" s="24">
        <v>34700.0</v>
      </c>
      <c r="J124" s="16">
        <f t="shared" si="2"/>
        <v>52050</v>
      </c>
      <c r="K124" s="16">
        <f t="shared" ref="K124:L124" si="126">I124*1.3</f>
        <v>45110</v>
      </c>
      <c r="L124" s="16">
        <f t="shared" si="126"/>
        <v>67665</v>
      </c>
      <c r="M124" s="17">
        <f t="shared" si="4"/>
        <v>41640</v>
      </c>
      <c r="N124" s="17">
        <f t="shared" si="5"/>
        <v>39905</v>
      </c>
      <c r="O124" s="17">
        <f t="shared" si="6"/>
        <v>38170</v>
      </c>
    </row>
    <row r="125" hidden="1">
      <c r="A125" s="9" t="s">
        <v>19</v>
      </c>
      <c r="B125" s="9" t="s">
        <v>20</v>
      </c>
      <c r="C125" s="10" t="s">
        <v>21</v>
      </c>
      <c r="D125" s="33"/>
      <c r="E125" s="33"/>
      <c r="F125" s="33"/>
      <c r="G125" s="13"/>
      <c r="H125" s="41" t="s">
        <v>35</v>
      </c>
      <c r="I125" s="24">
        <v>34000.0</v>
      </c>
      <c r="J125" s="16">
        <f t="shared" si="2"/>
        <v>51000</v>
      </c>
      <c r="K125" s="16">
        <f t="shared" ref="K125:L125" si="127">I125*1.3</f>
        <v>44200</v>
      </c>
      <c r="L125" s="16">
        <f t="shared" si="127"/>
        <v>66300</v>
      </c>
      <c r="M125" s="17">
        <f t="shared" si="4"/>
        <v>40800</v>
      </c>
      <c r="N125" s="17">
        <f t="shared" si="5"/>
        <v>39100</v>
      </c>
      <c r="O125" s="17">
        <f t="shared" si="6"/>
        <v>37400</v>
      </c>
    </row>
    <row r="126" hidden="1">
      <c r="A126" s="9" t="s">
        <v>19</v>
      </c>
      <c r="B126" s="9" t="s">
        <v>20</v>
      </c>
      <c r="C126" s="10" t="s">
        <v>21</v>
      </c>
      <c r="D126" s="33"/>
      <c r="E126" s="33"/>
      <c r="F126" s="33"/>
      <c r="G126" s="13"/>
      <c r="H126" s="41" t="s">
        <v>36</v>
      </c>
      <c r="I126" s="24">
        <v>34900.0</v>
      </c>
      <c r="J126" s="16">
        <f t="shared" si="2"/>
        <v>52350</v>
      </c>
      <c r="K126" s="16">
        <f t="shared" ref="K126:L126" si="128">I126*1.3</f>
        <v>45370</v>
      </c>
      <c r="L126" s="16">
        <f t="shared" si="128"/>
        <v>68055</v>
      </c>
      <c r="M126" s="17">
        <f t="shared" si="4"/>
        <v>41880</v>
      </c>
      <c r="N126" s="17">
        <f t="shared" si="5"/>
        <v>40135</v>
      </c>
      <c r="O126" s="17">
        <f t="shared" si="6"/>
        <v>38390</v>
      </c>
    </row>
    <row r="127" hidden="1">
      <c r="A127" s="9" t="s">
        <v>19</v>
      </c>
      <c r="B127" s="9" t="s">
        <v>20</v>
      </c>
      <c r="C127" s="10" t="s">
        <v>21</v>
      </c>
      <c r="D127" s="33"/>
      <c r="E127" s="33"/>
      <c r="F127" s="33"/>
      <c r="G127" s="13"/>
      <c r="H127" s="41" t="s">
        <v>37</v>
      </c>
      <c r="I127" s="24">
        <v>36350.0</v>
      </c>
      <c r="J127" s="16">
        <f t="shared" si="2"/>
        <v>54525</v>
      </c>
      <c r="K127" s="16">
        <f t="shared" ref="K127:L127" si="129">I127*1.3</f>
        <v>47255</v>
      </c>
      <c r="L127" s="16">
        <f t="shared" si="129"/>
        <v>70882.5</v>
      </c>
      <c r="M127" s="17">
        <f t="shared" si="4"/>
        <v>43620</v>
      </c>
      <c r="N127" s="17">
        <f t="shared" si="5"/>
        <v>41802.5</v>
      </c>
      <c r="O127" s="17">
        <f t="shared" si="6"/>
        <v>39985</v>
      </c>
    </row>
    <row r="128" hidden="1">
      <c r="A128" s="9" t="s">
        <v>19</v>
      </c>
      <c r="B128" s="9" t="s">
        <v>20</v>
      </c>
      <c r="C128" s="10" t="s">
        <v>21</v>
      </c>
      <c r="D128" s="33"/>
      <c r="E128" s="33"/>
      <c r="F128" s="33"/>
      <c r="G128" s="13"/>
      <c r="H128" s="41" t="s">
        <v>38</v>
      </c>
      <c r="I128" s="24">
        <v>37150.0</v>
      </c>
      <c r="J128" s="16">
        <f t="shared" si="2"/>
        <v>55725</v>
      </c>
      <c r="K128" s="16">
        <f t="shared" ref="K128:L128" si="130">I128*1.3</f>
        <v>48295</v>
      </c>
      <c r="L128" s="16">
        <f t="shared" si="130"/>
        <v>72442.5</v>
      </c>
      <c r="M128" s="17">
        <f t="shared" si="4"/>
        <v>44580</v>
      </c>
      <c r="N128" s="17">
        <f t="shared" si="5"/>
        <v>42722.5</v>
      </c>
      <c r="O128" s="17">
        <f t="shared" si="6"/>
        <v>40865</v>
      </c>
    </row>
    <row r="129" hidden="1">
      <c r="A129" s="9" t="s">
        <v>19</v>
      </c>
      <c r="B129" s="9" t="s">
        <v>20</v>
      </c>
      <c r="C129" s="10" t="s">
        <v>21</v>
      </c>
      <c r="D129" s="33"/>
      <c r="E129" s="33"/>
      <c r="F129" s="33"/>
      <c r="G129" s="13"/>
      <c r="H129" s="41" t="s">
        <v>54</v>
      </c>
      <c r="I129" s="24">
        <v>34900.0</v>
      </c>
      <c r="J129" s="16">
        <f t="shared" si="2"/>
        <v>52350</v>
      </c>
      <c r="K129" s="16">
        <f t="shared" ref="K129:L129" si="131">I129*1.3</f>
        <v>45370</v>
      </c>
      <c r="L129" s="16">
        <f t="shared" si="131"/>
        <v>68055</v>
      </c>
      <c r="M129" s="17">
        <f t="shared" si="4"/>
        <v>41880</v>
      </c>
      <c r="N129" s="17">
        <f t="shared" si="5"/>
        <v>40135</v>
      </c>
      <c r="O129" s="17">
        <f t="shared" si="6"/>
        <v>38390</v>
      </c>
    </row>
    <row r="130" hidden="1">
      <c r="A130" s="9" t="s">
        <v>19</v>
      </c>
      <c r="B130" s="9" t="s">
        <v>20</v>
      </c>
      <c r="C130" s="10" t="s">
        <v>21</v>
      </c>
      <c r="D130" s="33"/>
      <c r="E130" s="34"/>
      <c r="F130" s="34"/>
      <c r="G130" s="13"/>
      <c r="H130" s="41" t="s">
        <v>55</v>
      </c>
      <c r="I130" s="24">
        <v>36150.0</v>
      </c>
      <c r="J130" s="16">
        <f t="shared" si="2"/>
        <v>54225</v>
      </c>
      <c r="K130" s="16">
        <f t="shared" ref="K130:L130" si="132">I130*1.3</f>
        <v>46995</v>
      </c>
      <c r="L130" s="16">
        <f t="shared" si="132"/>
        <v>70492.5</v>
      </c>
      <c r="M130" s="17">
        <f t="shared" si="4"/>
        <v>43380</v>
      </c>
      <c r="N130" s="17">
        <f t="shared" si="5"/>
        <v>41572.5</v>
      </c>
      <c r="O130" s="17">
        <f t="shared" si="6"/>
        <v>39765</v>
      </c>
    </row>
    <row r="131" hidden="1">
      <c r="A131" s="9" t="s">
        <v>19</v>
      </c>
      <c r="B131" s="9" t="s">
        <v>20</v>
      </c>
      <c r="C131" s="10" t="s">
        <v>21</v>
      </c>
      <c r="D131" s="33"/>
      <c r="E131" s="11" t="s">
        <v>74</v>
      </c>
      <c r="F131" s="32" t="s">
        <v>75</v>
      </c>
      <c r="G131" s="13"/>
      <c r="H131" s="23" t="s">
        <v>25</v>
      </c>
      <c r="I131" s="24">
        <v>34350.0</v>
      </c>
      <c r="J131" s="16">
        <f t="shared" si="2"/>
        <v>51525</v>
      </c>
      <c r="K131" s="16">
        <f t="shared" ref="K131:L131" si="133">I131*1.3</f>
        <v>44655</v>
      </c>
      <c r="L131" s="16">
        <f t="shared" si="133"/>
        <v>66982.5</v>
      </c>
      <c r="M131" s="17">
        <f t="shared" si="4"/>
        <v>41220</v>
      </c>
      <c r="N131" s="17">
        <f t="shared" si="5"/>
        <v>39502.5</v>
      </c>
      <c r="O131" s="17">
        <f t="shared" si="6"/>
        <v>37785</v>
      </c>
    </row>
    <row r="132" hidden="1">
      <c r="A132" s="9" t="s">
        <v>19</v>
      </c>
      <c r="B132" s="9" t="s">
        <v>20</v>
      </c>
      <c r="C132" s="10" t="s">
        <v>21</v>
      </c>
      <c r="D132" s="33"/>
      <c r="E132" s="33"/>
      <c r="F132" s="33"/>
      <c r="G132" s="13"/>
      <c r="H132" s="27" t="s">
        <v>27</v>
      </c>
      <c r="I132" s="24">
        <v>35250.0</v>
      </c>
      <c r="J132" s="16">
        <f t="shared" si="2"/>
        <v>52875</v>
      </c>
      <c r="K132" s="16">
        <f t="shared" ref="K132:L132" si="134">I132*1.3</f>
        <v>45825</v>
      </c>
      <c r="L132" s="16">
        <f t="shared" si="134"/>
        <v>68737.5</v>
      </c>
      <c r="M132" s="17">
        <f t="shared" si="4"/>
        <v>42300</v>
      </c>
      <c r="N132" s="17">
        <f t="shared" si="5"/>
        <v>40537.5</v>
      </c>
      <c r="O132" s="17">
        <f t="shared" si="6"/>
        <v>38775</v>
      </c>
    </row>
    <row r="133" hidden="1">
      <c r="A133" s="9" t="s">
        <v>19</v>
      </c>
      <c r="B133" s="9" t="s">
        <v>20</v>
      </c>
      <c r="C133" s="10" t="s">
        <v>21</v>
      </c>
      <c r="D133" s="33"/>
      <c r="E133" s="33"/>
      <c r="F133" s="33"/>
      <c r="G133" s="13"/>
      <c r="H133" s="27" t="s">
        <v>28</v>
      </c>
      <c r="I133" s="24">
        <v>36700.0</v>
      </c>
      <c r="J133" s="16">
        <f t="shared" si="2"/>
        <v>55050</v>
      </c>
      <c r="K133" s="16">
        <f t="shared" ref="K133:L133" si="135">I133*1.3</f>
        <v>47710</v>
      </c>
      <c r="L133" s="16">
        <f t="shared" si="135"/>
        <v>71565</v>
      </c>
      <c r="M133" s="17">
        <f t="shared" si="4"/>
        <v>44040</v>
      </c>
      <c r="N133" s="17">
        <f t="shared" si="5"/>
        <v>42205</v>
      </c>
      <c r="O133" s="17">
        <f t="shared" si="6"/>
        <v>40370</v>
      </c>
    </row>
    <row r="134" hidden="1">
      <c r="A134" s="9" t="s">
        <v>19</v>
      </c>
      <c r="B134" s="9" t="s">
        <v>20</v>
      </c>
      <c r="C134" s="10" t="s">
        <v>21</v>
      </c>
      <c r="D134" s="33"/>
      <c r="E134" s="33"/>
      <c r="F134" s="33"/>
      <c r="G134" s="13"/>
      <c r="H134" s="27" t="s">
        <v>29</v>
      </c>
      <c r="I134" s="24">
        <v>37500.0</v>
      </c>
      <c r="J134" s="16">
        <f t="shared" si="2"/>
        <v>56250</v>
      </c>
      <c r="K134" s="16">
        <f t="shared" ref="K134:L134" si="136">I134*1.3</f>
        <v>48750</v>
      </c>
      <c r="L134" s="16">
        <f t="shared" si="136"/>
        <v>73125</v>
      </c>
      <c r="M134" s="17">
        <f t="shared" si="4"/>
        <v>45000</v>
      </c>
      <c r="N134" s="17">
        <f t="shared" si="5"/>
        <v>43125</v>
      </c>
      <c r="O134" s="17">
        <f t="shared" si="6"/>
        <v>41250</v>
      </c>
    </row>
    <row r="135" hidden="1">
      <c r="A135" s="9" t="s">
        <v>19</v>
      </c>
      <c r="B135" s="9" t="s">
        <v>20</v>
      </c>
      <c r="C135" s="10" t="s">
        <v>21</v>
      </c>
      <c r="D135" s="33"/>
      <c r="E135" s="33"/>
      <c r="F135" s="33"/>
      <c r="G135" s="13"/>
      <c r="H135" s="27" t="s">
        <v>50</v>
      </c>
      <c r="I135" s="24">
        <v>35250.0</v>
      </c>
      <c r="J135" s="16">
        <f t="shared" si="2"/>
        <v>52875</v>
      </c>
      <c r="K135" s="16">
        <f t="shared" ref="K135:L135" si="137">I135*1.3</f>
        <v>45825</v>
      </c>
      <c r="L135" s="16">
        <f t="shared" si="137"/>
        <v>68737.5</v>
      </c>
      <c r="M135" s="17">
        <f t="shared" si="4"/>
        <v>42300</v>
      </c>
      <c r="N135" s="17">
        <f t="shared" si="5"/>
        <v>40537.5</v>
      </c>
      <c r="O135" s="17">
        <f t="shared" si="6"/>
        <v>38775</v>
      </c>
    </row>
    <row r="136" hidden="1">
      <c r="A136" s="9" t="s">
        <v>19</v>
      </c>
      <c r="B136" s="9" t="s">
        <v>20</v>
      </c>
      <c r="C136" s="10" t="s">
        <v>21</v>
      </c>
      <c r="D136" s="33"/>
      <c r="E136" s="33"/>
      <c r="F136" s="33"/>
      <c r="G136" s="13"/>
      <c r="H136" s="27" t="s">
        <v>51</v>
      </c>
      <c r="I136" s="24">
        <v>36500.0</v>
      </c>
      <c r="J136" s="16">
        <f t="shared" si="2"/>
        <v>54750</v>
      </c>
      <c r="K136" s="16">
        <f t="shared" ref="K136:L136" si="138">I136*1.3</f>
        <v>47450</v>
      </c>
      <c r="L136" s="16">
        <f t="shared" si="138"/>
        <v>71175</v>
      </c>
      <c r="M136" s="17">
        <f t="shared" si="4"/>
        <v>43800</v>
      </c>
      <c r="N136" s="17">
        <f t="shared" si="5"/>
        <v>41975</v>
      </c>
      <c r="O136" s="17">
        <f t="shared" si="6"/>
        <v>40150</v>
      </c>
    </row>
    <row r="137" hidden="1">
      <c r="A137" s="9" t="s">
        <v>19</v>
      </c>
      <c r="B137" s="9" t="s">
        <v>20</v>
      </c>
      <c r="C137" s="10" t="s">
        <v>21</v>
      </c>
      <c r="D137" s="33"/>
      <c r="E137" s="33"/>
      <c r="F137" s="33"/>
      <c r="G137" s="13"/>
      <c r="H137" s="27" t="s">
        <v>30</v>
      </c>
      <c r="I137" s="24">
        <v>35250.0</v>
      </c>
      <c r="J137" s="16">
        <f t="shared" si="2"/>
        <v>52875</v>
      </c>
      <c r="K137" s="16">
        <f t="shared" ref="K137:L137" si="139">I137*1.3</f>
        <v>45825</v>
      </c>
      <c r="L137" s="16">
        <f t="shared" si="139"/>
        <v>68737.5</v>
      </c>
      <c r="M137" s="17">
        <f t="shared" si="4"/>
        <v>42300</v>
      </c>
      <c r="N137" s="17">
        <f t="shared" si="5"/>
        <v>40537.5</v>
      </c>
      <c r="O137" s="17">
        <f t="shared" si="6"/>
        <v>38775</v>
      </c>
    </row>
    <row r="138" hidden="1">
      <c r="A138" s="9" t="s">
        <v>19</v>
      </c>
      <c r="B138" s="9" t="s">
        <v>20</v>
      </c>
      <c r="C138" s="10" t="s">
        <v>21</v>
      </c>
      <c r="D138" s="33"/>
      <c r="E138" s="33"/>
      <c r="F138" s="33"/>
      <c r="G138" s="13"/>
      <c r="H138" s="27" t="s">
        <v>31</v>
      </c>
      <c r="I138" s="24">
        <v>36150.0</v>
      </c>
      <c r="J138" s="16">
        <f t="shared" si="2"/>
        <v>54225</v>
      </c>
      <c r="K138" s="16">
        <f t="shared" ref="K138:L138" si="140">I138*1.3</f>
        <v>46995</v>
      </c>
      <c r="L138" s="16">
        <f t="shared" si="140"/>
        <v>70492.5</v>
      </c>
      <c r="M138" s="17">
        <f t="shared" si="4"/>
        <v>43380</v>
      </c>
      <c r="N138" s="17">
        <f t="shared" si="5"/>
        <v>41572.5</v>
      </c>
      <c r="O138" s="17">
        <f t="shared" si="6"/>
        <v>39765</v>
      </c>
    </row>
    <row r="139" hidden="1">
      <c r="A139" s="9" t="s">
        <v>19</v>
      </c>
      <c r="B139" s="9" t="s">
        <v>20</v>
      </c>
      <c r="C139" s="10" t="s">
        <v>21</v>
      </c>
      <c r="D139" s="33"/>
      <c r="E139" s="33"/>
      <c r="F139" s="33"/>
      <c r="G139" s="13"/>
      <c r="H139" s="27" t="s">
        <v>32</v>
      </c>
      <c r="I139" s="24">
        <v>37600.0</v>
      </c>
      <c r="J139" s="16">
        <f t="shared" si="2"/>
        <v>56400</v>
      </c>
      <c r="K139" s="16">
        <f t="shared" ref="K139:L139" si="141">I139*1.3</f>
        <v>48880</v>
      </c>
      <c r="L139" s="16">
        <f t="shared" si="141"/>
        <v>73320</v>
      </c>
      <c r="M139" s="17">
        <f t="shared" si="4"/>
        <v>45120</v>
      </c>
      <c r="N139" s="17">
        <f t="shared" si="5"/>
        <v>43240</v>
      </c>
      <c r="O139" s="17">
        <f t="shared" si="6"/>
        <v>41360</v>
      </c>
    </row>
    <row r="140" hidden="1">
      <c r="A140" s="9" t="s">
        <v>19</v>
      </c>
      <c r="B140" s="9" t="s">
        <v>20</v>
      </c>
      <c r="C140" s="10" t="s">
        <v>21</v>
      </c>
      <c r="D140" s="33"/>
      <c r="E140" s="33"/>
      <c r="F140" s="33"/>
      <c r="G140" s="13"/>
      <c r="H140" s="27" t="s">
        <v>33</v>
      </c>
      <c r="I140" s="24">
        <v>38400.0</v>
      </c>
      <c r="J140" s="16">
        <f t="shared" si="2"/>
        <v>57600</v>
      </c>
      <c r="K140" s="16">
        <f t="shared" ref="K140:L140" si="142">I140*1.3</f>
        <v>49920</v>
      </c>
      <c r="L140" s="16">
        <f t="shared" si="142"/>
        <v>74880</v>
      </c>
      <c r="M140" s="17">
        <f t="shared" si="4"/>
        <v>46080</v>
      </c>
      <c r="N140" s="17">
        <f t="shared" si="5"/>
        <v>44160</v>
      </c>
      <c r="O140" s="17">
        <f t="shared" si="6"/>
        <v>42240</v>
      </c>
    </row>
    <row r="141" hidden="1">
      <c r="A141" s="9" t="s">
        <v>19</v>
      </c>
      <c r="B141" s="9" t="s">
        <v>20</v>
      </c>
      <c r="C141" s="10" t="s">
        <v>21</v>
      </c>
      <c r="D141" s="33"/>
      <c r="E141" s="33"/>
      <c r="F141" s="33"/>
      <c r="G141" s="13"/>
      <c r="H141" s="27" t="s">
        <v>52</v>
      </c>
      <c r="I141" s="24">
        <v>36150.0</v>
      </c>
      <c r="J141" s="16">
        <f t="shared" si="2"/>
        <v>54225</v>
      </c>
      <c r="K141" s="16">
        <f t="shared" ref="K141:L141" si="143">I141*1.3</f>
        <v>46995</v>
      </c>
      <c r="L141" s="16">
        <f t="shared" si="143"/>
        <v>70492.5</v>
      </c>
      <c r="M141" s="17">
        <f t="shared" si="4"/>
        <v>43380</v>
      </c>
      <c r="N141" s="17">
        <f t="shared" si="5"/>
        <v>41572.5</v>
      </c>
      <c r="O141" s="17">
        <f t="shared" si="6"/>
        <v>39765</v>
      </c>
    </row>
    <row r="142" hidden="1">
      <c r="A142" s="9" t="s">
        <v>19</v>
      </c>
      <c r="B142" s="9" t="s">
        <v>20</v>
      </c>
      <c r="C142" s="10" t="s">
        <v>21</v>
      </c>
      <c r="D142" s="33"/>
      <c r="E142" s="33"/>
      <c r="F142" s="33"/>
      <c r="G142" s="13"/>
      <c r="H142" s="27" t="s">
        <v>53</v>
      </c>
      <c r="I142" s="24">
        <v>37450.0</v>
      </c>
      <c r="J142" s="16">
        <f t="shared" si="2"/>
        <v>56175</v>
      </c>
      <c r="K142" s="16">
        <f t="shared" ref="K142:L142" si="144">I142*1.3</f>
        <v>48685</v>
      </c>
      <c r="L142" s="16">
        <f t="shared" si="144"/>
        <v>73027.5</v>
      </c>
      <c r="M142" s="17">
        <f t="shared" si="4"/>
        <v>44940</v>
      </c>
      <c r="N142" s="17">
        <f t="shared" si="5"/>
        <v>43067.5</v>
      </c>
      <c r="O142" s="17">
        <f t="shared" si="6"/>
        <v>41195</v>
      </c>
    </row>
    <row r="143" hidden="1">
      <c r="A143" s="9" t="s">
        <v>19</v>
      </c>
      <c r="B143" s="9" t="s">
        <v>20</v>
      </c>
      <c r="C143" s="10" t="s">
        <v>21</v>
      </c>
      <c r="D143" s="33"/>
      <c r="E143" s="33"/>
      <c r="F143" s="33"/>
      <c r="G143" s="13"/>
      <c r="H143" s="27" t="s">
        <v>35</v>
      </c>
      <c r="I143" s="24">
        <v>36700.0</v>
      </c>
      <c r="J143" s="16">
        <f t="shared" si="2"/>
        <v>55050</v>
      </c>
      <c r="K143" s="16">
        <f t="shared" ref="K143:L143" si="145">I143*1.3</f>
        <v>47710</v>
      </c>
      <c r="L143" s="16">
        <f t="shared" si="145"/>
        <v>71565</v>
      </c>
      <c r="M143" s="17">
        <f t="shared" si="4"/>
        <v>44040</v>
      </c>
      <c r="N143" s="17">
        <f t="shared" si="5"/>
        <v>42205</v>
      </c>
      <c r="O143" s="17">
        <f t="shared" si="6"/>
        <v>40370</v>
      </c>
    </row>
    <row r="144" hidden="1">
      <c r="A144" s="9" t="s">
        <v>19</v>
      </c>
      <c r="B144" s="9" t="s">
        <v>20</v>
      </c>
      <c r="C144" s="10" t="s">
        <v>21</v>
      </c>
      <c r="D144" s="33"/>
      <c r="E144" s="33"/>
      <c r="F144" s="33"/>
      <c r="G144" s="13"/>
      <c r="H144" s="27" t="s">
        <v>36</v>
      </c>
      <c r="I144" s="24">
        <v>37600.0</v>
      </c>
      <c r="J144" s="16">
        <f t="shared" si="2"/>
        <v>56400</v>
      </c>
      <c r="K144" s="16">
        <f t="shared" ref="K144:L144" si="146">I144*1.3</f>
        <v>48880</v>
      </c>
      <c r="L144" s="16">
        <f t="shared" si="146"/>
        <v>73320</v>
      </c>
      <c r="M144" s="17">
        <f t="shared" si="4"/>
        <v>45120</v>
      </c>
      <c r="N144" s="17">
        <f t="shared" si="5"/>
        <v>43240</v>
      </c>
      <c r="O144" s="17">
        <f t="shared" si="6"/>
        <v>41360</v>
      </c>
    </row>
    <row r="145" hidden="1">
      <c r="A145" s="9" t="s">
        <v>19</v>
      </c>
      <c r="B145" s="9" t="s">
        <v>20</v>
      </c>
      <c r="C145" s="10" t="s">
        <v>21</v>
      </c>
      <c r="D145" s="33"/>
      <c r="E145" s="33"/>
      <c r="F145" s="33"/>
      <c r="G145" s="13"/>
      <c r="H145" s="27" t="s">
        <v>37</v>
      </c>
      <c r="I145" s="24">
        <v>39050.0</v>
      </c>
      <c r="J145" s="16">
        <f t="shared" si="2"/>
        <v>58575</v>
      </c>
      <c r="K145" s="16">
        <f t="shared" ref="K145:L145" si="147">I145*1.3</f>
        <v>50765</v>
      </c>
      <c r="L145" s="16">
        <f t="shared" si="147"/>
        <v>76147.5</v>
      </c>
      <c r="M145" s="17">
        <f t="shared" si="4"/>
        <v>46860</v>
      </c>
      <c r="N145" s="17">
        <f t="shared" si="5"/>
        <v>44907.5</v>
      </c>
      <c r="O145" s="17">
        <f t="shared" si="6"/>
        <v>42955</v>
      </c>
    </row>
    <row r="146" hidden="1">
      <c r="A146" s="9" t="s">
        <v>19</v>
      </c>
      <c r="B146" s="9" t="s">
        <v>20</v>
      </c>
      <c r="C146" s="10" t="s">
        <v>21</v>
      </c>
      <c r="D146" s="33"/>
      <c r="E146" s="33"/>
      <c r="F146" s="33"/>
      <c r="G146" s="13"/>
      <c r="H146" s="27" t="s">
        <v>38</v>
      </c>
      <c r="I146" s="24">
        <v>39850.0</v>
      </c>
      <c r="J146" s="16">
        <f t="shared" si="2"/>
        <v>59775</v>
      </c>
      <c r="K146" s="16">
        <f t="shared" ref="K146:L146" si="148">I146*1.3</f>
        <v>51805</v>
      </c>
      <c r="L146" s="16">
        <f t="shared" si="148"/>
        <v>77707.5</v>
      </c>
      <c r="M146" s="17">
        <f t="shared" si="4"/>
        <v>47820</v>
      </c>
      <c r="N146" s="17">
        <f t="shared" si="5"/>
        <v>45827.5</v>
      </c>
      <c r="O146" s="17">
        <f t="shared" si="6"/>
        <v>43835</v>
      </c>
    </row>
    <row r="147" hidden="1">
      <c r="A147" s="9" t="s">
        <v>19</v>
      </c>
      <c r="B147" s="9" t="s">
        <v>20</v>
      </c>
      <c r="C147" s="10" t="s">
        <v>21</v>
      </c>
      <c r="D147" s="33"/>
      <c r="E147" s="33"/>
      <c r="F147" s="33"/>
      <c r="G147" s="13"/>
      <c r="H147" s="27" t="s">
        <v>54</v>
      </c>
      <c r="I147" s="24">
        <v>37600.0</v>
      </c>
      <c r="J147" s="16">
        <f t="shared" si="2"/>
        <v>56400</v>
      </c>
      <c r="K147" s="16">
        <f t="shared" ref="K147:L147" si="149">I147*1.3</f>
        <v>48880</v>
      </c>
      <c r="L147" s="16">
        <f t="shared" si="149"/>
        <v>73320</v>
      </c>
      <c r="M147" s="17">
        <f t="shared" si="4"/>
        <v>45120</v>
      </c>
      <c r="N147" s="17">
        <f t="shared" si="5"/>
        <v>43240</v>
      </c>
      <c r="O147" s="17">
        <f t="shared" si="6"/>
        <v>41360</v>
      </c>
    </row>
    <row r="148" hidden="1">
      <c r="A148" s="9" t="s">
        <v>19</v>
      </c>
      <c r="B148" s="9" t="s">
        <v>20</v>
      </c>
      <c r="C148" s="10" t="s">
        <v>21</v>
      </c>
      <c r="D148" s="33"/>
      <c r="E148" s="34"/>
      <c r="F148" s="34"/>
      <c r="G148" s="13"/>
      <c r="H148" s="27" t="s">
        <v>55</v>
      </c>
      <c r="I148" s="24">
        <v>38850.0</v>
      </c>
      <c r="J148" s="16">
        <f t="shared" si="2"/>
        <v>58275</v>
      </c>
      <c r="K148" s="16">
        <f t="shared" ref="K148:L148" si="150">I148*1.3</f>
        <v>50505</v>
      </c>
      <c r="L148" s="16">
        <f t="shared" si="150"/>
        <v>75757.5</v>
      </c>
      <c r="M148" s="17">
        <f t="shared" si="4"/>
        <v>46620</v>
      </c>
      <c r="N148" s="17">
        <f t="shared" si="5"/>
        <v>44677.5</v>
      </c>
      <c r="O148" s="17">
        <f t="shared" si="6"/>
        <v>42735</v>
      </c>
    </row>
    <row r="149" hidden="1">
      <c r="A149" s="9" t="s">
        <v>19</v>
      </c>
      <c r="B149" s="9" t="s">
        <v>20</v>
      </c>
      <c r="C149" s="38" t="s">
        <v>41</v>
      </c>
      <c r="D149" s="33"/>
      <c r="E149" s="13"/>
      <c r="F149" s="9" t="s">
        <v>60</v>
      </c>
      <c r="G149" s="38" t="s">
        <v>43</v>
      </c>
      <c r="H149" s="13"/>
      <c r="I149" s="24">
        <v>3250.0</v>
      </c>
      <c r="J149" s="16">
        <f t="shared" si="2"/>
        <v>4875</v>
      </c>
      <c r="K149" s="16">
        <f t="shared" ref="K149:L149" si="151">I149*1.3</f>
        <v>4225</v>
      </c>
      <c r="L149" s="16">
        <f t="shared" si="151"/>
        <v>6337.5</v>
      </c>
      <c r="M149" s="17">
        <f t="shared" si="4"/>
        <v>3900</v>
      </c>
      <c r="N149" s="17">
        <f t="shared" si="5"/>
        <v>3737.5</v>
      </c>
      <c r="O149" s="17">
        <f t="shared" si="6"/>
        <v>3575</v>
      </c>
    </row>
    <row r="150" hidden="1">
      <c r="A150" s="9" t="s">
        <v>19</v>
      </c>
      <c r="B150" s="9" t="s">
        <v>20</v>
      </c>
      <c r="C150" s="38" t="s">
        <v>41</v>
      </c>
      <c r="D150" s="33"/>
      <c r="E150" s="13"/>
      <c r="F150" s="9" t="s">
        <v>76</v>
      </c>
      <c r="G150" s="38" t="s">
        <v>43</v>
      </c>
      <c r="H150" s="13"/>
      <c r="I150" s="24">
        <v>6500.0</v>
      </c>
      <c r="J150" s="16">
        <f t="shared" si="2"/>
        <v>9750</v>
      </c>
      <c r="K150" s="16">
        <f t="shared" ref="K150:L150" si="152">I150*1.3</f>
        <v>8450</v>
      </c>
      <c r="L150" s="16">
        <f t="shared" si="152"/>
        <v>12675</v>
      </c>
      <c r="M150" s="17">
        <f t="shared" si="4"/>
        <v>7800</v>
      </c>
      <c r="N150" s="17">
        <f t="shared" si="5"/>
        <v>7475</v>
      </c>
      <c r="O150" s="17">
        <f t="shared" si="6"/>
        <v>7150</v>
      </c>
    </row>
    <row r="151" hidden="1">
      <c r="A151" s="9" t="s">
        <v>19</v>
      </c>
      <c r="B151" s="9" t="s">
        <v>20</v>
      </c>
      <c r="C151" s="38" t="s">
        <v>41</v>
      </c>
      <c r="D151" s="33"/>
      <c r="E151" s="13"/>
      <c r="F151" s="9" t="s">
        <v>62</v>
      </c>
      <c r="G151" s="38" t="s">
        <v>43</v>
      </c>
      <c r="H151" s="13"/>
      <c r="I151" s="24">
        <v>2200.0</v>
      </c>
      <c r="J151" s="16">
        <f t="shared" si="2"/>
        <v>3300</v>
      </c>
      <c r="K151" s="16">
        <f t="shared" ref="K151:L151" si="153">I151*1.3</f>
        <v>2860</v>
      </c>
      <c r="L151" s="16">
        <f t="shared" si="153"/>
        <v>4290</v>
      </c>
      <c r="M151" s="17">
        <f t="shared" si="4"/>
        <v>2640</v>
      </c>
      <c r="N151" s="17">
        <f t="shared" si="5"/>
        <v>2530</v>
      </c>
      <c r="O151" s="17">
        <f t="shared" si="6"/>
        <v>2420</v>
      </c>
    </row>
    <row r="152" hidden="1">
      <c r="A152" s="9" t="s">
        <v>19</v>
      </c>
      <c r="B152" s="9" t="s">
        <v>20</v>
      </c>
      <c r="C152" s="38" t="s">
        <v>41</v>
      </c>
      <c r="D152" s="33"/>
      <c r="E152" s="13"/>
      <c r="F152" s="9" t="s">
        <v>63</v>
      </c>
      <c r="G152" s="38" t="s">
        <v>43</v>
      </c>
      <c r="H152" s="13"/>
      <c r="I152" s="24">
        <v>1650.0</v>
      </c>
      <c r="J152" s="16">
        <f t="shared" si="2"/>
        <v>2475</v>
      </c>
      <c r="K152" s="16">
        <f t="shared" ref="K152:L152" si="154">I152*1.3</f>
        <v>2145</v>
      </c>
      <c r="L152" s="16">
        <f t="shared" si="154"/>
        <v>3217.5</v>
      </c>
      <c r="M152" s="17">
        <f t="shared" si="4"/>
        <v>1980</v>
      </c>
      <c r="N152" s="17">
        <f t="shared" si="5"/>
        <v>1897.5</v>
      </c>
      <c r="O152" s="17">
        <f t="shared" si="6"/>
        <v>1815</v>
      </c>
    </row>
    <row r="153" hidden="1">
      <c r="A153" s="9" t="s">
        <v>19</v>
      </c>
      <c r="B153" s="9" t="s">
        <v>20</v>
      </c>
      <c r="C153" s="38" t="s">
        <v>41</v>
      </c>
      <c r="D153" s="33"/>
      <c r="E153" s="13"/>
      <c r="F153" s="9" t="s">
        <v>64</v>
      </c>
      <c r="G153" s="38" t="s">
        <v>43</v>
      </c>
      <c r="H153" s="13"/>
      <c r="I153" s="24">
        <v>2700.0</v>
      </c>
      <c r="J153" s="16">
        <f t="shared" si="2"/>
        <v>4050</v>
      </c>
      <c r="K153" s="16">
        <f t="shared" ref="K153:L153" si="155">I153*1.3</f>
        <v>3510</v>
      </c>
      <c r="L153" s="16">
        <f t="shared" si="155"/>
        <v>5265</v>
      </c>
      <c r="M153" s="17">
        <f t="shared" si="4"/>
        <v>3240</v>
      </c>
      <c r="N153" s="17">
        <f t="shared" si="5"/>
        <v>3105</v>
      </c>
      <c r="O153" s="17">
        <f t="shared" si="6"/>
        <v>2970</v>
      </c>
    </row>
    <row r="154" hidden="1">
      <c r="A154" s="9" t="s">
        <v>19</v>
      </c>
      <c r="B154" s="9" t="s">
        <v>20</v>
      </c>
      <c r="C154" s="38" t="s">
        <v>41</v>
      </c>
      <c r="D154" s="33"/>
      <c r="E154" s="13"/>
      <c r="F154" s="9" t="s">
        <v>65</v>
      </c>
      <c r="G154" s="38" t="s">
        <v>43</v>
      </c>
      <c r="H154" s="13"/>
      <c r="I154" s="24">
        <v>3250.0</v>
      </c>
      <c r="J154" s="16">
        <f t="shared" si="2"/>
        <v>4875</v>
      </c>
      <c r="K154" s="16">
        <f t="shared" ref="K154:L154" si="156">I154*1.3</f>
        <v>4225</v>
      </c>
      <c r="L154" s="16">
        <f t="shared" si="156"/>
        <v>6337.5</v>
      </c>
      <c r="M154" s="17">
        <f t="shared" si="4"/>
        <v>3900</v>
      </c>
      <c r="N154" s="17">
        <f t="shared" si="5"/>
        <v>3737.5</v>
      </c>
      <c r="O154" s="17">
        <f t="shared" si="6"/>
        <v>3575</v>
      </c>
    </row>
    <row r="155" hidden="1">
      <c r="A155" s="9" t="s">
        <v>19</v>
      </c>
      <c r="B155" s="9" t="s">
        <v>20</v>
      </c>
      <c r="C155" s="38" t="s">
        <v>41</v>
      </c>
      <c r="D155" s="33"/>
      <c r="E155" s="13"/>
      <c r="F155" s="9" t="s">
        <v>66</v>
      </c>
      <c r="G155" s="38" t="s">
        <v>43</v>
      </c>
      <c r="H155" s="13"/>
      <c r="I155" s="24">
        <v>5400.0</v>
      </c>
      <c r="J155" s="16">
        <f t="shared" si="2"/>
        <v>8100</v>
      </c>
      <c r="K155" s="16">
        <f t="shared" ref="K155:L155" si="157">I155*1.3</f>
        <v>7020</v>
      </c>
      <c r="L155" s="16">
        <f t="shared" si="157"/>
        <v>10530</v>
      </c>
      <c r="M155" s="17">
        <f t="shared" si="4"/>
        <v>6480</v>
      </c>
      <c r="N155" s="17">
        <f t="shared" si="5"/>
        <v>6210</v>
      </c>
      <c r="O155" s="17">
        <f t="shared" si="6"/>
        <v>5940</v>
      </c>
    </row>
    <row r="156" hidden="1">
      <c r="A156" s="9" t="s">
        <v>19</v>
      </c>
      <c r="B156" s="9" t="s">
        <v>20</v>
      </c>
      <c r="C156" s="38" t="s">
        <v>41</v>
      </c>
      <c r="D156" s="33"/>
      <c r="E156" s="13"/>
      <c r="F156" s="9" t="s">
        <v>46</v>
      </c>
      <c r="G156" s="38" t="s">
        <v>43</v>
      </c>
      <c r="H156" s="13"/>
      <c r="I156" s="24">
        <v>1100.0</v>
      </c>
      <c r="J156" s="16">
        <f t="shared" si="2"/>
        <v>1650</v>
      </c>
      <c r="K156" s="16">
        <f t="shared" ref="K156:L156" si="158">I156*1.3</f>
        <v>1430</v>
      </c>
      <c r="L156" s="16">
        <f t="shared" si="158"/>
        <v>2145</v>
      </c>
      <c r="M156" s="17">
        <f t="shared" si="4"/>
        <v>1320</v>
      </c>
      <c r="N156" s="17">
        <f t="shared" si="5"/>
        <v>1265</v>
      </c>
      <c r="O156" s="17">
        <f t="shared" si="6"/>
        <v>1210</v>
      </c>
    </row>
    <row r="157" hidden="1">
      <c r="A157" s="9" t="s">
        <v>19</v>
      </c>
      <c r="B157" s="9" t="s">
        <v>20</v>
      </c>
      <c r="C157" s="38" t="s">
        <v>41</v>
      </c>
      <c r="D157" s="33"/>
      <c r="E157" s="13"/>
      <c r="F157" s="9" t="s">
        <v>67</v>
      </c>
      <c r="G157" s="38" t="s">
        <v>43</v>
      </c>
      <c r="H157" s="13"/>
      <c r="I157" s="24">
        <v>2600.0</v>
      </c>
      <c r="J157" s="16">
        <f t="shared" si="2"/>
        <v>3900</v>
      </c>
      <c r="K157" s="16">
        <f t="shared" ref="K157:L157" si="159">I157*1.3</f>
        <v>3380</v>
      </c>
      <c r="L157" s="16">
        <f t="shared" si="159"/>
        <v>5070</v>
      </c>
      <c r="M157" s="17">
        <f t="shared" si="4"/>
        <v>3120</v>
      </c>
      <c r="N157" s="17">
        <f t="shared" si="5"/>
        <v>2990</v>
      </c>
      <c r="O157" s="17">
        <f t="shared" si="6"/>
        <v>2860</v>
      </c>
    </row>
    <row r="158" hidden="1">
      <c r="A158" s="9" t="s">
        <v>19</v>
      </c>
      <c r="B158" s="9" t="s">
        <v>20</v>
      </c>
      <c r="C158" s="38" t="s">
        <v>41</v>
      </c>
      <c r="D158" s="34"/>
      <c r="E158" s="13"/>
      <c r="F158" s="9" t="s">
        <v>77</v>
      </c>
      <c r="G158" s="38" t="s">
        <v>43</v>
      </c>
      <c r="H158" s="13"/>
      <c r="I158" s="24">
        <v>4000.0</v>
      </c>
      <c r="J158" s="16">
        <f t="shared" si="2"/>
        <v>6000</v>
      </c>
      <c r="K158" s="16">
        <f t="shared" ref="K158:L158" si="160">I158*1.3</f>
        <v>5200</v>
      </c>
      <c r="L158" s="16">
        <f t="shared" si="160"/>
        <v>7800</v>
      </c>
      <c r="M158" s="17">
        <f t="shared" si="4"/>
        <v>4800</v>
      </c>
      <c r="N158" s="17">
        <f t="shared" si="5"/>
        <v>4600</v>
      </c>
      <c r="O158" s="17">
        <f t="shared" si="6"/>
        <v>4400</v>
      </c>
    </row>
    <row r="159" hidden="1">
      <c r="A159" s="9" t="s">
        <v>19</v>
      </c>
      <c r="B159" s="9" t="s">
        <v>20</v>
      </c>
      <c r="C159" s="38" t="s">
        <v>21</v>
      </c>
      <c r="D159" s="11" t="s">
        <v>78</v>
      </c>
      <c r="E159" s="11" t="s">
        <v>79</v>
      </c>
      <c r="F159" s="32" t="s">
        <v>80</v>
      </c>
      <c r="G159" s="13"/>
      <c r="H159" s="23" t="s">
        <v>25</v>
      </c>
      <c r="I159" s="24">
        <v>28050.0</v>
      </c>
      <c r="J159" s="16">
        <f t="shared" si="2"/>
        <v>42075</v>
      </c>
      <c r="K159" s="16">
        <f t="shared" ref="K159:L159" si="161">I159*1.3</f>
        <v>36465</v>
      </c>
      <c r="L159" s="16">
        <f t="shared" si="161"/>
        <v>54697.5</v>
      </c>
      <c r="M159" s="17">
        <f t="shared" si="4"/>
        <v>33660</v>
      </c>
      <c r="N159" s="17">
        <f t="shared" si="5"/>
        <v>32257.5</v>
      </c>
      <c r="O159" s="17">
        <f t="shared" si="6"/>
        <v>30855</v>
      </c>
    </row>
    <row r="160" hidden="1">
      <c r="A160" s="9" t="s">
        <v>19</v>
      </c>
      <c r="B160" s="9" t="s">
        <v>20</v>
      </c>
      <c r="C160" s="38" t="s">
        <v>21</v>
      </c>
      <c r="D160" s="33"/>
      <c r="E160" s="33"/>
      <c r="F160" s="33"/>
      <c r="G160" s="13"/>
      <c r="H160" s="27" t="s">
        <v>27</v>
      </c>
      <c r="I160" s="24">
        <v>28950.0</v>
      </c>
      <c r="J160" s="16">
        <f t="shared" si="2"/>
        <v>43425</v>
      </c>
      <c r="K160" s="16">
        <f t="shared" ref="K160:L160" si="162">I160*1.3</f>
        <v>37635</v>
      </c>
      <c r="L160" s="16">
        <f t="shared" si="162"/>
        <v>56452.5</v>
      </c>
      <c r="M160" s="17">
        <f t="shared" si="4"/>
        <v>34740</v>
      </c>
      <c r="N160" s="17">
        <f t="shared" si="5"/>
        <v>33292.5</v>
      </c>
      <c r="O160" s="17">
        <f t="shared" si="6"/>
        <v>31845</v>
      </c>
    </row>
    <row r="161" hidden="1">
      <c r="A161" s="9" t="s">
        <v>19</v>
      </c>
      <c r="B161" s="9" t="s">
        <v>20</v>
      </c>
      <c r="C161" s="38" t="s">
        <v>21</v>
      </c>
      <c r="D161" s="33"/>
      <c r="E161" s="33"/>
      <c r="F161" s="33"/>
      <c r="G161" s="13"/>
      <c r="H161" s="27" t="s">
        <v>28</v>
      </c>
      <c r="I161" s="24">
        <v>30400.0</v>
      </c>
      <c r="J161" s="16">
        <f t="shared" si="2"/>
        <v>45600</v>
      </c>
      <c r="K161" s="16">
        <f t="shared" ref="K161:L161" si="163">I161*1.3</f>
        <v>39520</v>
      </c>
      <c r="L161" s="16">
        <f t="shared" si="163"/>
        <v>59280</v>
      </c>
      <c r="M161" s="17">
        <f t="shared" si="4"/>
        <v>36480</v>
      </c>
      <c r="N161" s="17">
        <f t="shared" si="5"/>
        <v>34960</v>
      </c>
      <c r="O161" s="17">
        <f t="shared" si="6"/>
        <v>33440</v>
      </c>
    </row>
    <row r="162" hidden="1">
      <c r="A162" s="9" t="s">
        <v>19</v>
      </c>
      <c r="B162" s="9" t="s">
        <v>20</v>
      </c>
      <c r="C162" s="38" t="s">
        <v>21</v>
      </c>
      <c r="D162" s="33"/>
      <c r="E162" s="33"/>
      <c r="F162" s="33"/>
      <c r="G162" s="13"/>
      <c r="H162" s="27" t="s">
        <v>29</v>
      </c>
      <c r="I162" s="24">
        <v>31200.0</v>
      </c>
      <c r="J162" s="16">
        <f t="shared" si="2"/>
        <v>46800</v>
      </c>
      <c r="K162" s="16">
        <f t="shared" ref="K162:L162" si="164">I162*1.3</f>
        <v>40560</v>
      </c>
      <c r="L162" s="16">
        <f t="shared" si="164"/>
        <v>60840</v>
      </c>
      <c r="M162" s="17">
        <f t="shared" si="4"/>
        <v>37440</v>
      </c>
      <c r="N162" s="17">
        <f t="shared" si="5"/>
        <v>35880</v>
      </c>
      <c r="O162" s="17">
        <f t="shared" si="6"/>
        <v>34320</v>
      </c>
    </row>
    <row r="163" hidden="1">
      <c r="A163" s="9" t="s">
        <v>19</v>
      </c>
      <c r="B163" s="9" t="s">
        <v>20</v>
      </c>
      <c r="C163" s="38" t="s">
        <v>21</v>
      </c>
      <c r="D163" s="33"/>
      <c r="E163" s="33"/>
      <c r="F163" s="33"/>
      <c r="G163" s="13"/>
      <c r="H163" s="27" t="s">
        <v>50</v>
      </c>
      <c r="I163" s="24">
        <v>28950.0</v>
      </c>
      <c r="J163" s="16">
        <f t="shared" si="2"/>
        <v>43425</v>
      </c>
      <c r="K163" s="16">
        <f t="shared" ref="K163:L163" si="165">I163*1.3</f>
        <v>37635</v>
      </c>
      <c r="L163" s="16">
        <f t="shared" si="165"/>
        <v>56452.5</v>
      </c>
      <c r="M163" s="17">
        <f t="shared" si="4"/>
        <v>34740</v>
      </c>
      <c r="N163" s="17">
        <f t="shared" si="5"/>
        <v>33292.5</v>
      </c>
      <c r="O163" s="17">
        <f t="shared" si="6"/>
        <v>31845</v>
      </c>
    </row>
    <row r="164" hidden="1">
      <c r="A164" s="9" t="s">
        <v>19</v>
      </c>
      <c r="B164" s="9" t="s">
        <v>20</v>
      </c>
      <c r="C164" s="38" t="s">
        <v>21</v>
      </c>
      <c r="D164" s="33"/>
      <c r="E164" s="33"/>
      <c r="F164" s="33"/>
      <c r="G164" s="13"/>
      <c r="H164" s="27" t="s">
        <v>51</v>
      </c>
      <c r="I164" s="24">
        <v>30200.0</v>
      </c>
      <c r="J164" s="16">
        <f t="shared" si="2"/>
        <v>45300</v>
      </c>
      <c r="K164" s="16">
        <f t="shared" ref="K164:L164" si="166">I164*1.3</f>
        <v>39260</v>
      </c>
      <c r="L164" s="16">
        <f t="shared" si="166"/>
        <v>58890</v>
      </c>
      <c r="M164" s="17">
        <f t="shared" si="4"/>
        <v>36240</v>
      </c>
      <c r="N164" s="17">
        <f t="shared" si="5"/>
        <v>34730</v>
      </c>
      <c r="O164" s="17">
        <f t="shared" si="6"/>
        <v>33220</v>
      </c>
    </row>
    <row r="165" hidden="1">
      <c r="A165" s="9" t="s">
        <v>19</v>
      </c>
      <c r="B165" s="9" t="s">
        <v>20</v>
      </c>
      <c r="C165" s="38" t="s">
        <v>21</v>
      </c>
      <c r="D165" s="33"/>
      <c r="E165" s="33"/>
      <c r="F165" s="33"/>
      <c r="G165" s="13"/>
      <c r="H165" s="27" t="s">
        <v>30</v>
      </c>
      <c r="I165" s="24">
        <v>28950.0</v>
      </c>
      <c r="J165" s="16">
        <f t="shared" si="2"/>
        <v>43425</v>
      </c>
      <c r="K165" s="16">
        <f t="shared" ref="K165:L165" si="167">I165*1.3</f>
        <v>37635</v>
      </c>
      <c r="L165" s="16">
        <f t="shared" si="167"/>
        <v>56452.5</v>
      </c>
      <c r="M165" s="17">
        <f t="shared" si="4"/>
        <v>34740</v>
      </c>
      <c r="N165" s="17">
        <f t="shared" si="5"/>
        <v>33292.5</v>
      </c>
      <c r="O165" s="17">
        <f t="shared" si="6"/>
        <v>31845</v>
      </c>
    </row>
    <row r="166" hidden="1">
      <c r="A166" s="9" t="s">
        <v>19</v>
      </c>
      <c r="B166" s="9" t="s">
        <v>20</v>
      </c>
      <c r="C166" s="38" t="s">
        <v>21</v>
      </c>
      <c r="D166" s="33"/>
      <c r="E166" s="33"/>
      <c r="F166" s="33"/>
      <c r="G166" s="13"/>
      <c r="H166" s="27" t="s">
        <v>31</v>
      </c>
      <c r="I166" s="24">
        <v>29850.0</v>
      </c>
      <c r="J166" s="16">
        <f t="shared" si="2"/>
        <v>44775</v>
      </c>
      <c r="K166" s="16">
        <f t="shared" ref="K166:L166" si="168">I166*1.3</f>
        <v>38805</v>
      </c>
      <c r="L166" s="16">
        <f t="shared" si="168"/>
        <v>58207.5</v>
      </c>
      <c r="M166" s="17">
        <f t="shared" si="4"/>
        <v>35820</v>
      </c>
      <c r="N166" s="17">
        <f t="shared" si="5"/>
        <v>34327.5</v>
      </c>
      <c r="O166" s="17">
        <f t="shared" si="6"/>
        <v>32835</v>
      </c>
    </row>
    <row r="167" hidden="1">
      <c r="A167" s="9" t="s">
        <v>19</v>
      </c>
      <c r="B167" s="9" t="s">
        <v>20</v>
      </c>
      <c r="C167" s="38" t="s">
        <v>21</v>
      </c>
      <c r="D167" s="33"/>
      <c r="E167" s="33"/>
      <c r="F167" s="33"/>
      <c r="G167" s="13"/>
      <c r="H167" s="27" t="s">
        <v>32</v>
      </c>
      <c r="I167" s="24">
        <v>31300.0</v>
      </c>
      <c r="J167" s="16">
        <f t="shared" si="2"/>
        <v>46950</v>
      </c>
      <c r="K167" s="16">
        <f t="shared" ref="K167:L167" si="169">I167*1.3</f>
        <v>40690</v>
      </c>
      <c r="L167" s="16">
        <f t="shared" si="169"/>
        <v>61035</v>
      </c>
      <c r="M167" s="17">
        <f t="shared" si="4"/>
        <v>37560</v>
      </c>
      <c r="N167" s="17">
        <f t="shared" si="5"/>
        <v>35995</v>
      </c>
      <c r="O167" s="17">
        <f t="shared" si="6"/>
        <v>34430</v>
      </c>
    </row>
    <row r="168" hidden="1">
      <c r="A168" s="9" t="s">
        <v>19</v>
      </c>
      <c r="B168" s="9" t="s">
        <v>20</v>
      </c>
      <c r="C168" s="38" t="s">
        <v>21</v>
      </c>
      <c r="D168" s="33"/>
      <c r="E168" s="33"/>
      <c r="F168" s="33"/>
      <c r="G168" s="13"/>
      <c r="H168" s="27" t="s">
        <v>33</v>
      </c>
      <c r="I168" s="24">
        <v>32100.0</v>
      </c>
      <c r="J168" s="16">
        <f t="shared" si="2"/>
        <v>48150</v>
      </c>
      <c r="K168" s="16">
        <f t="shared" ref="K168:L168" si="170">I168*1.3</f>
        <v>41730</v>
      </c>
      <c r="L168" s="16">
        <f t="shared" si="170"/>
        <v>62595</v>
      </c>
      <c r="M168" s="17">
        <f t="shared" si="4"/>
        <v>38520</v>
      </c>
      <c r="N168" s="17">
        <f t="shared" si="5"/>
        <v>36915</v>
      </c>
      <c r="O168" s="17">
        <f t="shared" si="6"/>
        <v>35310</v>
      </c>
    </row>
    <row r="169" hidden="1">
      <c r="A169" s="9" t="s">
        <v>19</v>
      </c>
      <c r="B169" s="9" t="s">
        <v>20</v>
      </c>
      <c r="C169" s="38" t="s">
        <v>21</v>
      </c>
      <c r="D169" s="33"/>
      <c r="E169" s="33"/>
      <c r="F169" s="33"/>
      <c r="G169" s="13"/>
      <c r="H169" s="27" t="s">
        <v>52</v>
      </c>
      <c r="I169" s="24">
        <v>29850.0</v>
      </c>
      <c r="J169" s="16">
        <f t="shared" si="2"/>
        <v>44775</v>
      </c>
      <c r="K169" s="16">
        <f t="shared" ref="K169:L169" si="171">I169*1.3</f>
        <v>38805</v>
      </c>
      <c r="L169" s="16">
        <f t="shared" si="171"/>
        <v>58207.5</v>
      </c>
      <c r="M169" s="17">
        <f t="shared" si="4"/>
        <v>35820</v>
      </c>
      <c r="N169" s="17">
        <f t="shared" si="5"/>
        <v>34327.5</v>
      </c>
      <c r="O169" s="17">
        <f t="shared" si="6"/>
        <v>32835</v>
      </c>
    </row>
    <row r="170" hidden="1">
      <c r="A170" s="9" t="s">
        <v>19</v>
      </c>
      <c r="B170" s="9" t="s">
        <v>20</v>
      </c>
      <c r="C170" s="38" t="s">
        <v>21</v>
      </c>
      <c r="D170" s="33"/>
      <c r="E170" s="33"/>
      <c r="F170" s="33"/>
      <c r="G170" s="13"/>
      <c r="H170" s="27" t="s">
        <v>53</v>
      </c>
      <c r="I170" s="24">
        <v>31100.0</v>
      </c>
      <c r="J170" s="16">
        <f t="shared" si="2"/>
        <v>46650</v>
      </c>
      <c r="K170" s="16">
        <f t="shared" ref="K170:L170" si="172">I170*1.3</f>
        <v>40430</v>
      </c>
      <c r="L170" s="16">
        <f t="shared" si="172"/>
        <v>60645</v>
      </c>
      <c r="M170" s="17">
        <f t="shared" si="4"/>
        <v>37320</v>
      </c>
      <c r="N170" s="17">
        <f t="shared" si="5"/>
        <v>35765</v>
      </c>
      <c r="O170" s="17">
        <f t="shared" si="6"/>
        <v>34210</v>
      </c>
    </row>
    <row r="171" hidden="1">
      <c r="A171" s="9" t="s">
        <v>19</v>
      </c>
      <c r="B171" s="9" t="s">
        <v>20</v>
      </c>
      <c r="C171" s="38" t="s">
        <v>21</v>
      </c>
      <c r="D171" s="33"/>
      <c r="E171" s="33"/>
      <c r="F171" s="33"/>
      <c r="G171" s="13"/>
      <c r="H171" s="27" t="s">
        <v>35</v>
      </c>
      <c r="I171" s="24">
        <v>30400.0</v>
      </c>
      <c r="J171" s="16">
        <f t="shared" si="2"/>
        <v>45600</v>
      </c>
      <c r="K171" s="16">
        <f t="shared" ref="K171:L171" si="173">I171*1.3</f>
        <v>39520</v>
      </c>
      <c r="L171" s="16">
        <f t="shared" si="173"/>
        <v>59280</v>
      </c>
      <c r="M171" s="17">
        <f t="shared" si="4"/>
        <v>36480</v>
      </c>
      <c r="N171" s="17">
        <f t="shared" si="5"/>
        <v>34960</v>
      </c>
      <c r="O171" s="17">
        <f t="shared" si="6"/>
        <v>33440</v>
      </c>
    </row>
    <row r="172" hidden="1">
      <c r="A172" s="9" t="s">
        <v>19</v>
      </c>
      <c r="B172" s="9" t="s">
        <v>20</v>
      </c>
      <c r="C172" s="38" t="s">
        <v>21</v>
      </c>
      <c r="D172" s="33"/>
      <c r="E172" s="33"/>
      <c r="F172" s="33"/>
      <c r="G172" s="13"/>
      <c r="H172" s="27" t="s">
        <v>36</v>
      </c>
      <c r="I172" s="24">
        <v>31300.0</v>
      </c>
      <c r="J172" s="16">
        <f t="shared" si="2"/>
        <v>46950</v>
      </c>
      <c r="K172" s="16">
        <f t="shared" ref="K172:L172" si="174">I172*1.3</f>
        <v>40690</v>
      </c>
      <c r="L172" s="16">
        <f t="shared" si="174"/>
        <v>61035</v>
      </c>
      <c r="M172" s="17">
        <f t="shared" si="4"/>
        <v>37560</v>
      </c>
      <c r="N172" s="17">
        <f t="shared" si="5"/>
        <v>35995</v>
      </c>
      <c r="O172" s="17">
        <f t="shared" si="6"/>
        <v>34430</v>
      </c>
    </row>
    <row r="173" hidden="1">
      <c r="A173" s="9" t="s">
        <v>19</v>
      </c>
      <c r="B173" s="9" t="s">
        <v>20</v>
      </c>
      <c r="C173" s="38" t="s">
        <v>21</v>
      </c>
      <c r="D173" s="33"/>
      <c r="E173" s="33"/>
      <c r="F173" s="33"/>
      <c r="G173" s="13"/>
      <c r="H173" s="27" t="s">
        <v>37</v>
      </c>
      <c r="I173" s="24">
        <v>32750.0</v>
      </c>
      <c r="J173" s="16">
        <f t="shared" si="2"/>
        <v>49125</v>
      </c>
      <c r="K173" s="16">
        <f t="shared" ref="K173:L173" si="175">I173*1.3</f>
        <v>42575</v>
      </c>
      <c r="L173" s="16">
        <f t="shared" si="175"/>
        <v>63862.5</v>
      </c>
      <c r="M173" s="17">
        <f t="shared" si="4"/>
        <v>39300</v>
      </c>
      <c r="N173" s="17">
        <f t="shared" si="5"/>
        <v>37662.5</v>
      </c>
      <c r="O173" s="17">
        <f t="shared" si="6"/>
        <v>36025</v>
      </c>
    </row>
    <row r="174" hidden="1">
      <c r="A174" s="9" t="s">
        <v>19</v>
      </c>
      <c r="B174" s="9" t="s">
        <v>20</v>
      </c>
      <c r="C174" s="38" t="s">
        <v>21</v>
      </c>
      <c r="D174" s="33"/>
      <c r="E174" s="33"/>
      <c r="F174" s="33"/>
      <c r="G174" s="13"/>
      <c r="H174" s="27" t="s">
        <v>38</v>
      </c>
      <c r="I174" s="24">
        <v>33550.0</v>
      </c>
      <c r="J174" s="16">
        <f t="shared" si="2"/>
        <v>50325</v>
      </c>
      <c r="K174" s="16">
        <f t="shared" ref="K174:L174" si="176">I174*1.3</f>
        <v>43615</v>
      </c>
      <c r="L174" s="16">
        <f t="shared" si="176"/>
        <v>65422.5</v>
      </c>
      <c r="M174" s="17">
        <f t="shared" si="4"/>
        <v>40260</v>
      </c>
      <c r="N174" s="17">
        <f t="shared" si="5"/>
        <v>38582.5</v>
      </c>
      <c r="O174" s="17">
        <f t="shared" si="6"/>
        <v>36905</v>
      </c>
    </row>
    <row r="175" hidden="1">
      <c r="A175" s="9" t="s">
        <v>19</v>
      </c>
      <c r="B175" s="9" t="s">
        <v>20</v>
      </c>
      <c r="C175" s="38" t="s">
        <v>21</v>
      </c>
      <c r="D175" s="33"/>
      <c r="E175" s="33"/>
      <c r="F175" s="33"/>
      <c r="G175" s="13"/>
      <c r="H175" s="27" t="s">
        <v>54</v>
      </c>
      <c r="I175" s="24">
        <v>31300.0</v>
      </c>
      <c r="J175" s="16">
        <f t="shared" si="2"/>
        <v>46950</v>
      </c>
      <c r="K175" s="16">
        <f t="shared" ref="K175:L175" si="177">I175*1.3</f>
        <v>40690</v>
      </c>
      <c r="L175" s="16">
        <f t="shared" si="177"/>
        <v>61035</v>
      </c>
      <c r="M175" s="17">
        <f t="shared" si="4"/>
        <v>37560</v>
      </c>
      <c r="N175" s="17">
        <f t="shared" si="5"/>
        <v>35995</v>
      </c>
      <c r="O175" s="17">
        <f t="shared" si="6"/>
        <v>34430</v>
      </c>
    </row>
    <row r="176" hidden="1">
      <c r="A176" s="9" t="s">
        <v>19</v>
      </c>
      <c r="B176" s="9" t="s">
        <v>20</v>
      </c>
      <c r="C176" s="38" t="s">
        <v>21</v>
      </c>
      <c r="D176" s="33"/>
      <c r="E176" s="34"/>
      <c r="F176" s="34"/>
      <c r="G176" s="13"/>
      <c r="H176" s="27" t="s">
        <v>55</v>
      </c>
      <c r="I176" s="24">
        <v>32550.0</v>
      </c>
      <c r="J176" s="16">
        <f t="shared" si="2"/>
        <v>48825</v>
      </c>
      <c r="K176" s="16">
        <f t="shared" ref="K176:L176" si="178">I176*1.3</f>
        <v>42315</v>
      </c>
      <c r="L176" s="16">
        <f t="shared" si="178"/>
        <v>63472.5</v>
      </c>
      <c r="M176" s="17">
        <f t="shared" si="4"/>
        <v>39060</v>
      </c>
      <c r="N176" s="17">
        <f t="shared" si="5"/>
        <v>37432.5</v>
      </c>
      <c r="O176" s="17">
        <f t="shared" si="6"/>
        <v>35805</v>
      </c>
    </row>
    <row r="177" hidden="1">
      <c r="A177" s="9" t="s">
        <v>19</v>
      </c>
      <c r="B177" s="9" t="s">
        <v>20</v>
      </c>
      <c r="C177" s="38" t="s">
        <v>21</v>
      </c>
      <c r="D177" s="33"/>
      <c r="E177" s="11" t="s">
        <v>81</v>
      </c>
      <c r="F177" s="32" t="s">
        <v>82</v>
      </c>
      <c r="G177" s="13"/>
      <c r="H177" s="23" t="s">
        <v>25</v>
      </c>
      <c r="I177" s="24">
        <v>33450.0</v>
      </c>
      <c r="J177" s="16">
        <f t="shared" si="2"/>
        <v>50175</v>
      </c>
      <c r="K177" s="16">
        <f t="shared" ref="K177:L177" si="179">I177*1.3</f>
        <v>43485</v>
      </c>
      <c r="L177" s="16">
        <f t="shared" si="179"/>
        <v>65227.5</v>
      </c>
      <c r="M177" s="17">
        <f t="shared" si="4"/>
        <v>40140</v>
      </c>
      <c r="N177" s="17">
        <f t="shared" si="5"/>
        <v>38467.5</v>
      </c>
      <c r="O177" s="17">
        <f t="shared" si="6"/>
        <v>36795</v>
      </c>
    </row>
    <row r="178" hidden="1">
      <c r="A178" s="9" t="s">
        <v>19</v>
      </c>
      <c r="B178" s="9" t="s">
        <v>20</v>
      </c>
      <c r="C178" s="38" t="s">
        <v>21</v>
      </c>
      <c r="D178" s="33"/>
      <c r="E178" s="33"/>
      <c r="F178" s="33"/>
      <c r="G178" s="13"/>
      <c r="H178" s="27" t="s">
        <v>27</v>
      </c>
      <c r="I178" s="24">
        <v>34350.0</v>
      </c>
      <c r="J178" s="16">
        <f t="shared" si="2"/>
        <v>51525</v>
      </c>
      <c r="K178" s="16">
        <f t="shared" ref="K178:L178" si="180">I178*1.3</f>
        <v>44655</v>
      </c>
      <c r="L178" s="16">
        <f t="shared" si="180"/>
        <v>66982.5</v>
      </c>
      <c r="M178" s="17">
        <f t="shared" si="4"/>
        <v>41220</v>
      </c>
      <c r="N178" s="17">
        <f t="shared" si="5"/>
        <v>39502.5</v>
      </c>
      <c r="O178" s="17">
        <f t="shared" si="6"/>
        <v>37785</v>
      </c>
    </row>
    <row r="179" hidden="1">
      <c r="A179" s="9" t="s">
        <v>19</v>
      </c>
      <c r="B179" s="9" t="s">
        <v>20</v>
      </c>
      <c r="C179" s="38" t="s">
        <v>21</v>
      </c>
      <c r="D179" s="33"/>
      <c r="E179" s="33"/>
      <c r="F179" s="33"/>
      <c r="G179" s="13"/>
      <c r="H179" s="27" t="s">
        <v>28</v>
      </c>
      <c r="I179" s="24">
        <v>35800.0</v>
      </c>
      <c r="J179" s="16">
        <f t="shared" si="2"/>
        <v>53700</v>
      </c>
      <c r="K179" s="16">
        <f t="shared" ref="K179:L179" si="181">I179*1.3</f>
        <v>46540</v>
      </c>
      <c r="L179" s="16">
        <f t="shared" si="181"/>
        <v>69810</v>
      </c>
      <c r="M179" s="17">
        <f t="shared" si="4"/>
        <v>42960</v>
      </c>
      <c r="N179" s="17">
        <f t="shared" si="5"/>
        <v>41170</v>
      </c>
      <c r="O179" s="17">
        <f t="shared" si="6"/>
        <v>39380</v>
      </c>
    </row>
    <row r="180" hidden="1">
      <c r="A180" s="9" t="s">
        <v>19</v>
      </c>
      <c r="B180" s="9" t="s">
        <v>20</v>
      </c>
      <c r="C180" s="38" t="s">
        <v>21</v>
      </c>
      <c r="D180" s="33"/>
      <c r="E180" s="33"/>
      <c r="F180" s="33"/>
      <c r="G180" s="13"/>
      <c r="H180" s="27" t="s">
        <v>29</v>
      </c>
      <c r="I180" s="24">
        <v>36600.0</v>
      </c>
      <c r="J180" s="16">
        <f t="shared" si="2"/>
        <v>54900</v>
      </c>
      <c r="K180" s="16">
        <f t="shared" ref="K180:L180" si="182">I180*1.3</f>
        <v>47580</v>
      </c>
      <c r="L180" s="16">
        <f t="shared" si="182"/>
        <v>71370</v>
      </c>
      <c r="M180" s="17">
        <f t="shared" si="4"/>
        <v>43920</v>
      </c>
      <c r="N180" s="17">
        <f t="shared" si="5"/>
        <v>42090</v>
      </c>
      <c r="O180" s="17">
        <f t="shared" si="6"/>
        <v>40260</v>
      </c>
    </row>
    <row r="181" hidden="1">
      <c r="A181" s="9" t="s">
        <v>19</v>
      </c>
      <c r="B181" s="9" t="s">
        <v>20</v>
      </c>
      <c r="C181" s="38" t="s">
        <v>21</v>
      </c>
      <c r="D181" s="33"/>
      <c r="E181" s="33"/>
      <c r="F181" s="33"/>
      <c r="G181" s="13"/>
      <c r="H181" s="27" t="s">
        <v>50</v>
      </c>
      <c r="I181" s="24">
        <v>34350.0</v>
      </c>
      <c r="J181" s="16">
        <f t="shared" si="2"/>
        <v>51525</v>
      </c>
      <c r="K181" s="16">
        <f t="shared" ref="K181:L181" si="183">I181*1.3</f>
        <v>44655</v>
      </c>
      <c r="L181" s="16">
        <f t="shared" si="183"/>
        <v>66982.5</v>
      </c>
      <c r="M181" s="17">
        <f t="shared" si="4"/>
        <v>41220</v>
      </c>
      <c r="N181" s="17">
        <f t="shared" si="5"/>
        <v>39502.5</v>
      </c>
      <c r="O181" s="17">
        <f t="shared" si="6"/>
        <v>37785</v>
      </c>
    </row>
    <row r="182" hidden="1">
      <c r="A182" s="9" t="s">
        <v>19</v>
      </c>
      <c r="B182" s="9" t="s">
        <v>20</v>
      </c>
      <c r="C182" s="38" t="s">
        <v>21</v>
      </c>
      <c r="D182" s="33"/>
      <c r="E182" s="33"/>
      <c r="F182" s="33"/>
      <c r="G182" s="13"/>
      <c r="H182" s="27" t="s">
        <v>51</v>
      </c>
      <c r="I182" s="24">
        <v>35600.0</v>
      </c>
      <c r="J182" s="16">
        <f t="shared" si="2"/>
        <v>53400</v>
      </c>
      <c r="K182" s="16">
        <f t="shared" ref="K182:L182" si="184">I182*1.3</f>
        <v>46280</v>
      </c>
      <c r="L182" s="16">
        <f t="shared" si="184"/>
        <v>69420</v>
      </c>
      <c r="M182" s="17">
        <f t="shared" si="4"/>
        <v>42720</v>
      </c>
      <c r="N182" s="17">
        <f t="shared" si="5"/>
        <v>40940</v>
      </c>
      <c r="O182" s="17">
        <f t="shared" si="6"/>
        <v>39160</v>
      </c>
    </row>
    <row r="183" hidden="1">
      <c r="A183" s="9" t="s">
        <v>19</v>
      </c>
      <c r="B183" s="9" t="s">
        <v>20</v>
      </c>
      <c r="C183" s="38" t="s">
        <v>21</v>
      </c>
      <c r="D183" s="33"/>
      <c r="E183" s="33"/>
      <c r="F183" s="33"/>
      <c r="G183" s="13"/>
      <c r="H183" s="27" t="s">
        <v>30</v>
      </c>
      <c r="I183" s="24">
        <v>34350.0</v>
      </c>
      <c r="J183" s="16">
        <f t="shared" si="2"/>
        <v>51525</v>
      </c>
      <c r="K183" s="16">
        <f t="shared" ref="K183:L183" si="185">I183*1.3</f>
        <v>44655</v>
      </c>
      <c r="L183" s="16">
        <f t="shared" si="185"/>
        <v>66982.5</v>
      </c>
      <c r="M183" s="17">
        <f t="shared" si="4"/>
        <v>41220</v>
      </c>
      <c r="N183" s="17">
        <f t="shared" si="5"/>
        <v>39502.5</v>
      </c>
      <c r="O183" s="17">
        <f t="shared" si="6"/>
        <v>37785</v>
      </c>
    </row>
    <row r="184" hidden="1">
      <c r="A184" s="9" t="s">
        <v>19</v>
      </c>
      <c r="B184" s="9" t="s">
        <v>20</v>
      </c>
      <c r="C184" s="38" t="s">
        <v>21</v>
      </c>
      <c r="D184" s="33"/>
      <c r="E184" s="33"/>
      <c r="F184" s="33"/>
      <c r="G184" s="13"/>
      <c r="H184" s="27" t="s">
        <v>31</v>
      </c>
      <c r="I184" s="24">
        <v>35250.0</v>
      </c>
      <c r="J184" s="16">
        <f t="shared" si="2"/>
        <v>52875</v>
      </c>
      <c r="K184" s="16">
        <f t="shared" ref="K184:L184" si="186">I184*1.3</f>
        <v>45825</v>
      </c>
      <c r="L184" s="16">
        <f t="shared" si="186"/>
        <v>68737.5</v>
      </c>
      <c r="M184" s="17">
        <f t="shared" si="4"/>
        <v>42300</v>
      </c>
      <c r="N184" s="17">
        <f t="shared" si="5"/>
        <v>40537.5</v>
      </c>
      <c r="O184" s="17">
        <f t="shared" si="6"/>
        <v>38775</v>
      </c>
    </row>
    <row r="185" hidden="1">
      <c r="A185" s="9" t="s">
        <v>19</v>
      </c>
      <c r="B185" s="9" t="s">
        <v>20</v>
      </c>
      <c r="C185" s="38" t="s">
        <v>21</v>
      </c>
      <c r="D185" s="33"/>
      <c r="E185" s="33"/>
      <c r="F185" s="33"/>
      <c r="G185" s="13"/>
      <c r="H185" s="27" t="s">
        <v>32</v>
      </c>
      <c r="I185" s="24">
        <v>36700.0</v>
      </c>
      <c r="J185" s="16">
        <f t="shared" si="2"/>
        <v>55050</v>
      </c>
      <c r="K185" s="16">
        <f t="shared" ref="K185:L185" si="187">I185*1.3</f>
        <v>47710</v>
      </c>
      <c r="L185" s="16">
        <f t="shared" si="187"/>
        <v>71565</v>
      </c>
      <c r="M185" s="17">
        <f t="shared" si="4"/>
        <v>44040</v>
      </c>
      <c r="N185" s="17">
        <f t="shared" si="5"/>
        <v>42205</v>
      </c>
      <c r="O185" s="17">
        <f t="shared" si="6"/>
        <v>40370</v>
      </c>
    </row>
    <row r="186" hidden="1">
      <c r="A186" s="9" t="s">
        <v>19</v>
      </c>
      <c r="B186" s="9" t="s">
        <v>20</v>
      </c>
      <c r="C186" s="38" t="s">
        <v>21</v>
      </c>
      <c r="D186" s="33"/>
      <c r="E186" s="33"/>
      <c r="F186" s="33"/>
      <c r="G186" s="13"/>
      <c r="H186" s="27" t="s">
        <v>33</v>
      </c>
      <c r="I186" s="24">
        <v>37500.0</v>
      </c>
      <c r="J186" s="16">
        <f t="shared" si="2"/>
        <v>56250</v>
      </c>
      <c r="K186" s="16">
        <f t="shared" ref="K186:L186" si="188">I186*1.3</f>
        <v>48750</v>
      </c>
      <c r="L186" s="16">
        <f t="shared" si="188"/>
        <v>73125</v>
      </c>
      <c r="M186" s="17">
        <f t="shared" si="4"/>
        <v>45000</v>
      </c>
      <c r="N186" s="17">
        <f t="shared" si="5"/>
        <v>43125</v>
      </c>
      <c r="O186" s="17">
        <f t="shared" si="6"/>
        <v>41250</v>
      </c>
    </row>
    <row r="187" hidden="1">
      <c r="A187" s="9" t="s">
        <v>19</v>
      </c>
      <c r="B187" s="9" t="s">
        <v>20</v>
      </c>
      <c r="C187" s="38" t="s">
        <v>21</v>
      </c>
      <c r="D187" s="33"/>
      <c r="E187" s="33"/>
      <c r="F187" s="33"/>
      <c r="G187" s="13"/>
      <c r="H187" s="27" t="s">
        <v>52</v>
      </c>
      <c r="I187" s="24">
        <v>35250.0</v>
      </c>
      <c r="J187" s="16">
        <f t="shared" si="2"/>
        <v>52875</v>
      </c>
      <c r="K187" s="16">
        <f t="shared" ref="K187:L187" si="189">I187*1.3</f>
        <v>45825</v>
      </c>
      <c r="L187" s="16">
        <f t="shared" si="189"/>
        <v>68737.5</v>
      </c>
      <c r="M187" s="17">
        <f t="shared" si="4"/>
        <v>42300</v>
      </c>
      <c r="N187" s="17">
        <f t="shared" si="5"/>
        <v>40537.5</v>
      </c>
      <c r="O187" s="17">
        <f t="shared" si="6"/>
        <v>38775</v>
      </c>
    </row>
    <row r="188" hidden="1">
      <c r="A188" s="9" t="s">
        <v>19</v>
      </c>
      <c r="B188" s="9" t="s">
        <v>20</v>
      </c>
      <c r="C188" s="38" t="s">
        <v>21</v>
      </c>
      <c r="D188" s="33"/>
      <c r="E188" s="33"/>
      <c r="F188" s="33"/>
      <c r="G188" s="13"/>
      <c r="H188" s="27" t="s">
        <v>53</v>
      </c>
      <c r="I188" s="24">
        <v>36500.0</v>
      </c>
      <c r="J188" s="16">
        <f t="shared" si="2"/>
        <v>54750</v>
      </c>
      <c r="K188" s="16">
        <f t="shared" ref="K188:L188" si="190">I188*1.3</f>
        <v>47450</v>
      </c>
      <c r="L188" s="16">
        <f t="shared" si="190"/>
        <v>71175</v>
      </c>
      <c r="M188" s="17">
        <f t="shared" si="4"/>
        <v>43800</v>
      </c>
      <c r="N188" s="17">
        <f t="shared" si="5"/>
        <v>41975</v>
      </c>
      <c r="O188" s="17">
        <f t="shared" si="6"/>
        <v>40150</v>
      </c>
    </row>
    <row r="189" hidden="1">
      <c r="A189" s="9" t="s">
        <v>19</v>
      </c>
      <c r="B189" s="9" t="s">
        <v>20</v>
      </c>
      <c r="C189" s="38" t="s">
        <v>21</v>
      </c>
      <c r="D189" s="33"/>
      <c r="E189" s="33"/>
      <c r="F189" s="33"/>
      <c r="G189" s="13"/>
      <c r="H189" s="27" t="s">
        <v>35</v>
      </c>
      <c r="I189" s="24">
        <v>35800.0</v>
      </c>
      <c r="J189" s="16">
        <f t="shared" si="2"/>
        <v>53700</v>
      </c>
      <c r="K189" s="16">
        <f t="shared" ref="K189:L189" si="191">I189*1.3</f>
        <v>46540</v>
      </c>
      <c r="L189" s="16">
        <f t="shared" si="191"/>
        <v>69810</v>
      </c>
      <c r="M189" s="17">
        <f t="shared" si="4"/>
        <v>42960</v>
      </c>
      <c r="N189" s="17">
        <f t="shared" si="5"/>
        <v>41170</v>
      </c>
      <c r="O189" s="17">
        <f t="shared" si="6"/>
        <v>39380</v>
      </c>
    </row>
    <row r="190" hidden="1">
      <c r="A190" s="9" t="s">
        <v>19</v>
      </c>
      <c r="B190" s="9" t="s">
        <v>20</v>
      </c>
      <c r="C190" s="38" t="s">
        <v>21</v>
      </c>
      <c r="D190" s="33"/>
      <c r="E190" s="33"/>
      <c r="F190" s="33"/>
      <c r="G190" s="13"/>
      <c r="H190" s="27" t="s">
        <v>36</v>
      </c>
      <c r="I190" s="24">
        <v>36700.0</v>
      </c>
      <c r="J190" s="16">
        <f t="shared" si="2"/>
        <v>55050</v>
      </c>
      <c r="K190" s="16">
        <f t="shared" ref="K190:L190" si="192">I190*1.3</f>
        <v>47710</v>
      </c>
      <c r="L190" s="16">
        <f t="shared" si="192"/>
        <v>71565</v>
      </c>
      <c r="M190" s="17">
        <f t="shared" si="4"/>
        <v>44040</v>
      </c>
      <c r="N190" s="17">
        <f t="shared" si="5"/>
        <v>42205</v>
      </c>
      <c r="O190" s="17">
        <f t="shared" si="6"/>
        <v>40370</v>
      </c>
    </row>
    <row r="191" hidden="1">
      <c r="A191" s="9" t="s">
        <v>19</v>
      </c>
      <c r="B191" s="9" t="s">
        <v>20</v>
      </c>
      <c r="C191" s="38" t="s">
        <v>21</v>
      </c>
      <c r="D191" s="33"/>
      <c r="E191" s="33"/>
      <c r="F191" s="33"/>
      <c r="G191" s="13"/>
      <c r="H191" s="27" t="s">
        <v>37</v>
      </c>
      <c r="I191" s="24">
        <v>38150.0</v>
      </c>
      <c r="J191" s="16">
        <f t="shared" si="2"/>
        <v>57225</v>
      </c>
      <c r="K191" s="16">
        <f t="shared" ref="K191:L191" si="193">I191*1.3</f>
        <v>49595</v>
      </c>
      <c r="L191" s="16">
        <f t="shared" si="193"/>
        <v>74392.5</v>
      </c>
      <c r="M191" s="17">
        <f t="shared" si="4"/>
        <v>45780</v>
      </c>
      <c r="N191" s="17">
        <f t="shared" si="5"/>
        <v>43872.5</v>
      </c>
      <c r="O191" s="17">
        <f t="shared" si="6"/>
        <v>41965</v>
      </c>
    </row>
    <row r="192" hidden="1">
      <c r="A192" s="9" t="s">
        <v>19</v>
      </c>
      <c r="B192" s="9" t="s">
        <v>20</v>
      </c>
      <c r="C192" s="38" t="s">
        <v>21</v>
      </c>
      <c r="D192" s="33"/>
      <c r="E192" s="33"/>
      <c r="F192" s="33"/>
      <c r="G192" s="13"/>
      <c r="H192" s="27" t="s">
        <v>38</v>
      </c>
      <c r="I192" s="24">
        <v>38950.0</v>
      </c>
      <c r="J192" s="16">
        <f t="shared" si="2"/>
        <v>58425</v>
      </c>
      <c r="K192" s="16">
        <f t="shared" ref="K192:L192" si="194">I192*1.3</f>
        <v>50635</v>
      </c>
      <c r="L192" s="16">
        <f t="shared" si="194"/>
        <v>75952.5</v>
      </c>
      <c r="M192" s="17">
        <f t="shared" si="4"/>
        <v>46740</v>
      </c>
      <c r="N192" s="17">
        <f t="shared" si="5"/>
        <v>44792.5</v>
      </c>
      <c r="O192" s="17">
        <f t="shared" si="6"/>
        <v>42845</v>
      </c>
    </row>
    <row r="193" hidden="1">
      <c r="A193" s="9" t="s">
        <v>19</v>
      </c>
      <c r="B193" s="9" t="s">
        <v>20</v>
      </c>
      <c r="C193" s="38" t="s">
        <v>21</v>
      </c>
      <c r="D193" s="33"/>
      <c r="E193" s="33"/>
      <c r="F193" s="33"/>
      <c r="G193" s="13"/>
      <c r="H193" s="27" t="s">
        <v>54</v>
      </c>
      <c r="I193" s="24">
        <v>36700.0</v>
      </c>
      <c r="J193" s="16">
        <f t="shared" si="2"/>
        <v>55050</v>
      </c>
      <c r="K193" s="16">
        <f t="shared" ref="K193:L193" si="195">I193*1.3</f>
        <v>47710</v>
      </c>
      <c r="L193" s="16">
        <f t="shared" si="195"/>
        <v>71565</v>
      </c>
      <c r="M193" s="17">
        <f t="shared" si="4"/>
        <v>44040</v>
      </c>
      <c r="N193" s="17">
        <f t="shared" si="5"/>
        <v>42205</v>
      </c>
      <c r="O193" s="17">
        <f t="shared" si="6"/>
        <v>40370</v>
      </c>
    </row>
    <row r="194" hidden="1">
      <c r="A194" s="9" t="s">
        <v>19</v>
      </c>
      <c r="B194" s="9" t="s">
        <v>20</v>
      </c>
      <c r="C194" s="38" t="s">
        <v>21</v>
      </c>
      <c r="D194" s="33"/>
      <c r="E194" s="34"/>
      <c r="F194" s="34"/>
      <c r="G194" s="13"/>
      <c r="H194" s="27" t="s">
        <v>55</v>
      </c>
      <c r="I194" s="24">
        <v>37950.0</v>
      </c>
      <c r="J194" s="16">
        <f t="shared" si="2"/>
        <v>56925</v>
      </c>
      <c r="K194" s="16">
        <f t="shared" ref="K194:L194" si="196">I194*1.3</f>
        <v>49335</v>
      </c>
      <c r="L194" s="16">
        <f t="shared" si="196"/>
        <v>74002.5</v>
      </c>
      <c r="M194" s="17">
        <f t="shared" si="4"/>
        <v>45540</v>
      </c>
      <c r="N194" s="17">
        <f t="shared" si="5"/>
        <v>43642.5</v>
      </c>
      <c r="O194" s="17">
        <f t="shared" si="6"/>
        <v>41745</v>
      </c>
    </row>
    <row r="195" hidden="1">
      <c r="A195" s="9" t="s">
        <v>19</v>
      </c>
      <c r="B195" s="9" t="s">
        <v>20</v>
      </c>
      <c r="C195" s="38" t="s">
        <v>21</v>
      </c>
      <c r="D195" s="33"/>
      <c r="E195" s="30" t="s">
        <v>83</v>
      </c>
      <c r="F195" s="35" t="s">
        <v>84</v>
      </c>
      <c r="G195" s="13"/>
      <c r="H195" s="23" t="s">
        <v>25</v>
      </c>
      <c r="I195" s="24">
        <v>36150.0</v>
      </c>
      <c r="J195" s="16">
        <f t="shared" si="2"/>
        <v>54225</v>
      </c>
      <c r="K195" s="16">
        <f t="shared" ref="K195:L195" si="197">I195*1.3</f>
        <v>46995</v>
      </c>
      <c r="L195" s="16">
        <f t="shared" si="197"/>
        <v>70492.5</v>
      </c>
      <c r="M195" s="17">
        <f t="shared" si="4"/>
        <v>43380</v>
      </c>
      <c r="N195" s="17">
        <f t="shared" si="5"/>
        <v>41572.5</v>
      </c>
      <c r="O195" s="17">
        <f t="shared" si="6"/>
        <v>39765</v>
      </c>
    </row>
    <row r="196" hidden="1">
      <c r="A196" s="9" t="s">
        <v>19</v>
      </c>
      <c r="B196" s="9" t="s">
        <v>20</v>
      </c>
      <c r="C196" s="38" t="s">
        <v>21</v>
      </c>
      <c r="D196" s="33"/>
      <c r="E196" s="33"/>
      <c r="F196" s="33"/>
      <c r="G196" s="13"/>
      <c r="H196" s="27" t="s">
        <v>27</v>
      </c>
      <c r="I196" s="24">
        <v>37050.0</v>
      </c>
      <c r="J196" s="16">
        <f t="shared" si="2"/>
        <v>55575</v>
      </c>
      <c r="K196" s="16">
        <f t="shared" ref="K196:L196" si="198">I196*1.3</f>
        <v>48165</v>
      </c>
      <c r="L196" s="16">
        <f t="shared" si="198"/>
        <v>72247.5</v>
      </c>
      <c r="M196" s="17">
        <f t="shared" si="4"/>
        <v>44460</v>
      </c>
      <c r="N196" s="17">
        <f t="shared" si="5"/>
        <v>42607.5</v>
      </c>
      <c r="O196" s="17">
        <f t="shared" si="6"/>
        <v>40755</v>
      </c>
    </row>
    <row r="197" hidden="1">
      <c r="A197" s="9" t="s">
        <v>19</v>
      </c>
      <c r="B197" s="9" t="s">
        <v>20</v>
      </c>
      <c r="C197" s="38" t="s">
        <v>21</v>
      </c>
      <c r="D197" s="33"/>
      <c r="E197" s="33"/>
      <c r="F197" s="33"/>
      <c r="G197" s="13"/>
      <c r="H197" s="27" t="s">
        <v>28</v>
      </c>
      <c r="I197" s="24">
        <v>38500.0</v>
      </c>
      <c r="J197" s="16">
        <f t="shared" si="2"/>
        <v>57750</v>
      </c>
      <c r="K197" s="16">
        <f t="shared" ref="K197:L197" si="199">I197*1.3</f>
        <v>50050</v>
      </c>
      <c r="L197" s="16">
        <f t="shared" si="199"/>
        <v>75075</v>
      </c>
      <c r="M197" s="17">
        <f t="shared" si="4"/>
        <v>46200</v>
      </c>
      <c r="N197" s="17">
        <f t="shared" si="5"/>
        <v>44275</v>
      </c>
      <c r="O197" s="17">
        <f t="shared" si="6"/>
        <v>42350</v>
      </c>
    </row>
    <row r="198" hidden="1">
      <c r="A198" s="9" t="s">
        <v>19</v>
      </c>
      <c r="B198" s="9" t="s">
        <v>20</v>
      </c>
      <c r="C198" s="38" t="s">
        <v>21</v>
      </c>
      <c r="D198" s="33"/>
      <c r="E198" s="33"/>
      <c r="F198" s="33"/>
      <c r="G198" s="13"/>
      <c r="H198" s="27" t="s">
        <v>29</v>
      </c>
      <c r="I198" s="24">
        <v>39300.0</v>
      </c>
      <c r="J198" s="16">
        <f t="shared" si="2"/>
        <v>58950</v>
      </c>
      <c r="K198" s="16">
        <f t="shared" ref="K198:L198" si="200">I198*1.3</f>
        <v>51090</v>
      </c>
      <c r="L198" s="16">
        <f t="shared" si="200"/>
        <v>76635</v>
      </c>
      <c r="M198" s="17">
        <f t="shared" si="4"/>
        <v>47160</v>
      </c>
      <c r="N198" s="17">
        <f t="shared" si="5"/>
        <v>45195</v>
      </c>
      <c r="O198" s="17">
        <f t="shared" si="6"/>
        <v>43230</v>
      </c>
    </row>
    <row r="199" hidden="1">
      <c r="A199" s="9" t="s">
        <v>19</v>
      </c>
      <c r="B199" s="9" t="s">
        <v>20</v>
      </c>
      <c r="C199" s="38" t="s">
        <v>21</v>
      </c>
      <c r="D199" s="33"/>
      <c r="E199" s="33"/>
      <c r="F199" s="33"/>
      <c r="G199" s="13"/>
      <c r="H199" s="27" t="s">
        <v>50</v>
      </c>
      <c r="I199" s="24">
        <v>37050.0</v>
      </c>
      <c r="J199" s="16">
        <f t="shared" si="2"/>
        <v>55575</v>
      </c>
      <c r="K199" s="16">
        <f t="shared" ref="K199:L199" si="201">I199*1.3</f>
        <v>48165</v>
      </c>
      <c r="L199" s="16">
        <f t="shared" si="201"/>
        <v>72247.5</v>
      </c>
      <c r="M199" s="17">
        <f t="shared" si="4"/>
        <v>44460</v>
      </c>
      <c r="N199" s="17">
        <f t="shared" si="5"/>
        <v>42607.5</v>
      </c>
      <c r="O199" s="17">
        <f t="shared" si="6"/>
        <v>40755</v>
      </c>
    </row>
    <row r="200" hidden="1">
      <c r="A200" s="9" t="s">
        <v>19</v>
      </c>
      <c r="B200" s="9" t="s">
        <v>20</v>
      </c>
      <c r="C200" s="38" t="s">
        <v>21</v>
      </c>
      <c r="D200" s="33"/>
      <c r="E200" s="33"/>
      <c r="F200" s="33"/>
      <c r="G200" s="13"/>
      <c r="H200" s="27" t="s">
        <v>51</v>
      </c>
      <c r="I200" s="24">
        <v>38350.0</v>
      </c>
      <c r="J200" s="16">
        <f t="shared" si="2"/>
        <v>57525</v>
      </c>
      <c r="K200" s="16">
        <f t="shared" ref="K200:L200" si="202">I200*1.3</f>
        <v>49855</v>
      </c>
      <c r="L200" s="16">
        <f t="shared" si="202"/>
        <v>74782.5</v>
      </c>
      <c r="M200" s="17">
        <f t="shared" si="4"/>
        <v>46020</v>
      </c>
      <c r="N200" s="17">
        <f t="shared" si="5"/>
        <v>44102.5</v>
      </c>
      <c r="O200" s="17">
        <f t="shared" si="6"/>
        <v>42185</v>
      </c>
    </row>
    <row r="201" hidden="1">
      <c r="A201" s="9" t="s">
        <v>19</v>
      </c>
      <c r="B201" s="9" t="s">
        <v>20</v>
      </c>
      <c r="C201" s="38" t="s">
        <v>21</v>
      </c>
      <c r="D201" s="33"/>
      <c r="E201" s="33"/>
      <c r="F201" s="33"/>
      <c r="G201" s="13"/>
      <c r="H201" s="27" t="s">
        <v>30</v>
      </c>
      <c r="I201" s="24">
        <v>37050.0</v>
      </c>
      <c r="J201" s="16">
        <f t="shared" si="2"/>
        <v>55575</v>
      </c>
      <c r="K201" s="16">
        <f t="shared" ref="K201:L201" si="203">I201*1.3</f>
        <v>48165</v>
      </c>
      <c r="L201" s="16">
        <f t="shared" si="203"/>
        <v>72247.5</v>
      </c>
      <c r="M201" s="17">
        <f t="shared" si="4"/>
        <v>44460</v>
      </c>
      <c r="N201" s="17">
        <f t="shared" si="5"/>
        <v>42607.5</v>
      </c>
      <c r="O201" s="17">
        <f t="shared" si="6"/>
        <v>40755</v>
      </c>
    </row>
    <row r="202" hidden="1">
      <c r="A202" s="9" t="s">
        <v>19</v>
      </c>
      <c r="B202" s="9" t="s">
        <v>20</v>
      </c>
      <c r="C202" s="38" t="s">
        <v>21</v>
      </c>
      <c r="D202" s="33"/>
      <c r="E202" s="33"/>
      <c r="F202" s="33"/>
      <c r="G202" s="13"/>
      <c r="H202" s="27" t="s">
        <v>31</v>
      </c>
      <c r="I202" s="24">
        <v>37950.0</v>
      </c>
      <c r="J202" s="16">
        <f t="shared" si="2"/>
        <v>56925</v>
      </c>
      <c r="K202" s="16">
        <f t="shared" ref="K202:L202" si="204">I202*1.3</f>
        <v>49335</v>
      </c>
      <c r="L202" s="16">
        <f t="shared" si="204"/>
        <v>74002.5</v>
      </c>
      <c r="M202" s="17">
        <f t="shared" si="4"/>
        <v>45540</v>
      </c>
      <c r="N202" s="17">
        <f t="shared" si="5"/>
        <v>43642.5</v>
      </c>
      <c r="O202" s="17">
        <f t="shared" si="6"/>
        <v>41745</v>
      </c>
    </row>
    <row r="203" hidden="1">
      <c r="A203" s="9" t="s">
        <v>19</v>
      </c>
      <c r="B203" s="9" t="s">
        <v>20</v>
      </c>
      <c r="C203" s="38" t="s">
        <v>21</v>
      </c>
      <c r="D203" s="33"/>
      <c r="E203" s="33"/>
      <c r="F203" s="33"/>
      <c r="G203" s="13"/>
      <c r="H203" s="27" t="s">
        <v>32</v>
      </c>
      <c r="I203" s="24">
        <v>39400.0</v>
      </c>
      <c r="J203" s="16">
        <f t="shared" si="2"/>
        <v>59100</v>
      </c>
      <c r="K203" s="16">
        <f t="shared" ref="K203:L203" si="205">I203*1.3</f>
        <v>51220</v>
      </c>
      <c r="L203" s="16">
        <f t="shared" si="205"/>
        <v>76830</v>
      </c>
      <c r="M203" s="17">
        <f t="shared" si="4"/>
        <v>47280</v>
      </c>
      <c r="N203" s="17">
        <f t="shared" si="5"/>
        <v>45310</v>
      </c>
      <c r="O203" s="17">
        <f t="shared" si="6"/>
        <v>43340</v>
      </c>
    </row>
    <row r="204" hidden="1">
      <c r="A204" s="9" t="s">
        <v>19</v>
      </c>
      <c r="B204" s="9" t="s">
        <v>20</v>
      </c>
      <c r="C204" s="38" t="s">
        <v>21</v>
      </c>
      <c r="D204" s="33"/>
      <c r="E204" s="33"/>
      <c r="F204" s="33"/>
      <c r="G204" s="13"/>
      <c r="H204" s="27" t="s">
        <v>33</v>
      </c>
      <c r="I204" s="24">
        <v>40250.0</v>
      </c>
      <c r="J204" s="16">
        <f t="shared" si="2"/>
        <v>60375</v>
      </c>
      <c r="K204" s="16">
        <f t="shared" ref="K204:L204" si="206">I204*1.3</f>
        <v>52325</v>
      </c>
      <c r="L204" s="16">
        <f t="shared" si="206"/>
        <v>78487.5</v>
      </c>
      <c r="M204" s="17">
        <f t="shared" si="4"/>
        <v>48300</v>
      </c>
      <c r="N204" s="17">
        <f t="shared" si="5"/>
        <v>46287.5</v>
      </c>
      <c r="O204" s="17">
        <f t="shared" si="6"/>
        <v>44275</v>
      </c>
    </row>
    <row r="205" hidden="1">
      <c r="A205" s="9" t="s">
        <v>19</v>
      </c>
      <c r="B205" s="9" t="s">
        <v>20</v>
      </c>
      <c r="C205" s="38" t="s">
        <v>21</v>
      </c>
      <c r="D205" s="33"/>
      <c r="E205" s="33"/>
      <c r="F205" s="33"/>
      <c r="G205" s="13"/>
      <c r="H205" s="27" t="s">
        <v>52</v>
      </c>
      <c r="I205" s="24">
        <v>37950.0</v>
      </c>
      <c r="J205" s="16">
        <f t="shared" si="2"/>
        <v>56925</v>
      </c>
      <c r="K205" s="16">
        <f t="shared" ref="K205:L205" si="207">I205*1.3</f>
        <v>49335</v>
      </c>
      <c r="L205" s="16">
        <f t="shared" si="207"/>
        <v>74002.5</v>
      </c>
      <c r="M205" s="17">
        <f t="shared" si="4"/>
        <v>45540</v>
      </c>
      <c r="N205" s="17">
        <f t="shared" si="5"/>
        <v>43642.5</v>
      </c>
      <c r="O205" s="17">
        <f t="shared" si="6"/>
        <v>41745</v>
      </c>
    </row>
    <row r="206" hidden="1">
      <c r="A206" s="9" t="s">
        <v>19</v>
      </c>
      <c r="B206" s="9" t="s">
        <v>20</v>
      </c>
      <c r="C206" s="38" t="s">
        <v>21</v>
      </c>
      <c r="D206" s="33"/>
      <c r="E206" s="33"/>
      <c r="F206" s="33"/>
      <c r="G206" s="13"/>
      <c r="H206" s="27" t="s">
        <v>53</v>
      </c>
      <c r="I206" s="24">
        <v>39250.0</v>
      </c>
      <c r="J206" s="16">
        <f t="shared" si="2"/>
        <v>58875</v>
      </c>
      <c r="K206" s="16">
        <f t="shared" ref="K206:L206" si="208">I206*1.3</f>
        <v>51025</v>
      </c>
      <c r="L206" s="16">
        <f t="shared" si="208"/>
        <v>76537.5</v>
      </c>
      <c r="M206" s="17">
        <f t="shared" si="4"/>
        <v>47100</v>
      </c>
      <c r="N206" s="17">
        <f t="shared" si="5"/>
        <v>45137.5</v>
      </c>
      <c r="O206" s="17">
        <f t="shared" si="6"/>
        <v>43175</v>
      </c>
    </row>
    <row r="207" hidden="1">
      <c r="A207" s="9" t="s">
        <v>19</v>
      </c>
      <c r="B207" s="9" t="s">
        <v>20</v>
      </c>
      <c r="C207" s="38" t="s">
        <v>21</v>
      </c>
      <c r="D207" s="33"/>
      <c r="E207" s="33"/>
      <c r="F207" s="33"/>
      <c r="G207" s="13"/>
      <c r="H207" s="27" t="s">
        <v>35</v>
      </c>
      <c r="I207" s="24">
        <v>38500.0</v>
      </c>
      <c r="J207" s="16">
        <f t="shared" si="2"/>
        <v>57750</v>
      </c>
      <c r="K207" s="16">
        <f t="shared" ref="K207:L207" si="209">I207*1.3</f>
        <v>50050</v>
      </c>
      <c r="L207" s="16">
        <f t="shared" si="209"/>
        <v>75075</v>
      </c>
      <c r="M207" s="17">
        <f t="shared" si="4"/>
        <v>46200</v>
      </c>
      <c r="N207" s="17">
        <f t="shared" si="5"/>
        <v>44275</v>
      </c>
      <c r="O207" s="17">
        <f t="shared" si="6"/>
        <v>42350</v>
      </c>
    </row>
    <row r="208" hidden="1">
      <c r="A208" s="9" t="s">
        <v>19</v>
      </c>
      <c r="B208" s="9" t="s">
        <v>20</v>
      </c>
      <c r="C208" s="38" t="s">
        <v>21</v>
      </c>
      <c r="D208" s="33"/>
      <c r="E208" s="33"/>
      <c r="F208" s="33"/>
      <c r="G208" s="13"/>
      <c r="H208" s="27" t="s">
        <v>36</v>
      </c>
      <c r="I208" s="24">
        <v>39400.0</v>
      </c>
      <c r="J208" s="16">
        <f t="shared" si="2"/>
        <v>59100</v>
      </c>
      <c r="K208" s="16">
        <f t="shared" ref="K208:L208" si="210">I208*1.3</f>
        <v>51220</v>
      </c>
      <c r="L208" s="16">
        <f t="shared" si="210"/>
        <v>76830</v>
      </c>
      <c r="M208" s="17">
        <f t="shared" si="4"/>
        <v>47280</v>
      </c>
      <c r="N208" s="17">
        <f t="shared" si="5"/>
        <v>45310</v>
      </c>
      <c r="O208" s="17">
        <f t="shared" si="6"/>
        <v>43340</v>
      </c>
    </row>
    <row r="209" hidden="1">
      <c r="A209" s="9" t="s">
        <v>19</v>
      </c>
      <c r="B209" s="9" t="s">
        <v>20</v>
      </c>
      <c r="C209" s="38" t="s">
        <v>21</v>
      </c>
      <c r="D209" s="33"/>
      <c r="E209" s="33"/>
      <c r="F209" s="33"/>
      <c r="G209" s="13"/>
      <c r="H209" s="27" t="s">
        <v>37</v>
      </c>
      <c r="I209" s="24">
        <v>40850.0</v>
      </c>
      <c r="J209" s="16">
        <f t="shared" si="2"/>
        <v>61275</v>
      </c>
      <c r="K209" s="16">
        <f t="shared" ref="K209:L209" si="211">I209*1.3</f>
        <v>53105</v>
      </c>
      <c r="L209" s="16">
        <f t="shared" si="211"/>
        <v>79657.5</v>
      </c>
      <c r="M209" s="17">
        <f t="shared" si="4"/>
        <v>49020</v>
      </c>
      <c r="N209" s="17">
        <f t="shared" si="5"/>
        <v>46977.5</v>
      </c>
      <c r="O209" s="17">
        <f t="shared" si="6"/>
        <v>44935</v>
      </c>
    </row>
    <row r="210" hidden="1">
      <c r="A210" s="9" t="s">
        <v>19</v>
      </c>
      <c r="B210" s="9" t="s">
        <v>20</v>
      </c>
      <c r="C210" s="38" t="s">
        <v>21</v>
      </c>
      <c r="D210" s="33"/>
      <c r="E210" s="33"/>
      <c r="F210" s="33"/>
      <c r="G210" s="13"/>
      <c r="H210" s="27" t="s">
        <v>38</v>
      </c>
      <c r="I210" s="24">
        <v>41650.0</v>
      </c>
      <c r="J210" s="16">
        <f t="shared" si="2"/>
        <v>62475</v>
      </c>
      <c r="K210" s="16">
        <f t="shared" ref="K210:L210" si="212">I210*1.3</f>
        <v>54145</v>
      </c>
      <c r="L210" s="16">
        <f t="shared" si="212"/>
        <v>81217.5</v>
      </c>
      <c r="M210" s="17">
        <f t="shared" si="4"/>
        <v>49980</v>
      </c>
      <c r="N210" s="17">
        <f t="shared" si="5"/>
        <v>47897.5</v>
      </c>
      <c r="O210" s="17">
        <f t="shared" si="6"/>
        <v>45815</v>
      </c>
    </row>
    <row r="211" hidden="1">
      <c r="A211" s="9" t="s">
        <v>19</v>
      </c>
      <c r="B211" s="9" t="s">
        <v>20</v>
      </c>
      <c r="C211" s="38" t="s">
        <v>21</v>
      </c>
      <c r="D211" s="33"/>
      <c r="E211" s="33"/>
      <c r="F211" s="33"/>
      <c r="G211" s="13"/>
      <c r="H211" s="27" t="s">
        <v>54</v>
      </c>
      <c r="I211" s="24">
        <v>39400.0</v>
      </c>
      <c r="J211" s="16">
        <f t="shared" si="2"/>
        <v>59100</v>
      </c>
      <c r="K211" s="16">
        <f t="shared" ref="K211:L211" si="213">I211*1.3</f>
        <v>51220</v>
      </c>
      <c r="L211" s="16">
        <f t="shared" si="213"/>
        <v>76830</v>
      </c>
      <c r="M211" s="17">
        <f t="shared" si="4"/>
        <v>47280</v>
      </c>
      <c r="N211" s="17">
        <f t="shared" si="5"/>
        <v>45310</v>
      </c>
      <c r="O211" s="17">
        <f t="shared" si="6"/>
        <v>43340</v>
      </c>
    </row>
    <row r="212" hidden="1">
      <c r="A212" s="9" t="s">
        <v>19</v>
      </c>
      <c r="B212" s="9" t="s">
        <v>20</v>
      </c>
      <c r="C212" s="38" t="s">
        <v>21</v>
      </c>
      <c r="D212" s="33"/>
      <c r="E212" s="34"/>
      <c r="F212" s="34"/>
      <c r="G212" s="13"/>
      <c r="H212" s="27" t="s">
        <v>55</v>
      </c>
      <c r="I212" s="24">
        <v>40700.0</v>
      </c>
      <c r="J212" s="16">
        <f t="shared" si="2"/>
        <v>61050</v>
      </c>
      <c r="K212" s="16">
        <f t="shared" ref="K212:L212" si="214">I212*1.3</f>
        <v>52910</v>
      </c>
      <c r="L212" s="16">
        <f t="shared" si="214"/>
        <v>79365</v>
      </c>
      <c r="M212" s="17">
        <f t="shared" si="4"/>
        <v>48840</v>
      </c>
      <c r="N212" s="17">
        <f t="shared" si="5"/>
        <v>46805</v>
      </c>
      <c r="O212" s="17">
        <f t="shared" si="6"/>
        <v>44770</v>
      </c>
    </row>
    <row r="213" hidden="1">
      <c r="A213" s="9" t="s">
        <v>19</v>
      </c>
      <c r="B213" s="9" t="s">
        <v>20</v>
      </c>
      <c r="C213" s="38" t="s">
        <v>41</v>
      </c>
      <c r="D213" s="33"/>
      <c r="E213" s="13"/>
      <c r="F213" s="9" t="s">
        <v>60</v>
      </c>
      <c r="G213" s="38" t="s">
        <v>43</v>
      </c>
      <c r="H213" s="13"/>
      <c r="I213" s="24">
        <v>3250.0</v>
      </c>
      <c r="J213" s="16">
        <f t="shared" si="2"/>
        <v>4875</v>
      </c>
      <c r="K213" s="16">
        <f t="shared" ref="K213:L213" si="215">I213*1.3</f>
        <v>4225</v>
      </c>
      <c r="L213" s="16">
        <f t="shared" si="215"/>
        <v>6337.5</v>
      </c>
      <c r="M213" s="17">
        <f t="shared" si="4"/>
        <v>3900</v>
      </c>
      <c r="N213" s="17">
        <f t="shared" si="5"/>
        <v>3737.5</v>
      </c>
      <c r="O213" s="17">
        <f t="shared" si="6"/>
        <v>3575</v>
      </c>
    </row>
    <row r="214" hidden="1">
      <c r="A214" s="9" t="s">
        <v>19</v>
      </c>
      <c r="B214" s="9" t="s">
        <v>20</v>
      </c>
      <c r="C214" s="38" t="s">
        <v>41</v>
      </c>
      <c r="D214" s="33"/>
      <c r="E214" s="13"/>
      <c r="F214" s="9" t="s">
        <v>85</v>
      </c>
      <c r="G214" s="38" t="s">
        <v>43</v>
      </c>
      <c r="H214" s="13"/>
      <c r="I214" s="24">
        <v>6500.0</v>
      </c>
      <c r="J214" s="16">
        <f t="shared" si="2"/>
        <v>9750</v>
      </c>
      <c r="K214" s="16">
        <f t="shared" ref="K214:L214" si="216">I214*1.3</f>
        <v>8450</v>
      </c>
      <c r="L214" s="16">
        <f t="shared" si="216"/>
        <v>12675</v>
      </c>
      <c r="M214" s="17">
        <f t="shared" si="4"/>
        <v>7800</v>
      </c>
      <c r="N214" s="17">
        <f t="shared" si="5"/>
        <v>7475</v>
      </c>
      <c r="O214" s="17">
        <f t="shared" si="6"/>
        <v>7150</v>
      </c>
    </row>
    <row r="215" hidden="1">
      <c r="A215" s="9" t="s">
        <v>19</v>
      </c>
      <c r="B215" s="9" t="s">
        <v>20</v>
      </c>
      <c r="C215" s="38" t="s">
        <v>41</v>
      </c>
      <c r="D215" s="33"/>
      <c r="E215" s="13"/>
      <c r="F215" s="9" t="s">
        <v>62</v>
      </c>
      <c r="G215" s="38" t="s">
        <v>43</v>
      </c>
      <c r="H215" s="13"/>
      <c r="I215" s="24">
        <v>2200.0</v>
      </c>
      <c r="J215" s="16">
        <f t="shared" si="2"/>
        <v>3300</v>
      </c>
      <c r="K215" s="16">
        <f t="shared" ref="K215:L215" si="217">I215*1.3</f>
        <v>2860</v>
      </c>
      <c r="L215" s="16">
        <f t="shared" si="217"/>
        <v>4290</v>
      </c>
      <c r="M215" s="17">
        <f t="shared" si="4"/>
        <v>2640</v>
      </c>
      <c r="N215" s="17">
        <f t="shared" si="5"/>
        <v>2530</v>
      </c>
      <c r="O215" s="17">
        <f t="shared" si="6"/>
        <v>2420</v>
      </c>
    </row>
    <row r="216" hidden="1">
      <c r="A216" s="9" t="s">
        <v>19</v>
      </c>
      <c r="B216" s="9" t="s">
        <v>20</v>
      </c>
      <c r="C216" s="38" t="s">
        <v>41</v>
      </c>
      <c r="D216" s="33"/>
      <c r="E216" s="13"/>
      <c r="F216" s="9" t="s">
        <v>63</v>
      </c>
      <c r="G216" s="38" t="s">
        <v>43</v>
      </c>
      <c r="H216" s="13"/>
      <c r="I216" s="24">
        <v>1650.0</v>
      </c>
      <c r="J216" s="16">
        <f t="shared" si="2"/>
        <v>2475</v>
      </c>
      <c r="K216" s="16">
        <f t="shared" ref="K216:L216" si="218">I216*1.3</f>
        <v>2145</v>
      </c>
      <c r="L216" s="16">
        <f t="shared" si="218"/>
        <v>3217.5</v>
      </c>
      <c r="M216" s="17">
        <f t="shared" si="4"/>
        <v>1980</v>
      </c>
      <c r="N216" s="17">
        <f t="shared" si="5"/>
        <v>1897.5</v>
      </c>
      <c r="O216" s="17">
        <f t="shared" si="6"/>
        <v>1815</v>
      </c>
    </row>
    <row r="217" hidden="1">
      <c r="A217" s="9" t="s">
        <v>19</v>
      </c>
      <c r="B217" s="9" t="s">
        <v>20</v>
      </c>
      <c r="C217" s="38" t="s">
        <v>41</v>
      </c>
      <c r="D217" s="33"/>
      <c r="E217" s="13"/>
      <c r="F217" s="9" t="s">
        <v>64</v>
      </c>
      <c r="G217" s="38" t="s">
        <v>43</v>
      </c>
      <c r="H217" s="13"/>
      <c r="I217" s="24">
        <v>2700.0</v>
      </c>
      <c r="J217" s="16">
        <f t="shared" si="2"/>
        <v>4050</v>
      </c>
      <c r="K217" s="16">
        <f t="shared" ref="K217:L217" si="219">I217*1.3</f>
        <v>3510</v>
      </c>
      <c r="L217" s="16">
        <f t="shared" si="219"/>
        <v>5265</v>
      </c>
      <c r="M217" s="17">
        <f t="shared" si="4"/>
        <v>3240</v>
      </c>
      <c r="N217" s="17">
        <f t="shared" si="5"/>
        <v>3105</v>
      </c>
      <c r="O217" s="17">
        <f t="shared" si="6"/>
        <v>2970</v>
      </c>
    </row>
    <row r="218" hidden="1">
      <c r="A218" s="9" t="s">
        <v>19</v>
      </c>
      <c r="B218" s="9" t="s">
        <v>20</v>
      </c>
      <c r="C218" s="38" t="s">
        <v>41</v>
      </c>
      <c r="D218" s="33"/>
      <c r="E218" s="13"/>
      <c r="F218" s="9" t="s">
        <v>65</v>
      </c>
      <c r="G218" s="38" t="s">
        <v>43</v>
      </c>
      <c r="H218" s="13"/>
      <c r="I218" s="24">
        <v>3250.0</v>
      </c>
      <c r="J218" s="16">
        <f t="shared" si="2"/>
        <v>4875</v>
      </c>
      <c r="K218" s="16">
        <f t="shared" ref="K218:L218" si="220">I218*1.3</f>
        <v>4225</v>
      </c>
      <c r="L218" s="16">
        <f t="shared" si="220"/>
        <v>6337.5</v>
      </c>
      <c r="M218" s="17">
        <f t="shared" si="4"/>
        <v>3900</v>
      </c>
      <c r="N218" s="17">
        <f t="shared" si="5"/>
        <v>3737.5</v>
      </c>
      <c r="O218" s="17">
        <f t="shared" si="6"/>
        <v>3575</v>
      </c>
    </row>
    <row r="219" hidden="1">
      <c r="A219" s="9" t="s">
        <v>19</v>
      </c>
      <c r="B219" s="9" t="s">
        <v>20</v>
      </c>
      <c r="C219" s="38" t="s">
        <v>41</v>
      </c>
      <c r="D219" s="33"/>
      <c r="E219" s="13"/>
      <c r="F219" s="9" t="s">
        <v>66</v>
      </c>
      <c r="G219" s="38" t="s">
        <v>43</v>
      </c>
      <c r="H219" s="13"/>
      <c r="I219" s="24">
        <v>5400.0</v>
      </c>
      <c r="J219" s="16">
        <f t="shared" si="2"/>
        <v>8100</v>
      </c>
      <c r="K219" s="16">
        <f t="shared" ref="K219:L219" si="221">I219*1.3</f>
        <v>7020</v>
      </c>
      <c r="L219" s="16">
        <f t="shared" si="221"/>
        <v>10530</v>
      </c>
      <c r="M219" s="17">
        <f t="shared" si="4"/>
        <v>6480</v>
      </c>
      <c r="N219" s="17">
        <f t="shared" si="5"/>
        <v>6210</v>
      </c>
      <c r="O219" s="17">
        <f t="shared" si="6"/>
        <v>5940</v>
      </c>
    </row>
    <row r="220" hidden="1">
      <c r="A220" s="9" t="s">
        <v>19</v>
      </c>
      <c r="B220" s="9" t="s">
        <v>20</v>
      </c>
      <c r="C220" s="38" t="s">
        <v>41</v>
      </c>
      <c r="D220" s="33"/>
      <c r="E220" s="13"/>
      <c r="F220" s="9" t="s">
        <v>86</v>
      </c>
      <c r="G220" s="38" t="s">
        <v>43</v>
      </c>
      <c r="H220" s="13"/>
      <c r="I220" s="24">
        <v>4350.0</v>
      </c>
      <c r="J220" s="16">
        <f t="shared" si="2"/>
        <v>6525</v>
      </c>
      <c r="K220" s="16">
        <f t="shared" ref="K220:L220" si="222">I220*1.3</f>
        <v>5655</v>
      </c>
      <c r="L220" s="16">
        <f t="shared" si="222"/>
        <v>8482.5</v>
      </c>
      <c r="M220" s="17">
        <f t="shared" si="4"/>
        <v>5220</v>
      </c>
      <c r="N220" s="17">
        <f t="shared" si="5"/>
        <v>5002.5</v>
      </c>
      <c r="O220" s="17">
        <f t="shared" si="6"/>
        <v>4785</v>
      </c>
    </row>
    <row r="221" hidden="1">
      <c r="A221" s="9" t="s">
        <v>19</v>
      </c>
      <c r="B221" s="9" t="s">
        <v>20</v>
      </c>
      <c r="C221" s="38" t="s">
        <v>41</v>
      </c>
      <c r="D221" s="33"/>
      <c r="E221" s="13"/>
      <c r="F221" s="9" t="s">
        <v>87</v>
      </c>
      <c r="G221" s="38" t="s">
        <v>43</v>
      </c>
      <c r="H221" s="13"/>
      <c r="I221" s="24">
        <v>2200.0</v>
      </c>
      <c r="J221" s="16">
        <f t="shared" si="2"/>
        <v>3300</v>
      </c>
      <c r="K221" s="16">
        <f t="shared" ref="K221:L221" si="223">I221*1.3</f>
        <v>2860</v>
      </c>
      <c r="L221" s="16">
        <f t="shared" si="223"/>
        <v>4290</v>
      </c>
      <c r="M221" s="17">
        <f t="shared" si="4"/>
        <v>2640</v>
      </c>
      <c r="N221" s="17">
        <f t="shared" si="5"/>
        <v>2530</v>
      </c>
      <c r="O221" s="17">
        <f t="shared" si="6"/>
        <v>2420</v>
      </c>
    </row>
    <row r="222" hidden="1">
      <c r="A222" s="9" t="s">
        <v>19</v>
      </c>
      <c r="B222" s="9" t="s">
        <v>20</v>
      </c>
      <c r="C222" s="38" t="s">
        <v>41</v>
      </c>
      <c r="D222" s="33"/>
      <c r="E222" s="13"/>
      <c r="F222" s="9" t="s">
        <v>46</v>
      </c>
      <c r="G222" s="38" t="s">
        <v>43</v>
      </c>
      <c r="H222" s="13"/>
      <c r="I222" s="24">
        <v>1100.0</v>
      </c>
      <c r="J222" s="16">
        <f t="shared" si="2"/>
        <v>1650</v>
      </c>
      <c r="K222" s="16">
        <f t="shared" ref="K222:L222" si="224">I222*1.3</f>
        <v>1430</v>
      </c>
      <c r="L222" s="16">
        <f t="shared" si="224"/>
        <v>2145</v>
      </c>
      <c r="M222" s="17">
        <f t="shared" si="4"/>
        <v>1320</v>
      </c>
      <c r="N222" s="17">
        <f t="shared" si="5"/>
        <v>1265</v>
      </c>
      <c r="O222" s="17">
        <f t="shared" si="6"/>
        <v>1210</v>
      </c>
    </row>
    <row r="223" hidden="1">
      <c r="A223" s="9" t="s">
        <v>19</v>
      </c>
      <c r="B223" s="9" t="s">
        <v>20</v>
      </c>
      <c r="C223" s="38" t="s">
        <v>41</v>
      </c>
      <c r="D223" s="33"/>
      <c r="E223" s="13"/>
      <c r="F223" s="9" t="s">
        <v>67</v>
      </c>
      <c r="G223" s="38" t="s">
        <v>43</v>
      </c>
      <c r="H223" s="13"/>
      <c r="I223" s="24">
        <v>2600.0</v>
      </c>
      <c r="J223" s="16">
        <f t="shared" si="2"/>
        <v>3900</v>
      </c>
      <c r="K223" s="16">
        <f t="shared" ref="K223:L223" si="225">I223*1.3</f>
        <v>3380</v>
      </c>
      <c r="L223" s="16">
        <f t="shared" si="225"/>
        <v>5070</v>
      </c>
      <c r="M223" s="17">
        <f t="shared" si="4"/>
        <v>3120</v>
      </c>
      <c r="N223" s="17">
        <f t="shared" si="5"/>
        <v>2990</v>
      </c>
      <c r="O223" s="17">
        <f t="shared" si="6"/>
        <v>2860</v>
      </c>
    </row>
    <row r="224" hidden="1">
      <c r="A224" s="9" t="s">
        <v>19</v>
      </c>
      <c r="B224" s="9" t="s">
        <v>20</v>
      </c>
      <c r="C224" s="38" t="s">
        <v>41</v>
      </c>
      <c r="D224" s="34"/>
      <c r="E224" s="13"/>
      <c r="F224" s="9" t="s">
        <v>77</v>
      </c>
      <c r="G224" s="38" t="s">
        <v>43</v>
      </c>
      <c r="H224" s="13"/>
      <c r="I224" s="24">
        <v>4000.0</v>
      </c>
      <c r="J224" s="16">
        <f t="shared" si="2"/>
        <v>6000</v>
      </c>
      <c r="K224" s="16">
        <f t="shared" ref="K224:L224" si="226">I224*1.3</f>
        <v>5200</v>
      </c>
      <c r="L224" s="16">
        <f t="shared" si="226"/>
        <v>7800</v>
      </c>
      <c r="M224" s="17">
        <f t="shared" si="4"/>
        <v>4800</v>
      </c>
      <c r="N224" s="17">
        <f t="shared" si="5"/>
        <v>4600</v>
      </c>
      <c r="O224" s="17">
        <f t="shared" si="6"/>
        <v>4400</v>
      </c>
    </row>
    <row r="225" hidden="1">
      <c r="A225" s="9" t="s">
        <v>19</v>
      </c>
      <c r="B225" s="9" t="s">
        <v>20</v>
      </c>
      <c r="C225" s="38" t="s">
        <v>21</v>
      </c>
      <c r="D225" s="30" t="s">
        <v>88</v>
      </c>
      <c r="E225" s="30" t="s">
        <v>89</v>
      </c>
      <c r="F225" s="35" t="s">
        <v>90</v>
      </c>
      <c r="G225" s="13"/>
      <c r="H225" s="23" t="s">
        <v>25</v>
      </c>
      <c r="I225" s="24">
        <v>28500.0</v>
      </c>
      <c r="J225" s="16">
        <f t="shared" si="2"/>
        <v>42750</v>
      </c>
      <c r="K225" s="16">
        <f t="shared" ref="K225:L225" si="227">I225*1.3</f>
        <v>37050</v>
      </c>
      <c r="L225" s="16">
        <f t="shared" si="227"/>
        <v>55575</v>
      </c>
      <c r="M225" s="17">
        <f t="shared" si="4"/>
        <v>34200</v>
      </c>
      <c r="N225" s="17">
        <f t="shared" si="5"/>
        <v>32775</v>
      </c>
      <c r="O225" s="17">
        <f t="shared" si="6"/>
        <v>31350</v>
      </c>
    </row>
    <row r="226" hidden="1">
      <c r="A226" s="9" t="s">
        <v>19</v>
      </c>
      <c r="B226" s="9" t="s">
        <v>20</v>
      </c>
      <c r="C226" s="38" t="s">
        <v>21</v>
      </c>
      <c r="D226" s="33"/>
      <c r="E226" s="33"/>
      <c r="F226" s="33"/>
      <c r="G226" s="13"/>
      <c r="H226" s="27" t="s">
        <v>27</v>
      </c>
      <c r="I226" s="24">
        <v>29400.0</v>
      </c>
      <c r="J226" s="16">
        <f t="shared" si="2"/>
        <v>44100</v>
      </c>
      <c r="K226" s="16">
        <f t="shared" ref="K226:L226" si="228">I226*1.3</f>
        <v>38220</v>
      </c>
      <c r="L226" s="16">
        <f t="shared" si="228"/>
        <v>57330</v>
      </c>
      <c r="M226" s="17">
        <f t="shared" si="4"/>
        <v>35280</v>
      </c>
      <c r="N226" s="17">
        <f t="shared" si="5"/>
        <v>33810</v>
      </c>
      <c r="O226" s="17">
        <f t="shared" si="6"/>
        <v>32340</v>
      </c>
    </row>
    <row r="227" hidden="1">
      <c r="A227" s="9" t="s">
        <v>19</v>
      </c>
      <c r="B227" s="9" t="s">
        <v>20</v>
      </c>
      <c r="C227" s="38" t="s">
        <v>21</v>
      </c>
      <c r="D227" s="33"/>
      <c r="E227" s="33"/>
      <c r="F227" s="33"/>
      <c r="G227" s="13"/>
      <c r="H227" s="27" t="s">
        <v>28</v>
      </c>
      <c r="I227" s="24">
        <v>30850.0</v>
      </c>
      <c r="J227" s="16">
        <f t="shared" si="2"/>
        <v>46275</v>
      </c>
      <c r="K227" s="16">
        <f t="shared" ref="K227:L227" si="229">I227*1.3</f>
        <v>40105</v>
      </c>
      <c r="L227" s="16">
        <f t="shared" si="229"/>
        <v>60157.5</v>
      </c>
      <c r="M227" s="17">
        <f t="shared" si="4"/>
        <v>37020</v>
      </c>
      <c r="N227" s="17">
        <f t="shared" si="5"/>
        <v>35477.5</v>
      </c>
      <c r="O227" s="17">
        <f t="shared" si="6"/>
        <v>33935</v>
      </c>
    </row>
    <row r="228" hidden="1">
      <c r="A228" s="9" t="s">
        <v>19</v>
      </c>
      <c r="B228" s="9" t="s">
        <v>20</v>
      </c>
      <c r="C228" s="38" t="s">
        <v>21</v>
      </c>
      <c r="D228" s="33"/>
      <c r="E228" s="33"/>
      <c r="F228" s="33"/>
      <c r="G228" s="13"/>
      <c r="H228" s="27" t="s">
        <v>29</v>
      </c>
      <c r="I228" s="24">
        <v>31650.0</v>
      </c>
      <c r="J228" s="16">
        <f t="shared" si="2"/>
        <v>47475</v>
      </c>
      <c r="K228" s="16">
        <f t="shared" ref="K228:L228" si="230">I228*1.3</f>
        <v>41145</v>
      </c>
      <c r="L228" s="16">
        <f t="shared" si="230"/>
        <v>61717.5</v>
      </c>
      <c r="M228" s="17">
        <f t="shared" si="4"/>
        <v>37980</v>
      </c>
      <c r="N228" s="17">
        <f t="shared" si="5"/>
        <v>36397.5</v>
      </c>
      <c r="O228" s="17">
        <f t="shared" si="6"/>
        <v>34815</v>
      </c>
    </row>
    <row r="229" hidden="1">
      <c r="A229" s="9" t="s">
        <v>19</v>
      </c>
      <c r="B229" s="9" t="s">
        <v>20</v>
      </c>
      <c r="C229" s="38" t="s">
        <v>21</v>
      </c>
      <c r="D229" s="33"/>
      <c r="E229" s="33"/>
      <c r="F229" s="33"/>
      <c r="G229" s="13"/>
      <c r="H229" s="27" t="s">
        <v>50</v>
      </c>
      <c r="I229" s="24">
        <v>29400.0</v>
      </c>
      <c r="J229" s="16">
        <f t="shared" si="2"/>
        <v>44100</v>
      </c>
      <c r="K229" s="16">
        <f t="shared" ref="K229:L229" si="231">I229*1.3</f>
        <v>38220</v>
      </c>
      <c r="L229" s="16">
        <f t="shared" si="231"/>
        <v>57330</v>
      </c>
      <c r="M229" s="17">
        <f t="shared" si="4"/>
        <v>35280</v>
      </c>
      <c r="N229" s="17">
        <f t="shared" si="5"/>
        <v>33810</v>
      </c>
      <c r="O229" s="17">
        <f t="shared" si="6"/>
        <v>32340</v>
      </c>
    </row>
    <row r="230" hidden="1">
      <c r="A230" s="9" t="s">
        <v>19</v>
      </c>
      <c r="B230" s="9" t="s">
        <v>20</v>
      </c>
      <c r="C230" s="38" t="s">
        <v>21</v>
      </c>
      <c r="D230" s="33"/>
      <c r="E230" s="33"/>
      <c r="F230" s="33"/>
      <c r="G230" s="13"/>
      <c r="H230" s="27" t="s">
        <v>51</v>
      </c>
      <c r="I230" s="24">
        <v>30650.0</v>
      </c>
      <c r="J230" s="16">
        <f t="shared" si="2"/>
        <v>45975</v>
      </c>
      <c r="K230" s="16">
        <f t="shared" ref="K230:L230" si="232">I230*1.3</f>
        <v>39845</v>
      </c>
      <c r="L230" s="16">
        <f t="shared" si="232"/>
        <v>59767.5</v>
      </c>
      <c r="M230" s="17">
        <f t="shared" si="4"/>
        <v>36780</v>
      </c>
      <c r="N230" s="17">
        <f t="shared" si="5"/>
        <v>35247.5</v>
      </c>
      <c r="O230" s="17">
        <f t="shared" si="6"/>
        <v>33715</v>
      </c>
    </row>
    <row r="231" hidden="1">
      <c r="A231" s="9" t="s">
        <v>19</v>
      </c>
      <c r="B231" s="9" t="s">
        <v>20</v>
      </c>
      <c r="C231" s="38" t="s">
        <v>21</v>
      </c>
      <c r="D231" s="33"/>
      <c r="E231" s="33"/>
      <c r="F231" s="33"/>
      <c r="G231" s="13"/>
      <c r="H231" s="27" t="s">
        <v>30</v>
      </c>
      <c r="I231" s="24">
        <v>29400.0</v>
      </c>
      <c r="J231" s="16">
        <f t="shared" si="2"/>
        <v>44100</v>
      </c>
      <c r="K231" s="16">
        <f t="shared" ref="K231:L231" si="233">I231*1.3</f>
        <v>38220</v>
      </c>
      <c r="L231" s="16">
        <f t="shared" si="233"/>
        <v>57330</v>
      </c>
      <c r="M231" s="17">
        <f t="shared" si="4"/>
        <v>35280</v>
      </c>
      <c r="N231" s="17">
        <f t="shared" si="5"/>
        <v>33810</v>
      </c>
      <c r="O231" s="17">
        <f t="shared" si="6"/>
        <v>32340</v>
      </c>
    </row>
    <row r="232" hidden="1">
      <c r="A232" s="9" t="s">
        <v>19</v>
      </c>
      <c r="B232" s="9" t="s">
        <v>20</v>
      </c>
      <c r="C232" s="38" t="s">
        <v>21</v>
      </c>
      <c r="D232" s="33"/>
      <c r="E232" s="33"/>
      <c r="F232" s="33"/>
      <c r="G232" s="13"/>
      <c r="H232" s="27" t="s">
        <v>31</v>
      </c>
      <c r="I232" s="24">
        <v>30300.0</v>
      </c>
      <c r="J232" s="16">
        <f t="shared" si="2"/>
        <v>45450</v>
      </c>
      <c r="K232" s="16">
        <f t="shared" ref="K232:L232" si="234">I232*1.3</f>
        <v>39390</v>
      </c>
      <c r="L232" s="16">
        <f t="shared" si="234"/>
        <v>59085</v>
      </c>
      <c r="M232" s="17">
        <f t="shared" si="4"/>
        <v>36360</v>
      </c>
      <c r="N232" s="17">
        <f t="shared" si="5"/>
        <v>34845</v>
      </c>
      <c r="O232" s="17">
        <f t="shared" si="6"/>
        <v>33330</v>
      </c>
    </row>
    <row r="233" hidden="1">
      <c r="A233" s="9" t="s">
        <v>19</v>
      </c>
      <c r="B233" s="9" t="s">
        <v>20</v>
      </c>
      <c r="C233" s="38" t="s">
        <v>21</v>
      </c>
      <c r="D233" s="33"/>
      <c r="E233" s="33"/>
      <c r="F233" s="33"/>
      <c r="G233" s="13"/>
      <c r="H233" s="27" t="s">
        <v>32</v>
      </c>
      <c r="I233" s="24">
        <v>31750.0</v>
      </c>
      <c r="J233" s="16">
        <f t="shared" si="2"/>
        <v>47625</v>
      </c>
      <c r="K233" s="16">
        <f t="shared" ref="K233:L233" si="235">I233*1.3</f>
        <v>41275</v>
      </c>
      <c r="L233" s="16">
        <f t="shared" si="235"/>
        <v>61912.5</v>
      </c>
      <c r="M233" s="17">
        <f t="shared" si="4"/>
        <v>38100</v>
      </c>
      <c r="N233" s="17">
        <f t="shared" si="5"/>
        <v>36512.5</v>
      </c>
      <c r="O233" s="17">
        <f t="shared" si="6"/>
        <v>34925</v>
      </c>
    </row>
    <row r="234" hidden="1">
      <c r="A234" s="9" t="s">
        <v>19</v>
      </c>
      <c r="B234" s="9" t="s">
        <v>20</v>
      </c>
      <c r="C234" s="38" t="s">
        <v>21</v>
      </c>
      <c r="D234" s="33"/>
      <c r="E234" s="33"/>
      <c r="F234" s="33"/>
      <c r="G234" s="13"/>
      <c r="H234" s="27" t="s">
        <v>33</v>
      </c>
      <c r="I234" s="24">
        <v>32550.0</v>
      </c>
      <c r="J234" s="16">
        <f t="shared" si="2"/>
        <v>48825</v>
      </c>
      <c r="K234" s="16">
        <f t="shared" ref="K234:L234" si="236">I234*1.3</f>
        <v>42315</v>
      </c>
      <c r="L234" s="16">
        <f t="shared" si="236"/>
        <v>63472.5</v>
      </c>
      <c r="M234" s="17">
        <f t="shared" si="4"/>
        <v>39060</v>
      </c>
      <c r="N234" s="17">
        <f t="shared" si="5"/>
        <v>37432.5</v>
      </c>
      <c r="O234" s="17">
        <f t="shared" si="6"/>
        <v>35805</v>
      </c>
    </row>
    <row r="235" hidden="1">
      <c r="A235" s="9" t="s">
        <v>19</v>
      </c>
      <c r="B235" s="9" t="s">
        <v>20</v>
      </c>
      <c r="C235" s="38" t="s">
        <v>21</v>
      </c>
      <c r="D235" s="33"/>
      <c r="E235" s="33"/>
      <c r="F235" s="33"/>
      <c r="G235" s="13"/>
      <c r="H235" s="27" t="s">
        <v>52</v>
      </c>
      <c r="I235" s="24">
        <v>30300.0</v>
      </c>
      <c r="J235" s="16">
        <f t="shared" si="2"/>
        <v>45450</v>
      </c>
      <c r="K235" s="16">
        <f t="shared" ref="K235:L235" si="237">I235*1.3</f>
        <v>39390</v>
      </c>
      <c r="L235" s="16">
        <f t="shared" si="237"/>
        <v>59085</v>
      </c>
      <c r="M235" s="17">
        <f t="shared" si="4"/>
        <v>36360</v>
      </c>
      <c r="N235" s="17">
        <f t="shared" si="5"/>
        <v>34845</v>
      </c>
      <c r="O235" s="17">
        <f t="shared" si="6"/>
        <v>33330</v>
      </c>
    </row>
    <row r="236" hidden="1">
      <c r="A236" s="9" t="s">
        <v>19</v>
      </c>
      <c r="B236" s="9" t="s">
        <v>20</v>
      </c>
      <c r="C236" s="38" t="s">
        <v>21</v>
      </c>
      <c r="D236" s="33"/>
      <c r="E236" s="33"/>
      <c r="F236" s="33"/>
      <c r="G236" s="13"/>
      <c r="H236" s="27" t="s">
        <v>53</v>
      </c>
      <c r="I236" s="24">
        <v>31550.0</v>
      </c>
      <c r="J236" s="16">
        <f t="shared" si="2"/>
        <v>47325</v>
      </c>
      <c r="K236" s="16">
        <f t="shared" ref="K236:L236" si="238">I236*1.3</f>
        <v>41015</v>
      </c>
      <c r="L236" s="16">
        <f t="shared" si="238"/>
        <v>61522.5</v>
      </c>
      <c r="M236" s="17">
        <f t="shared" si="4"/>
        <v>37860</v>
      </c>
      <c r="N236" s="17">
        <f t="shared" si="5"/>
        <v>36282.5</v>
      </c>
      <c r="O236" s="17">
        <f t="shared" si="6"/>
        <v>34705</v>
      </c>
    </row>
    <row r="237" hidden="1">
      <c r="A237" s="9" t="s">
        <v>19</v>
      </c>
      <c r="B237" s="9" t="s">
        <v>20</v>
      </c>
      <c r="C237" s="38" t="s">
        <v>21</v>
      </c>
      <c r="D237" s="33"/>
      <c r="E237" s="33"/>
      <c r="F237" s="33"/>
      <c r="G237" s="13"/>
      <c r="H237" s="27" t="s">
        <v>35</v>
      </c>
      <c r="I237" s="24">
        <v>30850.0</v>
      </c>
      <c r="J237" s="16">
        <f t="shared" si="2"/>
        <v>46275</v>
      </c>
      <c r="K237" s="16">
        <f t="shared" ref="K237:L237" si="239">I237*1.3</f>
        <v>40105</v>
      </c>
      <c r="L237" s="16">
        <f t="shared" si="239"/>
        <v>60157.5</v>
      </c>
      <c r="M237" s="17">
        <f t="shared" si="4"/>
        <v>37020</v>
      </c>
      <c r="N237" s="17">
        <f t="shared" si="5"/>
        <v>35477.5</v>
      </c>
      <c r="O237" s="17">
        <f t="shared" si="6"/>
        <v>33935</v>
      </c>
    </row>
    <row r="238" hidden="1">
      <c r="A238" s="9" t="s">
        <v>19</v>
      </c>
      <c r="B238" s="9" t="s">
        <v>20</v>
      </c>
      <c r="C238" s="38" t="s">
        <v>21</v>
      </c>
      <c r="D238" s="33"/>
      <c r="E238" s="33"/>
      <c r="F238" s="33"/>
      <c r="G238" s="13"/>
      <c r="H238" s="27" t="s">
        <v>36</v>
      </c>
      <c r="I238" s="24">
        <v>31750.0</v>
      </c>
      <c r="J238" s="16">
        <f t="shared" si="2"/>
        <v>47625</v>
      </c>
      <c r="K238" s="16">
        <f t="shared" ref="K238:L238" si="240">I238*1.3</f>
        <v>41275</v>
      </c>
      <c r="L238" s="16">
        <f t="shared" si="240"/>
        <v>61912.5</v>
      </c>
      <c r="M238" s="17">
        <f t="shared" si="4"/>
        <v>38100</v>
      </c>
      <c r="N238" s="17">
        <f t="shared" si="5"/>
        <v>36512.5</v>
      </c>
      <c r="O238" s="17">
        <f t="shared" si="6"/>
        <v>34925</v>
      </c>
    </row>
    <row r="239" hidden="1">
      <c r="A239" s="9" t="s">
        <v>19</v>
      </c>
      <c r="B239" s="9" t="s">
        <v>20</v>
      </c>
      <c r="C239" s="38" t="s">
        <v>21</v>
      </c>
      <c r="D239" s="33"/>
      <c r="E239" s="33"/>
      <c r="F239" s="33"/>
      <c r="G239" s="13"/>
      <c r="H239" s="27" t="s">
        <v>37</v>
      </c>
      <c r="I239" s="24">
        <v>33200.0</v>
      </c>
      <c r="J239" s="16">
        <f t="shared" si="2"/>
        <v>49800</v>
      </c>
      <c r="K239" s="16">
        <f t="shared" ref="K239:L239" si="241">I239*1.3</f>
        <v>43160</v>
      </c>
      <c r="L239" s="16">
        <f t="shared" si="241"/>
        <v>64740</v>
      </c>
      <c r="M239" s="17">
        <f t="shared" si="4"/>
        <v>39840</v>
      </c>
      <c r="N239" s="17">
        <f t="shared" si="5"/>
        <v>38180</v>
      </c>
      <c r="O239" s="17">
        <f t="shared" si="6"/>
        <v>36520</v>
      </c>
    </row>
    <row r="240" hidden="1">
      <c r="A240" s="9" t="s">
        <v>19</v>
      </c>
      <c r="B240" s="9" t="s">
        <v>20</v>
      </c>
      <c r="C240" s="38" t="s">
        <v>21</v>
      </c>
      <c r="D240" s="33"/>
      <c r="E240" s="33"/>
      <c r="F240" s="33"/>
      <c r="G240" s="13"/>
      <c r="H240" s="27" t="s">
        <v>38</v>
      </c>
      <c r="I240" s="24">
        <v>34000.0</v>
      </c>
      <c r="J240" s="16">
        <f t="shared" si="2"/>
        <v>51000</v>
      </c>
      <c r="K240" s="16">
        <f t="shared" ref="K240:L240" si="242">I240*1.3</f>
        <v>44200</v>
      </c>
      <c r="L240" s="16">
        <f t="shared" si="242"/>
        <v>66300</v>
      </c>
      <c r="M240" s="17">
        <f t="shared" si="4"/>
        <v>40800</v>
      </c>
      <c r="N240" s="17">
        <f t="shared" si="5"/>
        <v>39100</v>
      </c>
      <c r="O240" s="17">
        <f t="shared" si="6"/>
        <v>37400</v>
      </c>
    </row>
    <row r="241" hidden="1">
      <c r="A241" s="9" t="s">
        <v>19</v>
      </c>
      <c r="B241" s="9" t="s">
        <v>20</v>
      </c>
      <c r="C241" s="38" t="s">
        <v>21</v>
      </c>
      <c r="D241" s="33"/>
      <c r="E241" s="33"/>
      <c r="F241" s="33"/>
      <c r="G241" s="13"/>
      <c r="H241" s="27" t="s">
        <v>54</v>
      </c>
      <c r="I241" s="24">
        <v>31750.0</v>
      </c>
      <c r="J241" s="16">
        <f t="shared" si="2"/>
        <v>47625</v>
      </c>
      <c r="K241" s="16">
        <f t="shared" ref="K241:L241" si="243">I241*1.3</f>
        <v>41275</v>
      </c>
      <c r="L241" s="16">
        <f t="shared" si="243"/>
        <v>61912.5</v>
      </c>
      <c r="M241" s="17">
        <f t="shared" si="4"/>
        <v>38100</v>
      </c>
      <c r="N241" s="17">
        <f t="shared" si="5"/>
        <v>36512.5</v>
      </c>
      <c r="O241" s="17">
        <f t="shared" si="6"/>
        <v>34925</v>
      </c>
    </row>
    <row r="242" hidden="1">
      <c r="A242" s="9" t="s">
        <v>19</v>
      </c>
      <c r="B242" s="9" t="s">
        <v>20</v>
      </c>
      <c r="C242" s="38" t="s">
        <v>21</v>
      </c>
      <c r="D242" s="33"/>
      <c r="E242" s="34"/>
      <c r="F242" s="34"/>
      <c r="G242" s="13"/>
      <c r="H242" s="27" t="s">
        <v>55</v>
      </c>
      <c r="I242" s="24">
        <v>33000.0</v>
      </c>
      <c r="J242" s="16">
        <f t="shared" si="2"/>
        <v>49500</v>
      </c>
      <c r="K242" s="16">
        <f t="shared" ref="K242:L242" si="244">I242*1.3</f>
        <v>42900</v>
      </c>
      <c r="L242" s="16">
        <f t="shared" si="244"/>
        <v>64350</v>
      </c>
      <c r="M242" s="17">
        <f t="shared" si="4"/>
        <v>39600</v>
      </c>
      <c r="N242" s="17">
        <f t="shared" si="5"/>
        <v>37950</v>
      </c>
      <c r="O242" s="17">
        <f t="shared" si="6"/>
        <v>36300</v>
      </c>
    </row>
    <row r="243" hidden="1">
      <c r="A243" s="9" t="s">
        <v>19</v>
      </c>
      <c r="B243" s="9" t="s">
        <v>20</v>
      </c>
      <c r="C243" s="38" t="s">
        <v>21</v>
      </c>
      <c r="D243" s="33"/>
      <c r="E243" s="30" t="s">
        <v>91</v>
      </c>
      <c r="F243" s="35" t="s">
        <v>92</v>
      </c>
      <c r="G243" s="13"/>
      <c r="H243" s="23" t="s">
        <v>25</v>
      </c>
      <c r="I243" s="24">
        <v>33900.0</v>
      </c>
      <c r="J243" s="16">
        <f t="shared" si="2"/>
        <v>50850</v>
      </c>
      <c r="K243" s="16">
        <f t="shared" ref="K243:L243" si="245">I243*1.3</f>
        <v>44070</v>
      </c>
      <c r="L243" s="16">
        <f t="shared" si="245"/>
        <v>66105</v>
      </c>
      <c r="M243" s="17">
        <f t="shared" si="4"/>
        <v>40680</v>
      </c>
      <c r="N243" s="17">
        <f t="shared" si="5"/>
        <v>38985</v>
      </c>
      <c r="O243" s="17">
        <f t="shared" si="6"/>
        <v>37290</v>
      </c>
    </row>
    <row r="244" hidden="1">
      <c r="A244" s="9" t="s">
        <v>19</v>
      </c>
      <c r="B244" s="9" t="s">
        <v>20</v>
      </c>
      <c r="C244" s="38" t="s">
        <v>21</v>
      </c>
      <c r="D244" s="33"/>
      <c r="E244" s="33"/>
      <c r="F244" s="33"/>
      <c r="G244" s="13"/>
      <c r="H244" s="27" t="s">
        <v>27</v>
      </c>
      <c r="I244" s="24">
        <v>34800.0</v>
      </c>
      <c r="J244" s="16">
        <f t="shared" si="2"/>
        <v>52200</v>
      </c>
      <c r="K244" s="16">
        <f t="shared" ref="K244:L244" si="246">I244*1.3</f>
        <v>45240</v>
      </c>
      <c r="L244" s="16">
        <f t="shared" si="246"/>
        <v>67860</v>
      </c>
      <c r="M244" s="17">
        <f t="shared" si="4"/>
        <v>41760</v>
      </c>
      <c r="N244" s="17">
        <f t="shared" si="5"/>
        <v>40020</v>
      </c>
      <c r="O244" s="17">
        <f t="shared" si="6"/>
        <v>38280</v>
      </c>
    </row>
    <row r="245" hidden="1">
      <c r="A245" s="9" t="s">
        <v>19</v>
      </c>
      <c r="B245" s="9" t="s">
        <v>20</v>
      </c>
      <c r="C245" s="38" t="s">
        <v>21</v>
      </c>
      <c r="D245" s="33"/>
      <c r="E245" s="33"/>
      <c r="F245" s="33"/>
      <c r="G245" s="13"/>
      <c r="H245" s="27" t="s">
        <v>28</v>
      </c>
      <c r="I245" s="24">
        <v>26250.0</v>
      </c>
      <c r="J245" s="16">
        <f t="shared" si="2"/>
        <v>39375</v>
      </c>
      <c r="K245" s="16">
        <f t="shared" ref="K245:L245" si="247">I245*1.3</f>
        <v>34125</v>
      </c>
      <c r="L245" s="16">
        <f t="shared" si="247"/>
        <v>51187.5</v>
      </c>
      <c r="M245" s="17">
        <f t="shared" si="4"/>
        <v>31500</v>
      </c>
      <c r="N245" s="17">
        <f t="shared" si="5"/>
        <v>30187.5</v>
      </c>
      <c r="O245" s="17">
        <f t="shared" si="6"/>
        <v>28875</v>
      </c>
    </row>
    <row r="246" hidden="1">
      <c r="A246" s="9" t="s">
        <v>19</v>
      </c>
      <c r="B246" s="9" t="s">
        <v>20</v>
      </c>
      <c r="C246" s="38" t="s">
        <v>21</v>
      </c>
      <c r="D246" s="33"/>
      <c r="E246" s="33"/>
      <c r="F246" s="33"/>
      <c r="G246" s="13"/>
      <c r="H246" s="27" t="s">
        <v>29</v>
      </c>
      <c r="I246" s="24">
        <v>37050.0</v>
      </c>
      <c r="J246" s="16">
        <f t="shared" si="2"/>
        <v>55575</v>
      </c>
      <c r="K246" s="16">
        <f t="shared" ref="K246:L246" si="248">I246*1.3</f>
        <v>48165</v>
      </c>
      <c r="L246" s="16">
        <f t="shared" si="248"/>
        <v>72247.5</v>
      </c>
      <c r="M246" s="17">
        <f t="shared" si="4"/>
        <v>44460</v>
      </c>
      <c r="N246" s="17">
        <f t="shared" si="5"/>
        <v>42607.5</v>
      </c>
      <c r="O246" s="17">
        <f t="shared" si="6"/>
        <v>40755</v>
      </c>
    </row>
    <row r="247" hidden="1">
      <c r="A247" s="9" t="s">
        <v>19</v>
      </c>
      <c r="B247" s="9" t="s">
        <v>20</v>
      </c>
      <c r="C247" s="38" t="s">
        <v>21</v>
      </c>
      <c r="D247" s="33"/>
      <c r="E247" s="33"/>
      <c r="F247" s="33"/>
      <c r="G247" s="13"/>
      <c r="H247" s="27" t="s">
        <v>50</v>
      </c>
      <c r="I247" s="24">
        <v>34800.0</v>
      </c>
      <c r="J247" s="16">
        <f t="shared" si="2"/>
        <v>52200</v>
      </c>
      <c r="K247" s="16">
        <f t="shared" ref="K247:L247" si="249">I247*1.3</f>
        <v>45240</v>
      </c>
      <c r="L247" s="16">
        <f t="shared" si="249"/>
        <v>67860</v>
      </c>
      <c r="M247" s="17">
        <f t="shared" si="4"/>
        <v>41760</v>
      </c>
      <c r="N247" s="17">
        <f t="shared" si="5"/>
        <v>40020</v>
      </c>
      <c r="O247" s="17">
        <f t="shared" si="6"/>
        <v>38280</v>
      </c>
    </row>
    <row r="248" hidden="1">
      <c r="A248" s="9" t="s">
        <v>19</v>
      </c>
      <c r="B248" s="9" t="s">
        <v>20</v>
      </c>
      <c r="C248" s="38" t="s">
        <v>21</v>
      </c>
      <c r="D248" s="33"/>
      <c r="E248" s="33"/>
      <c r="F248" s="33"/>
      <c r="G248" s="13"/>
      <c r="H248" s="27" t="s">
        <v>51</v>
      </c>
      <c r="I248" s="24">
        <v>36050.0</v>
      </c>
      <c r="J248" s="16">
        <f t="shared" si="2"/>
        <v>54075</v>
      </c>
      <c r="K248" s="16">
        <f t="shared" ref="K248:L248" si="250">I248*1.3</f>
        <v>46865</v>
      </c>
      <c r="L248" s="16">
        <f t="shared" si="250"/>
        <v>70297.5</v>
      </c>
      <c r="M248" s="17">
        <f t="shared" si="4"/>
        <v>43260</v>
      </c>
      <c r="N248" s="17">
        <f t="shared" si="5"/>
        <v>41457.5</v>
      </c>
      <c r="O248" s="17">
        <f t="shared" si="6"/>
        <v>39655</v>
      </c>
    </row>
    <row r="249" hidden="1">
      <c r="A249" s="9" t="s">
        <v>19</v>
      </c>
      <c r="B249" s="9" t="s">
        <v>20</v>
      </c>
      <c r="C249" s="38" t="s">
        <v>21</v>
      </c>
      <c r="D249" s="33"/>
      <c r="E249" s="33"/>
      <c r="F249" s="33"/>
      <c r="G249" s="13"/>
      <c r="H249" s="27" t="s">
        <v>30</v>
      </c>
      <c r="I249" s="24">
        <v>34800.0</v>
      </c>
      <c r="J249" s="16">
        <f t="shared" si="2"/>
        <v>52200</v>
      </c>
      <c r="K249" s="16">
        <f t="shared" ref="K249:L249" si="251">I249*1.3</f>
        <v>45240</v>
      </c>
      <c r="L249" s="16">
        <f t="shared" si="251"/>
        <v>67860</v>
      </c>
      <c r="M249" s="17">
        <f t="shared" si="4"/>
        <v>41760</v>
      </c>
      <c r="N249" s="17">
        <f t="shared" si="5"/>
        <v>40020</v>
      </c>
      <c r="O249" s="17">
        <f t="shared" si="6"/>
        <v>38280</v>
      </c>
    </row>
    <row r="250" hidden="1">
      <c r="A250" s="9" t="s">
        <v>19</v>
      </c>
      <c r="B250" s="9" t="s">
        <v>20</v>
      </c>
      <c r="C250" s="38" t="s">
        <v>21</v>
      </c>
      <c r="D250" s="33"/>
      <c r="E250" s="33"/>
      <c r="F250" s="33"/>
      <c r="G250" s="13"/>
      <c r="H250" s="27" t="s">
        <v>31</v>
      </c>
      <c r="I250" s="24">
        <v>35700.0</v>
      </c>
      <c r="J250" s="16">
        <f t="shared" si="2"/>
        <v>53550</v>
      </c>
      <c r="K250" s="16">
        <f t="shared" ref="K250:L250" si="252">I250*1.3</f>
        <v>46410</v>
      </c>
      <c r="L250" s="16">
        <f t="shared" si="252"/>
        <v>69615</v>
      </c>
      <c r="M250" s="17">
        <f t="shared" si="4"/>
        <v>42840</v>
      </c>
      <c r="N250" s="17">
        <f t="shared" si="5"/>
        <v>41055</v>
      </c>
      <c r="O250" s="17">
        <f t="shared" si="6"/>
        <v>39270</v>
      </c>
    </row>
    <row r="251" hidden="1">
      <c r="A251" s="9" t="s">
        <v>19</v>
      </c>
      <c r="B251" s="9" t="s">
        <v>20</v>
      </c>
      <c r="C251" s="38" t="s">
        <v>21</v>
      </c>
      <c r="D251" s="33"/>
      <c r="E251" s="33"/>
      <c r="F251" s="33"/>
      <c r="G251" s="13"/>
      <c r="H251" s="27" t="s">
        <v>32</v>
      </c>
      <c r="I251" s="24">
        <v>37150.0</v>
      </c>
      <c r="J251" s="16">
        <f t="shared" si="2"/>
        <v>55725</v>
      </c>
      <c r="K251" s="16">
        <f t="shared" ref="K251:L251" si="253">I251*1.3</f>
        <v>48295</v>
      </c>
      <c r="L251" s="16">
        <f t="shared" si="253"/>
        <v>72442.5</v>
      </c>
      <c r="M251" s="17">
        <f t="shared" si="4"/>
        <v>44580</v>
      </c>
      <c r="N251" s="17">
        <f t="shared" si="5"/>
        <v>42722.5</v>
      </c>
      <c r="O251" s="17">
        <f t="shared" si="6"/>
        <v>40865</v>
      </c>
    </row>
    <row r="252" hidden="1">
      <c r="A252" s="9" t="s">
        <v>19</v>
      </c>
      <c r="B252" s="9" t="s">
        <v>20</v>
      </c>
      <c r="C252" s="38" t="s">
        <v>21</v>
      </c>
      <c r="D252" s="33"/>
      <c r="E252" s="33"/>
      <c r="F252" s="33"/>
      <c r="G252" s="13"/>
      <c r="H252" s="27" t="s">
        <v>33</v>
      </c>
      <c r="I252" s="24">
        <v>37950.0</v>
      </c>
      <c r="J252" s="16">
        <f t="shared" si="2"/>
        <v>56925</v>
      </c>
      <c r="K252" s="16">
        <f t="shared" ref="K252:L252" si="254">I252*1.3</f>
        <v>49335</v>
      </c>
      <c r="L252" s="16">
        <f t="shared" si="254"/>
        <v>74002.5</v>
      </c>
      <c r="M252" s="17">
        <f t="shared" si="4"/>
        <v>45540</v>
      </c>
      <c r="N252" s="17">
        <f t="shared" si="5"/>
        <v>43642.5</v>
      </c>
      <c r="O252" s="17">
        <f t="shared" si="6"/>
        <v>41745</v>
      </c>
    </row>
    <row r="253" hidden="1">
      <c r="A253" s="9" t="s">
        <v>19</v>
      </c>
      <c r="B253" s="9" t="s">
        <v>20</v>
      </c>
      <c r="C253" s="38" t="s">
        <v>21</v>
      </c>
      <c r="D253" s="33"/>
      <c r="E253" s="33"/>
      <c r="F253" s="33"/>
      <c r="G253" s="13"/>
      <c r="H253" s="27" t="s">
        <v>52</v>
      </c>
      <c r="I253" s="24">
        <v>35700.0</v>
      </c>
      <c r="J253" s="16">
        <f t="shared" si="2"/>
        <v>53550</v>
      </c>
      <c r="K253" s="16">
        <f t="shared" ref="K253:L253" si="255">I253*1.3</f>
        <v>46410</v>
      </c>
      <c r="L253" s="16">
        <f t="shared" si="255"/>
        <v>69615</v>
      </c>
      <c r="M253" s="17">
        <f t="shared" si="4"/>
        <v>42840</v>
      </c>
      <c r="N253" s="17">
        <f t="shared" si="5"/>
        <v>41055</v>
      </c>
      <c r="O253" s="17">
        <f t="shared" si="6"/>
        <v>39270</v>
      </c>
    </row>
    <row r="254" hidden="1">
      <c r="A254" s="9" t="s">
        <v>19</v>
      </c>
      <c r="B254" s="9" t="s">
        <v>20</v>
      </c>
      <c r="C254" s="38" t="s">
        <v>21</v>
      </c>
      <c r="D254" s="33"/>
      <c r="E254" s="33"/>
      <c r="F254" s="33"/>
      <c r="G254" s="13"/>
      <c r="H254" s="27" t="s">
        <v>53</v>
      </c>
      <c r="I254" s="24">
        <v>36950.0</v>
      </c>
      <c r="J254" s="16">
        <f t="shared" si="2"/>
        <v>55425</v>
      </c>
      <c r="K254" s="16">
        <f t="shared" ref="K254:L254" si="256">I254*1.3</f>
        <v>48035</v>
      </c>
      <c r="L254" s="16">
        <f t="shared" si="256"/>
        <v>72052.5</v>
      </c>
      <c r="M254" s="17">
        <f t="shared" si="4"/>
        <v>44340</v>
      </c>
      <c r="N254" s="17">
        <f t="shared" si="5"/>
        <v>42492.5</v>
      </c>
      <c r="O254" s="17">
        <f t="shared" si="6"/>
        <v>40645</v>
      </c>
    </row>
    <row r="255" hidden="1">
      <c r="A255" s="9" t="s">
        <v>19</v>
      </c>
      <c r="B255" s="9" t="s">
        <v>20</v>
      </c>
      <c r="C255" s="38" t="s">
        <v>21</v>
      </c>
      <c r="D255" s="33"/>
      <c r="E255" s="33"/>
      <c r="F255" s="33"/>
      <c r="G255" s="13"/>
      <c r="H255" s="27" t="s">
        <v>35</v>
      </c>
      <c r="I255" s="24">
        <v>36250.0</v>
      </c>
      <c r="J255" s="16">
        <f t="shared" si="2"/>
        <v>54375</v>
      </c>
      <c r="K255" s="16">
        <f t="shared" ref="K255:L255" si="257">I255*1.3</f>
        <v>47125</v>
      </c>
      <c r="L255" s="16">
        <f t="shared" si="257"/>
        <v>70687.5</v>
      </c>
      <c r="M255" s="17">
        <f t="shared" si="4"/>
        <v>43500</v>
      </c>
      <c r="N255" s="17">
        <f t="shared" si="5"/>
        <v>41687.5</v>
      </c>
      <c r="O255" s="17">
        <f t="shared" si="6"/>
        <v>39875</v>
      </c>
    </row>
    <row r="256" hidden="1">
      <c r="A256" s="9" t="s">
        <v>19</v>
      </c>
      <c r="B256" s="9" t="s">
        <v>20</v>
      </c>
      <c r="C256" s="38" t="s">
        <v>21</v>
      </c>
      <c r="D256" s="33"/>
      <c r="E256" s="33"/>
      <c r="F256" s="33"/>
      <c r="G256" s="13"/>
      <c r="H256" s="27" t="s">
        <v>36</v>
      </c>
      <c r="I256" s="24">
        <v>37150.0</v>
      </c>
      <c r="J256" s="16">
        <f t="shared" si="2"/>
        <v>55725</v>
      </c>
      <c r="K256" s="16">
        <f t="shared" ref="K256:L256" si="258">I256*1.3</f>
        <v>48295</v>
      </c>
      <c r="L256" s="16">
        <f t="shared" si="258"/>
        <v>72442.5</v>
      </c>
      <c r="M256" s="17">
        <f t="shared" si="4"/>
        <v>44580</v>
      </c>
      <c r="N256" s="17">
        <f t="shared" si="5"/>
        <v>42722.5</v>
      </c>
      <c r="O256" s="17">
        <f t="shared" si="6"/>
        <v>40865</v>
      </c>
    </row>
    <row r="257" hidden="1">
      <c r="A257" s="9" t="s">
        <v>19</v>
      </c>
      <c r="B257" s="9" t="s">
        <v>20</v>
      </c>
      <c r="C257" s="38" t="s">
        <v>21</v>
      </c>
      <c r="D257" s="33"/>
      <c r="E257" s="33"/>
      <c r="F257" s="33"/>
      <c r="G257" s="13"/>
      <c r="H257" s="27" t="s">
        <v>37</v>
      </c>
      <c r="I257" s="24">
        <v>38600.0</v>
      </c>
      <c r="J257" s="16">
        <f t="shared" si="2"/>
        <v>57900</v>
      </c>
      <c r="K257" s="16">
        <f t="shared" ref="K257:L257" si="259">I257*1.3</f>
        <v>50180</v>
      </c>
      <c r="L257" s="16">
        <f t="shared" si="259"/>
        <v>75270</v>
      </c>
      <c r="M257" s="17">
        <f t="shared" si="4"/>
        <v>46320</v>
      </c>
      <c r="N257" s="17">
        <f t="shared" si="5"/>
        <v>44390</v>
      </c>
      <c r="O257" s="17">
        <f t="shared" si="6"/>
        <v>42460</v>
      </c>
    </row>
    <row r="258" hidden="1">
      <c r="A258" s="9" t="s">
        <v>19</v>
      </c>
      <c r="B258" s="9" t="s">
        <v>20</v>
      </c>
      <c r="C258" s="38" t="s">
        <v>21</v>
      </c>
      <c r="D258" s="33"/>
      <c r="E258" s="33"/>
      <c r="F258" s="33"/>
      <c r="G258" s="13"/>
      <c r="H258" s="27" t="s">
        <v>38</v>
      </c>
      <c r="I258" s="24">
        <v>39400.0</v>
      </c>
      <c r="J258" s="16">
        <f t="shared" si="2"/>
        <v>59100</v>
      </c>
      <c r="K258" s="16">
        <f t="shared" ref="K258:L258" si="260">I258*1.3</f>
        <v>51220</v>
      </c>
      <c r="L258" s="16">
        <f t="shared" si="260"/>
        <v>76830</v>
      </c>
      <c r="M258" s="17">
        <f t="shared" si="4"/>
        <v>47280</v>
      </c>
      <c r="N258" s="17">
        <f t="shared" si="5"/>
        <v>45310</v>
      </c>
      <c r="O258" s="17">
        <f t="shared" si="6"/>
        <v>43340</v>
      </c>
    </row>
    <row r="259" hidden="1">
      <c r="A259" s="9" t="s">
        <v>19</v>
      </c>
      <c r="B259" s="9" t="s">
        <v>20</v>
      </c>
      <c r="C259" s="38" t="s">
        <v>21</v>
      </c>
      <c r="D259" s="33"/>
      <c r="E259" s="33"/>
      <c r="F259" s="33"/>
      <c r="G259" s="13"/>
      <c r="H259" s="27" t="s">
        <v>54</v>
      </c>
      <c r="I259" s="24">
        <v>37150.0</v>
      </c>
      <c r="J259" s="16">
        <f t="shared" si="2"/>
        <v>55725</v>
      </c>
      <c r="K259" s="16">
        <f t="shared" ref="K259:L259" si="261">I259*1.3</f>
        <v>48295</v>
      </c>
      <c r="L259" s="16">
        <f t="shared" si="261"/>
        <v>72442.5</v>
      </c>
      <c r="M259" s="17">
        <f t="shared" si="4"/>
        <v>44580</v>
      </c>
      <c r="N259" s="17">
        <f t="shared" si="5"/>
        <v>42722.5</v>
      </c>
      <c r="O259" s="17">
        <f t="shared" si="6"/>
        <v>40865</v>
      </c>
    </row>
    <row r="260" hidden="1">
      <c r="A260" s="9" t="s">
        <v>19</v>
      </c>
      <c r="B260" s="9" t="s">
        <v>20</v>
      </c>
      <c r="C260" s="38" t="s">
        <v>21</v>
      </c>
      <c r="D260" s="33"/>
      <c r="E260" s="34"/>
      <c r="F260" s="34"/>
      <c r="G260" s="13"/>
      <c r="H260" s="27" t="s">
        <v>55</v>
      </c>
      <c r="I260" s="24">
        <v>38400.0</v>
      </c>
      <c r="J260" s="16">
        <f t="shared" si="2"/>
        <v>57600</v>
      </c>
      <c r="K260" s="16">
        <f t="shared" ref="K260:L260" si="262">I260*1.3</f>
        <v>49920</v>
      </c>
      <c r="L260" s="16">
        <f t="shared" si="262"/>
        <v>74880</v>
      </c>
      <c r="M260" s="17">
        <f t="shared" si="4"/>
        <v>46080</v>
      </c>
      <c r="N260" s="17">
        <f t="shared" si="5"/>
        <v>44160</v>
      </c>
      <c r="O260" s="17">
        <f t="shared" si="6"/>
        <v>42240</v>
      </c>
    </row>
    <row r="261" hidden="1">
      <c r="A261" s="9" t="s">
        <v>19</v>
      </c>
      <c r="B261" s="9" t="s">
        <v>20</v>
      </c>
      <c r="C261" s="38" t="s">
        <v>21</v>
      </c>
      <c r="D261" s="33"/>
      <c r="E261" s="30" t="s">
        <v>93</v>
      </c>
      <c r="F261" s="35" t="s">
        <v>94</v>
      </c>
      <c r="G261" s="13"/>
      <c r="H261" s="23" t="s">
        <v>25</v>
      </c>
      <c r="I261" s="24">
        <v>36600.0</v>
      </c>
      <c r="J261" s="16">
        <f t="shared" si="2"/>
        <v>54900</v>
      </c>
      <c r="K261" s="16">
        <f t="shared" ref="K261:L261" si="263">I261*1.3</f>
        <v>47580</v>
      </c>
      <c r="L261" s="16">
        <f t="shared" si="263"/>
        <v>71370</v>
      </c>
      <c r="M261" s="17">
        <f t="shared" si="4"/>
        <v>43920</v>
      </c>
      <c r="N261" s="17">
        <f t="shared" si="5"/>
        <v>42090</v>
      </c>
      <c r="O261" s="17">
        <f t="shared" si="6"/>
        <v>40260</v>
      </c>
    </row>
    <row r="262" hidden="1">
      <c r="A262" s="9" t="s">
        <v>19</v>
      </c>
      <c r="B262" s="9" t="s">
        <v>20</v>
      </c>
      <c r="C262" s="38" t="s">
        <v>21</v>
      </c>
      <c r="D262" s="33"/>
      <c r="E262" s="33"/>
      <c r="F262" s="33"/>
      <c r="G262" s="13"/>
      <c r="H262" s="27" t="s">
        <v>27</v>
      </c>
      <c r="I262" s="24">
        <v>37500.0</v>
      </c>
      <c r="J262" s="16">
        <f t="shared" si="2"/>
        <v>56250</v>
      </c>
      <c r="K262" s="16">
        <f t="shared" ref="K262:L262" si="264">I262*1.3</f>
        <v>48750</v>
      </c>
      <c r="L262" s="16">
        <f t="shared" si="264"/>
        <v>73125</v>
      </c>
      <c r="M262" s="17">
        <f t="shared" si="4"/>
        <v>45000</v>
      </c>
      <c r="N262" s="17">
        <f t="shared" si="5"/>
        <v>43125</v>
      </c>
      <c r="O262" s="17">
        <f t="shared" si="6"/>
        <v>41250</v>
      </c>
    </row>
    <row r="263" hidden="1">
      <c r="A263" s="9" t="s">
        <v>19</v>
      </c>
      <c r="B263" s="9" t="s">
        <v>20</v>
      </c>
      <c r="C263" s="38" t="s">
        <v>21</v>
      </c>
      <c r="D263" s="33"/>
      <c r="E263" s="33"/>
      <c r="F263" s="33"/>
      <c r="G263" s="13"/>
      <c r="H263" s="27" t="s">
        <v>28</v>
      </c>
      <c r="I263" s="24">
        <v>38950.0</v>
      </c>
      <c r="J263" s="16">
        <f t="shared" si="2"/>
        <v>58425</v>
      </c>
      <c r="K263" s="16">
        <f t="shared" ref="K263:L263" si="265">I263*1.3</f>
        <v>50635</v>
      </c>
      <c r="L263" s="16">
        <f t="shared" si="265"/>
        <v>75952.5</v>
      </c>
      <c r="M263" s="17">
        <f t="shared" si="4"/>
        <v>46740</v>
      </c>
      <c r="N263" s="17">
        <f t="shared" si="5"/>
        <v>44792.5</v>
      </c>
      <c r="O263" s="17">
        <f t="shared" si="6"/>
        <v>42845</v>
      </c>
    </row>
    <row r="264" hidden="1">
      <c r="A264" s="9" t="s">
        <v>19</v>
      </c>
      <c r="B264" s="9" t="s">
        <v>20</v>
      </c>
      <c r="C264" s="38" t="s">
        <v>21</v>
      </c>
      <c r="D264" s="33"/>
      <c r="E264" s="33"/>
      <c r="F264" s="33"/>
      <c r="G264" s="13"/>
      <c r="H264" s="27" t="s">
        <v>29</v>
      </c>
      <c r="I264" s="24">
        <v>39750.0</v>
      </c>
      <c r="J264" s="16">
        <f t="shared" si="2"/>
        <v>59625</v>
      </c>
      <c r="K264" s="16">
        <f t="shared" ref="K264:L264" si="266">I264*1.3</f>
        <v>51675</v>
      </c>
      <c r="L264" s="16">
        <f t="shared" si="266"/>
        <v>77512.5</v>
      </c>
      <c r="M264" s="17">
        <f t="shared" si="4"/>
        <v>47700</v>
      </c>
      <c r="N264" s="17">
        <f t="shared" si="5"/>
        <v>45712.5</v>
      </c>
      <c r="O264" s="17">
        <f t="shared" si="6"/>
        <v>43725</v>
      </c>
    </row>
    <row r="265" hidden="1">
      <c r="A265" s="9" t="s">
        <v>19</v>
      </c>
      <c r="B265" s="9" t="s">
        <v>20</v>
      </c>
      <c r="C265" s="38" t="s">
        <v>21</v>
      </c>
      <c r="D265" s="33"/>
      <c r="E265" s="33"/>
      <c r="F265" s="33"/>
      <c r="G265" s="13"/>
      <c r="H265" s="27" t="s">
        <v>50</v>
      </c>
      <c r="I265" s="24">
        <v>37500.0</v>
      </c>
      <c r="J265" s="16">
        <f t="shared" si="2"/>
        <v>56250</v>
      </c>
      <c r="K265" s="16">
        <f t="shared" ref="K265:L265" si="267">I265*1.3</f>
        <v>48750</v>
      </c>
      <c r="L265" s="16">
        <f t="shared" si="267"/>
        <v>73125</v>
      </c>
      <c r="M265" s="17">
        <f t="shared" si="4"/>
        <v>45000</v>
      </c>
      <c r="N265" s="17">
        <f t="shared" si="5"/>
        <v>43125</v>
      </c>
      <c r="O265" s="17">
        <f t="shared" si="6"/>
        <v>41250</v>
      </c>
    </row>
    <row r="266" hidden="1">
      <c r="A266" s="9" t="s">
        <v>19</v>
      </c>
      <c r="B266" s="9" t="s">
        <v>20</v>
      </c>
      <c r="C266" s="38" t="s">
        <v>21</v>
      </c>
      <c r="D266" s="33"/>
      <c r="E266" s="33"/>
      <c r="F266" s="33"/>
      <c r="G266" s="13"/>
      <c r="H266" s="27" t="s">
        <v>51</v>
      </c>
      <c r="I266" s="24">
        <v>38800.0</v>
      </c>
      <c r="J266" s="16">
        <f t="shared" si="2"/>
        <v>58200</v>
      </c>
      <c r="K266" s="16">
        <f t="shared" ref="K266:L266" si="268">I266*1.3</f>
        <v>50440</v>
      </c>
      <c r="L266" s="16">
        <f t="shared" si="268"/>
        <v>75660</v>
      </c>
      <c r="M266" s="17">
        <f t="shared" si="4"/>
        <v>46560</v>
      </c>
      <c r="N266" s="17">
        <f t="shared" si="5"/>
        <v>44620</v>
      </c>
      <c r="O266" s="17">
        <f t="shared" si="6"/>
        <v>42680</v>
      </c>
    </row>
    <row r="267" hidden="1">
      <c r="A267" s="9" t="s">
        <v>19</v>
      </c>
      <c r="B267" s="9" t="s">
        <v>20</v>
      </c>
      <c r="C267" s="38" t="s">
        <v>21</v>
      </c>
      <c r="D267" s="33"/>
      <c r="E267" s="33"/>
      <c r="F267" s="33"/>
      <c r="G267" s="13"/>
      <c r="H267" s="27" t="s">
        <v>30</v>
      </c>
      <c r="I267" s="24">
        <v>37500.0</v>
      </c>
      <c r="J267" s="16">
        <f t="shared" si="2"/>
        <v>56250</v>
      </c>
      <c r="K267" s="16">
        <f t="shared" ref="K267:L267" si="269">I267*1.3</f>
        <v>48750</v>
      </c>
      <c r="L267" s="16">
        <f t="shared" si="269"/>
        <v>73125</v>
      </c>
      <c r="M267" s="17">
        <f t="shared" si="4"/>
        <v>45000</v>
      </c>
      <c r="N267" s="17">
        <f t="shared" si="5"/>
        <v>43125</v>
      </c>
      <c r="O267" s="17">
        <f t="shared" si="6"/>
        <v>41250</v>
      </c>
    </row>
    <row r="268" hidden="1">
      <c r="A268" s="9" t="s">
        <v>19</v>
      </c>
      <c r="B268" s="9" t="s">
        <v>20</v>
      </c>
      <c r="C268" s="38" t="s">
        <v>21</v>
      </c>
      <c r="D268" s="33"/>
      <c r="E268" s="33"/>
      <c r="F268" s="33"/>
      <c r="G268" s="13"/>
      <c r="H268" s="27" t="s">
        <v>31</v>
      </c>
      <c r="I268" s="24">
        <v>38400.0</v>
      </c>
      <c r="J268" s="16">
        <f t="shared" si="2"/>
        <v>57600</v>
      </c>
      <c r="K268" s="16">
        <f t="shared" ref="K268:L268" si="270">I268*1.3</f>
        <v>49920</v>
      </c>
      <c r="L268" s="16">
        <f t="shared" si="270"/>
        <v>74880</v>
      </c>
      <c r="M268" s="17">
        <f t="shared" si="4"/>
        <v>46080</v>
      </c>
      <c r="N268" s="17">
        <f t="shared" si="5"/>
        <v>44160</v>
      </c>
      <c r="O268" s="17">
        <f t="shared" si="6"/>
        <v>42240</v>
      </c>
    </row>
    <row r="269" hidden="1">
      <c r="A269" s="9" t="s">
        <v>19</v>
      </c>
      <c r="B269" s="9" t="s">
        <v>20</v>
      </c>
      <c r="C269" s="38" t="s">
        <v>21</v>
      </c>
      <c r="D269" s="33"/>
      <c r="E269" s="33"/>
      <c r="F269" s="33"/>
      <c r="G269" s="13"/>
      <c r="H269" s="27" t="s">
        <v>32</v>
      </c>
      <c r="I269" s="24">
        <v>39850.0</v>
      </c>
      <c r="J269" s="16">
        <f t="shared" si="2"/>
        <v>59775</v>
      </c>
      <c r="K269" s="16">
        <f t="shared" ref="K269:L269" si="271">I269*1.3</f>
        <v>51805</v>
      </c>
      <c r="L269" s="16">
        <f t="shared" si="271"/>
        <v>77707.5</v>
      </c>
      <c r="M269" s="17">
        <f t="shared" si="4"/>
        <v>47820</v>
      </c>
      <c r="N269" s="17">
        <f t="shared" si="5"/>
        <v>45827.5</v>
      </c>
      <c r="O269" s="17">
        <f t="shared" si="6"/>
        <v>43835</v>
      </c>
    </row>
    <row r="270" hidden="1">
      <c r="A270" s="9" t="s">
        <v>19</v>
      </c>
      <c r="B270" s="9" t="s">
        <v>20</v>
      </c>
      <c r="C270" s="38" t="s">
        <v>21</v>
      </c>
      <c r="D270" s="33"/>
      <c r="E270" s="33"/>
      <c r="F270" s="33"/>
      <c r="G270" s="13"/>
      <c r="H270" s="27" t="s">
        <v>33</v>
      </c>
      <c r="I270" s="24">
        <v>40700.0</v>
      </c>
      <c r="J270" s="16">
        <f t="shared" si="2"/>
        <v>61050</v>
      </c>
      <c r="K270" s="16">
        <f t="shared" ref="K270:L270" si="272">I270*1.3</f>
        <v>52910</v>
      </c>
      <c r="L270" s="16">
        <f t="shared" si="272"/>
        <v>79365</v>
      </c>
      <c r="M270" s="17">
        <f t="shared" si="4"/>
        <v>48840</v>
      </c>
      <c r="N270" s="17">
        <f t="shared" si="5"/>
        <v>46805</v>
      </c>
      <c r="O270" s="17">
        <f t="shared" si="6"/>
        <v>44770</v>
      </c>
    </row>
    <row r="271" hidden="1">
      <c r="A271" s="9" t="s">
        <v>19</v>
      </c>
      <c r="B271" s="9" t="s">
        <v>20</v>
      </c>
      <c r="C271" s="38" t="s">
        <v>21</v>
      </c>
      <c r="D271" s="33"/>
      <c r="E271" s="33"/>
      <c r="F271" s="33"/>
      <c r="G271" s="13"/>
      <c r="H271" s="27" t="s">
        <v>52</v>
      </c>
      <c r="I271" s="24">
        <v>38400.0</v>
      </c>
      <c r="J271" s="16">
        <f t="shared" si="2"/>
        <v>57600</v>
      </c>
      <c r="K271" s="16">
        <f t="shared" ref="K271:L271" si="273">I271*1.3</f>
        <v>49920</v>
      </c>
      <c r="L271" s="16">
        <f t="shared" si="273"/>
        <v>74880</v>
      </c>
      <c r="M271" s="17">
        <f t="shared" si="4"/>
        <v>46080</v>
      </c>
      <c r="N271" s="17">
        <f t="shared" si="5"/>
        <v>44160</v>
      </c>
      <c r="O271" s="17">
        <f t="shared" si="6"/>
        <v>42240</v>
      </c>
    </row>
    <row r="272" hidden="1">
      <c r="A272" s="9" t="s">
        <v>19</v>
      </c>
      <c r="B272" s="9" t="s">
        <v>20</v>
      </c>
      <c r="C272" s="38" t="s">
        <v>21</v>
      </c>
      <c r="D272" s="33"/>
      <c r="E272" s="33"/>
      <c r="F272" s="33"/>
      <c r="G272" s="13"/>
      <c r="H272" s="27" t="s">
        <v>53</v>
      </c>
      <c r="I272" s="24">
        <v>39700.0</v>
      </c>
      <c r="J272" s="16">
        <f t="shared" si="2"/>
        <v>59550</v>
      </c>
      <c r="K272" s="16">
        <f t="shared" ref="K272:L272" si="274">I272*1.3</f>
        <v>51610</v>
      </c>
      <c r="L272" s="16">
        <f t="shared" si="274"/>
        <v>77415</v>
      </c>
      <c r="M272" s="17">
        <f t="shared" si="4"/>
        <v>47640</v>
      </c>
      <c r="N272" s="17">
        <f t="shared" si="5"/>
        <v>45655</v>
      </c>
      <c r="O272" s="17">
        <f t="shared" si="6"/>
        <v>43670</v>
      </c>
    </row>
    <row r="273" hidden="1">
      <c r="A273" s="9" t="s">
        <v>19</v>
      </c>
      <c r="B273" s="9" t="s">
        <v>20</v>
      </c>
      <c r="C273" s="38" t="s">
        <v>21</v>
      </c>
      <c r="D273" s="33"/>
      <c r="E273" s="33"/>
      <c r="F273" s="33"/>
      <c r="G273" s="13"/>
      <c r="H273" s="27" t="s">
        <v>35</v>
      </c>
      <c r="I273" s="24">
        <v>38950.0</v>
      </c>
      <c r="J273" s="16">
        <f t="shared" si="2"/>
        <v>58425</v>
      </c>
      <c r="K273" s="16">
        <f t="shared" ref="K273:L273" si="275">I273*1.3</f>
        <v>50635</v>
      </c>
      <c r="L273" s="16">
        <f t="shared" si="275"/>
        <v>75952.5</v>
      </c>
      <c r="M273" s="17">
        <f t="shared" si="4"/>
        <v>46740</v>
      </c>
      <c r="N273" s="17">
        <f t="shared" si="5"/>
        <v>44792.5</v>
      </c>
      <c r="O273" s="17">
        <f t="shared" si="6"/>
        <v>42845</v>
      </c>
    </row>
    <row r="274" hidden="1">
      <c r="A274" s="9" t="s">
        <v>19</v>
      </c>
      <c r="B274" s="9" t="s">
        <v>20</v>
      </c>
      <c r="C274" s="38" t="s">
        <v>21</v>
      </c>
      <c r="D274" s="33"/>
      <c r="E274" s="33"/>
      <c r="F274" s="33"/>
      <c r="G274" s="13"/>
      <c r="H274" s="27" t="s">
        <v>36</v>
      </c>
      <c r="I274" s="24">
        <v>39850.0</v>
      </c>
      <c r="J274" s="16">
        <f t="shared" si="2"/>
        <v>59775</v>
      </c>
      <c r="K274" s="16">
        <f t="shared" ref="K274:L274" si="276">I274*1.3</f>
        <v>51805</v>
      </c>
      <c r="L274" s="16">
        <f t="shared" si="276"/>
        <v>77707.5</v>
      </c>
      <c r="M274" s="17">
        <f t="shared" si="4"/>
        <v>47820</v>
      </c>
      <c r="N274" s="17">
        <f t="shared" si="5"/>
        <v>45827.5</v>
      </c>
      <c r="O274" s="17">
        <f t="shared" si="6"/>
        <v>43835</v>
      </c>
    </row>
    <row r="275" hidden="1">
      <c r="A275" s="9" t="s">
        <v>19</v>
      </c>
      <c r="B275" s="9" t="s">
        <v>20</v>
      </c>
      <c r="C275" s="38" t="s">
        <v>21</v>
      </c>
      <c r="D275" s="33"/>
      <c r="E275" s="33"/>
      <c r="F275" s="33"/>
      <c r="G275" s="13"/>
      <c r="H275" s="27" t="s">
        <v>37</v>
      </c>
      <c r="I275" s="24">
        <v>41300.0</v>
      </c>
      <c r="J275" s="16">
        <f t="shared" si="2"/>
        <v>61950</v>
      </c>
      <c r="K275" s="16">
        <f t="shared" ref="K275:L275" si="277">I275*1.3</f>
        <v>53690</v>
      </c>
      <c r="L275" s="16">
        <f t="shared" si="277"/>
        <v>80535</v>
      </c>
      <c r="M275" s="17">
        <f t="shared" si="4"/>
        <v>49560</v>
      </c>
      <c r="N275" s="17">
        <f t="shared" si="5"/>
        <v>47495</v>
      </c>
      <c r="O275" s="17">
        <f t="shared" si="6"/>
        <v>45430</v>
      </c>
    </row>
    <row r="276" hidden="1">
      <c r="A276" s="9" t="s">
        <v>19</v>
      </c>
      <c r="B276" s="9" t="s">
        <v>20</v>
      </c>
      <c r="C276" s="38" t="s">
        <v>21</v>
      </c>
      <c r="D276" s="33"/>
      <c r="E276" s="33"/>
      <c r="F276" s="33"/>
      <c r="G276" s="13"/>
      <c r="H276" s="27" t="s">
        <v>38</v>
      </c>
      <c r="I276" s="24">
        <v>42100.0</v>
      </c>
      <c r="J276" s="16">
        <f t="shared" si="2"/>
        <v>63150</v>
      </c>
      <c r="K276" s="16">
        <f t="shared" ref="K276:L276" si="278">I276*1.3</f>
        <v>54730</v>
      </c>
      <c r="L276" s="16">
        <f t="shared" si="278"/>
        <v>82095</v>
      </c>
      <c r="M276" s="17">
        <f t="shared" si="4"/>
        <v>50520</v>
      </c>
      <c r="N276" s="17">
        <f t="shared" si="5"/>
        <v>48415</v>
      </c>
      <c r="O276" s="17">
        <f t="shared" si="6"/>
        <v>46310</v>
      </c>
    </row>
    <row r="277" hidden="1">
      <c r="A277" s="9" t="s">
        <v>19</v>
      </c>
      <c r="B277" s="9" t="s">
        <v>20</v>
      </c>
      <c r="C277" s="38" t="s">
        <v>21</v>
      </c>
      <c r="D277" s="33"/>
      <c r="E277" s="33"/>
      <c r="F277" s="33"/>
      <c r="G277" s="13"/>
      <c r="H277" s="27" t="s">
        <v>54</v>
      </c>
      <c r="I277" s="24">
        <v>39850.0</v>
      </c>
      <c r="J277" s="16">
        <f t="shared" si="2"/>
        <v>59775</v>
      </c>
      <c r="K277" s="16">
        <f t="shared" ref="K277:L277" si="279">I277*1.3</f>
        <v>51805</v>
      </c>
      <c r="L277" s="16">
        <f t="shared" si="279"/>
        <v>77707.5</v>
      </c>
      <c r="M277" s="17">
        <f t="shared" si="4"/>
        <v>47820</v>
      </c>
      <c r="N277" s="17">
        <f t="shared" si="5"/>
        <v>45827.5</v>
      </c>
      <c r="O277" s="17">
        <f t="shared" si="6"/>
        <v>43835</v>
      </c>
    </row>
    <row r="278" hidden="1">
      <c r="A278" s="9" t="s">
        <v>19</v>
      </c>
      <c r="B278" s="9" t="s">
        <v>20</v>
      </c>
      <c r="C278" s="38" t="s">
        <v>21</v>
      </c>
      <c r="D278" s="33"/>
      <c r="E278" s="34"/>
      <c r="F278" s="34"/>
      <c r="G278" s="13"/>
      <c r="H278" s="27" t="s">
        <v>55</v>
      </c>
      <c r="I278" s="24">
        <v>41150.0</v>
      </c>
      <c r="J278" s="16">
        <f t="shared" si="2"/>
        <v>61725</v>
      </c>
      <c r="K278" s="16">
        <f t="shared" ref="K278:L278" si="280">I278*1.3</f>
        <v>53495</v>
      </c>
      <c r="L278" s="16">
        <f t="shared" si="280"/>
        <v>80242.5</v>
      </c>
      <c r="M278" s="17">
        <f t="shared" si="4"/>
        <v>49380</v>
      </c>
      <c r="N278" s="17">
        <f t="shared" si="5"/>
        <v>47322.5</v>
      </c>
      <c r="O278" s="17">
        <f t="shared" si="6"/>
        <v>45265</v>
      </c>
    </row>
    <row r="279" hidden="1">
      <c r="A279" s="9" t="s">
        <v>19</v>
      </c>
      <c r="B279" s="9" t="s">
        <v>20</v>
      </c>
      <c r="C279" s="38" t="s">
        <v>41</v>
      </c>
      <c r="D279" s="33"/>
      <c r="E279" s="13"/>
      <c r="F279" s="9" t="s">
        <v>60</v>
      </c>
      <c r="G279" s="38" t="s">
        <v>43</v>
      </c>
      <c r="H279" s="13"/>
      <c r="I279" s="24">
        <v>3250.0</v>
      </c>
      <c r="J279" s="16">
        <f t="shared" si="2"/>
        <v>4875</v>
      </c>
      <c r="K279" s="16">
        <f t="shared" ref="K279:L279" si="281">I279*1.3</f>
        <v>4225</v>
      </c>
      <c r="L279" s="16">
        <f t="shared" si="281"/>
        <v>6337.5</v>
      </c>
      <c r="M279" s="17">
        <f t="shared" si="4"/>
        <v>3900</v>
      </c>
      <c r="N279" s="17">
        <f t="shared" si="5"/>
        <v>3737.5</v>
      </c>
      <c r="O279" s="17">
        <f t="shared" si="6"/>
        <v>3575</v>
      </c>
    </row>
    <row r="280" hidden="1">
      <c r="A280" s="9" t="s">
        <v>19</v>
      </c>
      <c r="B280" s="9" t="s">
        <v>20</v>
      </c>
      <c r="C280" s="38" t="s">
        <v>41</v>
      </c>
      <c r="D280" s="33"/>
      <c r="E280" s="13"/>
      <c r="F280" s="9" t="s">
        <v>95</v>
      </c>
      <c r="G280" s="38" t="s">
        <v>43</v>
      </c>
      <c r="H280" s="13"/>
      <c r="I280" s="24">
        <v>6500.0</v>
      </c>
      <c r="J280" s="16">
        <f t="shared" si="2"/>
        <v>9750</v>
      </c>
      <c r="K280" s="16">
        <f t="shared" ref="K280:L280" si="282">I280*1.3</f>
        <v>8450</v>
      </c>
      <c r="L280" s="16">
        <f t="shared" si="282"/>
        <v>12675</v>
      </c>
      <c r="M280" s="17">
        <f t="shared" si="4"/>
        <v>7800</v>
      </c>
      <c r="N280" s="17">
        <f t="shared" si="5"/>
        <v>7475</v>
      </c>
      <c r="O280" s="17">
        <f t="shared" si="6"/>
        <v>7150</v>
      </c>
    </row>
    <row r="281" hidden="1">
      <c r="A281" s="9" t="s">
        <v>19</v>
      </c>
      <c r="B281" s="9" t="s">
        <v>20</v>
      </c>
      <c r="C281" s="38" t="s">
        <v>41</v>
      </c>
      <c r="D281" s="33"/>
      <c r="E281" s="13"/>
      <c r="F281" s="9" t="s">
        <v>96</v>
      </c>
      <c r="G281" s="38" t="s">
        <v>43</v>
      </c>
      <c r="H281" s="13"/>
      <c r="I281" s="24">
        <v>7550.0</v>
      </c>
      <c r="J281" s="16">
        <f t="shared" si="2"/>
        <v>11325</v>
      </c>
      <c r="K281" s="16">
        <f t="shared" ref="K281:L281" si="283">I281*1.3</f>
        <v>9815</v>
      </c>
      <c r="L281" s="16">
        <f t="shared" si="283"/>
        <v>14722.5</v>
      </c>
      <c r="M281" s="17">
        <f t="shared" si="4"/>
        <v>9060</v>
      </c>
      <c r="N281" s="17">
        <f t="shared" si="5"/>
        <v>8682.5</v>
      </c>
      <c r="O281" s="17">
        <f t="shared" si="6"/>
        <v>8305</v>
      </c>
    </row>
    <row r="282" hidden="1">
      <c r="A282" s="9" t="s">
        <v>19</v>
      </c>
      <c r="B282" s="9" t="s">
        <v>20</v>
      </c>
      <c r="C282" s="38" t="s">
        <v>41</v>
      </c>
      <c r="D282" s="33"/>
      <c r="E282" s="13"/>
      <c r="F282" s="9" t="s">
        <v>62</v>
      </c>
      <c r="G282" s="38" t="s">
        <v>43</v>
      </c>
      <c r="H282" s="13"/>
      <c r="I282" s="24">
        <v>2200.0</v>
      </c>
      <c r="J282" s="16">
        <f t="shared" si="2"/>
        <v>3300</v>
      </c>
      <c r="K282" s="16">
        <f t="shared" ref="K282:L282" si="284">I282*1.3</f>
        <v>2860</v>
      </c>
      <c r="L282" s="16">
        <f t="shared" si="284"/>
        <v>4290</v>
      </c>
      <c r="M282" s="17">
        <f t="shared" si="4"/>
        <v>2640</v>
      </c>
      <c r="N282" s="17">
        <f t="shared" si="5"/>
        <v>2530</v>
      </c>
      <c r="O282" s="17">
        <f t="shared" si="6"/>
        <v>2420</v>
      </c>
    </row>
    <row r="283" hidden="1">
      <c r="A283" s="9" t="s">
        <v>19</v>
      </c>
      <c r="B283" s="9" t="s">
        <v>20</v>
      </c>
      <c r="C283" s="38" t="s">
        <v>41</v>
      </c>
      <c r="D283" s="33"/>
      <c r="E283" s="13"/>
      <c r="F283" s="9" t="s">
        <v>63</v>
      </c>
      <c r="G283" s="38" t="s">
        <v>43</v>
      </c>
      <c r="H283" s="13"/>
      <c r="I283" s="24">
        <v>1650.0</v>
      </c>
      <c r="J283" s="16">
        <f t="shared" si="2"/>
        <v>2475</v>
      </c>
      <c r="K283" s="16">
        <f t="shared" ref="K283:L283" si="285">I283*1.3</f>
        <v>2145</v>
      </c>
      <c r="L283" s="16">
        <f t="shared" si="285"/>
        <v>3217.5</v>
      </c>
      <c r="M283" s="17">
        <f t="shared" si="4"/>
        <v>1980</v>
      </c>
      <c r="N283" s="17">
        <f t="shared" si="5"/>
        <v>1897.5</v>
      </c>
      <c r="O283" s="17">
        <f t="shared" si="6"/>
        <v>1815</v>
      </c>
    </row>
    <row r="284" hidden="1">
      <c r="A284" s="9" t="s">
        <v>19</v>
      </c>
      <c r="B284" s="9" t="s">
        <v>20</v>
      </c>
      <c r="C284" s="38" t="s">
        <v>41</v>
      </c>
      <c r="D284" s="33"/>
      <c r="E284" s="13"/>
      <c r="F284" s="9" t="s">
        <v>64</v>
      </c>
      <c r="G284" s="38" t="s">
        <v>43</v>
      </c>
      <c r="H284" s="13"/>
      <c r="I284" s="24">
        <v>2700.0</v>
      </c>
      <c r="J284" s="16">
        <f t="shared" si="2"/>
        <v>4050</v>
      </c>
      <c r="K284" s="16">
        <f t="shared" ref="K284:L284" si="286">I284*1.3</f>
        <v>3510</v>
      </c>
      <c r="L284" s="16">
        <f t="shared" si="286"/>
        <v>5265</v>
      </c>
      <c r="M284" s="17">
        <f t="shared" si="4"/>
        <v>3240</v>
      </c>
      <c r="N284" s="17">
        <f t="shared" si="5"/>
        <v>3105</v>
      </c>
      <c r="O284" s="17">
        <f t="shared" si="6"/>
        <v>2970</v>
      </c>
    </row>
    <row r="285" hidden="1">
      <c r="A285" s="9" t="s">
        <v>19</v>
      </c>
      <c r="B285" s="9" t="s">
        <v>20</v>
      </c>
      <c r="C285" s="38" t="s">
        <v>41</v>
      </c>
      <c r="D285" s="33"/>
      <c r="E285" s="13"/>
      <c r="F285" s="9" t="s">
        <v>65</v>
      </c>
      <c r="G285" s="38" t="s">
        <v>43</v>
      </c>
      <c r="H285" s="13"/>
      <c r="I285" s="24">
        <v>3250.0</v>
      </c>
      <c r="J285" s="16">
        <f t="shared" si="2"/>
        <v>4875</v>
      </c>
      <c r="K285" s="16">
        <f t="shared" ref="K285:L285" si="287">I285*1.3</f>
        <v>4225</v>
      </c>
      <c r="L285" s="16">
        <f t="shared" si="287"/>
        <v>6337.5</v>
      </c>
      <c r="M285" s="17">
        <f t="shared" si="4"/>
        <v>3900</v>
      </c>
      <c r="N285" s="17">
        <f t="shared" si="5"/>
        <v>3737.5</v>
      </c>
      <c r="O285" s="17">
        <f t="shared" si="6"/>
        <v>3575</v>
      </c>
    </row>
    <row r="286" hidden="1">
      <c r="A286" s="9" t="s">
        <v>19</v>
      </c>
      <c r="B286" s="9" t="s">
        <v>20</v>
      </c>
      <c r="C286" s="38" t="s">
        <v>41</v>
      </c>
      <c r="D286" s="33"/>
      <c r="E286" s="13"/>
      <c r="F286" s="9" t="s">
        <v>66</v>
      </c>
      <c r="G286" s="38" t="s">
        <v>43</v>
      </c>
      <c r="H286" s="13"/>
      <c r="I286" s="24">
        <v>5400.0</v>
      </c>
      <c r="J286" s="16">
        <f t="shared" si="2"/>
        <v>8100</v>
      </c>
      <c r="K286" s="16">
        <f t="shared" ref="K286:L286" si="288">I286*1.3</f>
        <v>7020</v>
      </c>
      <c r="L286" s="16">
        <f t="shared" si="288"/>
        <v>10530</v>
      </c>
      <c r="M286" s="17">
        <f t="shared" si="4"/>
        <v>6480</v>
      </c>
      <c r="N286" s="17">
        <f t="shared" si="5"/>
        <v>6210</v>
      </c>
      <c r="O286" s="17">
        <f t="shared" si="6"/>
        <v>5940</v>
      </c>
    </row>
    <row r="287" hidden="1">
      <c r="A287" s="9" t="s">
        <v>19</v>
      </c>
      <c r="B287" s="9" t="s">
        <v>20</v>
      </c>
      <c r="C287" s="38" t="s">
        <v>41</v>
      </c>
      <c r="D287" s="33"/>
      <c r="E287" s="13"/>
      <c r="F287" s="9" t="s">
        <v>86</v>
      </c>
      <c r="G287" s="38" t="s">
        <v>43</v>
      </c>
      <c r="H287" s="13"/>
      <c r="I287" s="24">
        <v>4350.0</v>
      </c>
      <c r="J287" s="16">
        <f t="shared" si="2"/>
        <v>6525</v>
      </c>
      <c r="K287" s="16">
        <f t="shared" ref="K287:L287" si="289">I287*1.3</f>
        <v>5655</v>
      </c>
      <c r="L287" s="16">
        <f t="shared" si="289"/>
        <v>8482.5</v>
      </c>
      <c r="M287" s="17">
        <f t="shared" si="4"/>
        <v>5220</v>
      </c>
      <c r="N287" s="17">
        <f t="shared" si="5"/>
        <v>5002.5</v>
      </c>
      <c r="O287" s="17">
        <f t="shared" si="6"/>
        <v>4785</v>
      </c>
    </row>
    <row r="288" hidden="1">
      <c r="A288" s="9" t="s">
        <v>19</v>
      </c>
      <c r="B288" s="9" t="s">
        <v>20</v>
      </c>
      <c r="C288" s="38" t="s">
        <v>41</v>
      </c>
      <c r="D288" s="33"/>
      <c r="E288" s="13"/>
      <c r="F288" s="9" t="s">
        <v>87</v>
      </c>
      <c r="G288" s="38" t="s">
        <v>43</v>
      </c>
      <c r="H288" s="13"/>
      <c r="I288" s="24">
        <v>2200.0</v>
      </c>
      <c r="J288" s="16">
        <f t="shared" si="2"/>
        <v>3300</v>
      </c>
      <c r="K288" s="16">
        <f t="shared" ref="K288:L288" si="290">I288*1.3</f>
        <v>2860</v>
      </c>
      <c r="L288" s="16">
        <f t="shared" si="290"/>
        <v>4290</v>
      </c>
      <c r="M288" s="17">
        <f t="shared" si="4"/>
        <v>2640</v>
      </c>
      <c r="N288" s="17">
        <f t="shared" si="5"/>
        <v>2530</v>
      </c>
      <c r="O288" s="17">
        <f t="shared" si="6"/>
        <v>2420</v>
      </c>
    </row>
    <row r="289" hidden="1">
      <c r="A289" s="9" t="s">
        <v>19</v>
      </c>
      <c r="B289" s="9" t="s">
        <v>20</v>
      </c>
      <c r="C289" s="38" t="s">
        <v>41</v>
      </c>
      <c r="D289" s="33"/>
      <c r="E289" s="13"/>
      <c r="F289" s="9" t="s">
        <v>46</v>
      </c>
      <c r="G289" s="38" t="s">
        <v>43</v>
      </c>
      <c r="H289" s="13"/>
      <c r="I289" s="24">
        <v>1100.0</v>
      </c>
      <c r="J289" s="16">
        <f t="shared" si="2"/>
        <v>1650</v>
      </c>
      <c r="K289" s="16">
        <f t="shared" ref="K289:L289" si="291">I289*1.3</f>
        <v>1430</v>
      </c>
      <c r="L289" s="16">
        <f t="shared" si="291"/>
        <v>2145</v>
      </c>
      <c r="M289" s="17">
        <f t="shared" si="4"/>
        <v>1320</v>
      </c>
      <c r="N289" s="17">
        <f t="shared" si="5"/>
        <v>1265</v>
      </c>
      <c r="O289" s="17">
        <f t="shared" si="6"/>
        <v>1210</v>
      </c>
    </row>
    <row r="290" hidden="1">
      <c r="A290" s="9" t="s">
        <v>19</v>
      </c>
      <c r="B290" s="9" t="s">
        <v>20</v>
      </c>
      <c r="C290" s="38" t="s">
        <v>41</v>
      </c>
      <c r="D290" s="33"/>
      <c r="E290" s="13"/>
      <c r="F290" s="9" t="s">
        <v>67</v>
      </c>
      <c r="G290" s="38" t="s">
        <v>43</v>
      </c>
      <c r="H290" s="13"/>
      <c r="I290" s="24">
        <v>2600.0</v>
      </c>
      <c r="J290" s="16">
        <f t="shared" si="2"/>
        <v>3900</v>
      </c>
      <c r="K290" s="16">
        <f t="shared" ref="K290:L290" si="292">I290*1.3</f>
        <v>3380</v>
      </c>
      <c r="L290" s="16">
        <f t="shared" si="292"/>
        <v>5070</v>
      </c>
      <c r="M290" s="17">
        <f t="shared" si="4"/>
        <v>3120</v>
      </c>
      <c r="N290" s="17">
        <f t="shared" si="5"/>
        <v>2990</v>
      </c>
      <c r="O290" s="17">
        <f t="shared" si="6"/>
        <v>2860</v>
      </c>
    </row>
    <row r="291" hidden="1">
      <c r="A291" s="9" t="s">
        <v>19</v>
      </c>
      <c r="B291" s="9" t="s">
        <v>20</v>
      </c>
      <c r="C291" s="38" t="s">
        <v>41</v>
      </c>
      <c r="D291" s="34"/>
      <c r="E291" s="13"/>
      <c r="F291" s="9" t="s">
        <v>77</v>
      </c>
      <c r="G291" s="38" t="s">
        <v>43</v>
      </c>
      <c r="H291" s="13"/>
      <c r="I291" s="24">
        <v>4000.0</v>
      </c>
      <c r="J291" s="16">
        <f t="shared" si="2"/>
        <v>6000</v>
      </c>
      <c r="K291" s="16">
        <f t="shared" ref="K291:L291" si="293">I291*1.3</f>
        <v>5200</v>
      </c>
      <c r="L291" s="16">
        <f t="shared" si="293"/>
        <v>7800</v>
      </c>
      <c r="M291" s="17">
        <f t="shared" si="4"/>
        <v>4800</v>
      </c>
      <c r="N291" s="17">
        <f t="shared" si="5"/>
        <v>4600</v>
      </c>
      <c r="O291" s="17">
        <f t="shared" si="6"/>
        <v>4400</v>
      </c>
    </row>
    <row r="292" hidden="1">
      <c r="A292" s="9" t="s">
        <v>19</v>
      </c>
      <c r="B292" s="9" t="s">
        <v>20</v>
      </c>
      <c r="C292" s="42"/>
      <c r="D292" s="30" t="s">
        <v>97</v>
      </c>
      <c r="E292" s="30" t="s">
        <v>98</v>
      </c>
      <c r="F292" s="43" t="s">
        <v>99</v>
      </c>
      <c r="G292" s="13"/>
      <c r="H292" s="44" t="s">
        <v>100</v>
      </c>
      <c r="I292" s="24">
        <v>14950.0</v>
      </c>
      <c r="J292" s="16">
        <f t="shared" si="2"/>
        <v>22425</v>
      </c>
      <c r="K292" s="16">
        <f t="shared" ref="K292:L292" si="294">I292*1.3</f>
        <v>19435</v>
      </c>
      <c r="L292" s="16">
        <f t="shared" si="294"/>
        <v>29152.5</v>
      </c>
      <c r="M292" s="17">
        <f t="shared" si="4"/>
        <v>17940</v>
      </c>
      <c r="N292" s="17">
        <f t="shared" si="5"/>
        <v>17192.5</v>
      </c>
      <c r="O292" s="17">
        <f t="shared" si="6"/>
        <v>16445</v>
      </c>
    </row>
    <row r="293" hidden="1">
      <c r="A293" s="9" t="s">
        <v>19</v>
      </c>
      <c r="B293" s="9" t="s">
        <v>20</v>
      </c>
      <c r="C293" s="33"/>
      <c r="D293" s="33"/>
      <c r="E293" s="33"/>
      <c r="F293" s="33"/>
      <c r="G293" s="13"/>
      <c r="H293" s="43" t="s">
        <v>101</v>
      </c>
      <c r="I293" s="24">
        <v>19450.0</v>
      </c>
      <c r="J293" s="16">
        <f t="shared" si="2"/>
        <v>29175</v>
      </c>
      <c r="K293" s="16">
        <f t="shared" ref="K293:L293" si="295">I293*1.3</f>
        <v>25285</v>
      </c>
      <c r="L293" s="16">
        <f t="shared" si="295"/>
        <v>37927.5</v>
      </c>
      <c r="M293" s="17">
        <f t="shared" si="4"/>
        <v>23340</v>
      </c>
      <c r="N293" s="17">
        <f t="shared" si="5"/>
        <v>22367.5</v>
      </c>
      <c r="O293" s="17">
        <f t="shared" si="6"/>
        <v>21395</v>
      </c>
    </row>
    <row r="294" hidden="1">
      <c r="A294" s="9" t="s">
        <v>19</v>
      </c>
      <c r="B294" s="9" t="s">
        <v>20</v>
      </c>
      <c r="C294" s="34"/>
      <c r="D294" s="34"/>
      <c r="E294" s="34"/>
      <c r="F294" s="34"/>
      <c r="G294" s="13"/>
      <c r="H294" s="34"/>
      <c r="I294" s="24">
        <v>24750.0</v>
      </c>
      <c r="J294" s="16">
        <f t="shared" si="2"/>
        <v>37125</v>
      </c>
      <c r="K294" s="16">
        <f t="shared" ref="K294:L294" si="296">I294*1.3</f>
        <v>32175</v>
      </c>
      <c r="L294" s="16">
        <f t="shared" si="296"/>
        <v>48262.5</v>
      </c>
      <c r="M294" s="17">
        <f t="shared" si="4"/>
        <v>29700</v>
      </c>
      <c r="N294" s="17">
        <f t="shared" si="5"/>
        <v>28462.5</v>
      </c>
      <c r="O294" s="17">
        <f t="shared" si="6"/>
        <v>27225</v>
      </c>
    </row>
    <row r="295" hidden="1">
      <c r="A295" s="9" t="s">
        <v>19</v>
      </c>
      <c r="B295" s="9" t="s">
        <v>20</v>
      </c>
      <c r="C295" s="45" t="s">
        <v>102</v>
      </c>
      <c r="D295" s="30" t="s">
        <v>103</v>
      </c>
      <c r="E295" s="30" t="s">
        <v>104</v>
      </c>
      <c r="F295" s="43" t="s">
        <v>105</v>
      </c>
      <c r="G295" s="13"/>
      <c r="H295" s="44" t="s">
        <v>106</v>
      </c>
      <c r="I295" s="24">
        <v>47450.0</v>
      </c>
      <c r="J295" s="16">
        <f t="shared" si="2"/>
        <v>71175</v>
      </c>
      <c r="K295" s="16">
        <f t="shared" ref="K295:L295" si="297">I295*1.3</f>
        <v>61685</v>
      </c>
      <c r="L295" s="16">
        <f t="shared" si="297"/>
        <v>92527.5</v>
      </c>
      <c r="M295" s="17">
        <f t="shared" si="4"/>
        <v>56940</v>
      </c>
      <c r="N295" s="17">
        <f t="shared" si="5"/>
        <v>54567.5</v>
      </c>
      <c r="O295" s="17">
        <f t="shared" si="6"/>
        <v>52195</v>
      </c>
    </row>
    <row r="296" hidden="1">
      <c r="A296" s="9" t="s">
        <v>19</v>
      </c>
      <c r="B296" s="9" t="s">
        <v>20</v>
      </c>
      <c r="C296" s="34"/>
      <c r="D296" s="33"/>
      <c r="E296" s="33"/>
      <c r="F296" s="34"/>
      <c r="G296" s="13"/>
      <c r="H296" s="44" t="s">
        <v>107</v>
      </c>
      <c r="I296" s="24">
        <v>50600.0</v>
      </c>
      <c r="J296" s="16">
        <f t="shared" si="2"/>
        <v>75900</v>
      </c>
      <c r="K296" s="16">
        <f t="shared" ref="K296:L296" si="298">I296*1.3</f>
        <v>65780</v>
      </c>
      <c r="L296" s="16">
        <f t="shared" si="298"/>
        <v>98670</v>
      </c>
      <c r="M296" s="17">
        <f t="shared" si="4"/>
        <v>60720</v>
      </c>
      <c r="N296" s="17">
        <f t="shared" si="5"/>
        <v>58190</v>
      </c>
      <c r="O296" s="17">
        <f t="shared" si="6"/>
        <v>55660</v>
      </c>
    </row>
    <row r="297" hidden="1">
      <c r="A297" s="9" t="s">
        <v>19</v>
      </c>
      <c r="B297" s="9" t="s">
        <v>20</v>
      </c>
      <c r="C297" s="38" t="s">
        <v>41</v>
      </c>
      <c r="D297" s="33"/>
      <c r="E297" s="34"/>
      <c r="F297" s="46" t="s">
        <v>108</v>
      </c>
      <c r="G297" s="38" t="s">
        <v>43</v>
      </c>
      <c r="H297" s="44"/>
      <c r="I297" s="47">
        <v>10000.0</v>
      </c>
      <c r="J297" s="16"/>
      <c r="K297" s="16"/>
      <c r="L297" s="16"/>
      <c r="M297" s="17"/>
      <c r="N297" s="17"/>
      <c r="O297" s="17"/>
    </row>
    <row r="298" hidden="1">
      <c r="A298" s="9" t="s">
        <v>19</v>
      </c>
      <c r="B298" s="9" t="s">
        <v>20</v>
      </c>
      <c r="C298" s="45" t="s">
        <v>102</v>
      </c>
      <c r="D298" s="33"/>
      <c r="E298" s="30" t="s">
        <v>109</v>
      </c>
      <c r="F298" s="43" t="s">
        <v>110</v>
      </c>
      <c r="G298" s="13"/>
      <c r="H298" s="44" t="s">
        <v>106</v>
      </c>
      <c r="I298" s="24">
        <v>70050.0</v>
      </c>
      <c r="J298" s="16">
        <f t="shared" ref="J298:J346" si="300">I298*1.5</f>
        <v>105075</v>
      </c>
      <c r="K298" s="16">
        <f t="shared" ref="K298:L298" si="299">I298*1.3</f>
        <v>91065</v>
      </c>
      <c r="L298" s="16">
        <f t="shared" si="299"/>
        <v>136597.5</v>
      </c>
      <c r="M298" s="17">
        <f t="shared" ref="M298:M346" si="302">I298*1.2</f>
        <v>84060</v>
      </c>
      <c r="N298" s="17">
        <f t="shared" ref="N298:N346" si="303">I298*1.15</f>
        <v>80557.5</v>
      </c>
      <c r="O298" s="17">
        <f t="shared" ref="O298:O346" si="304">I298*1.1</f>
        <v>77055</v>
      </c>
    </row>
    <row r="299" hidden="1">
      <c r="A299" s="9" t="s">
        <v>19</v>
      </c>
      <c r="B299" s="9" t="s">
        <v>20</v>
      </c>
      <c r="C299" s="33"/>
      <c r="D299" s="33"/>
      <c r="E299" s="33"/>
      <c r="F299" s="33"/>
      <c r="G299" s="13"/>
      <c r="H299" s="44" t="s">
        <v>107</v>
      </c>
      <c r="I299" s="24">
        <v>73200.0</v>
      </c>
      <c r="J299" s="16">
        <f t="shared" si="300"/>
        <v>109800</v>
      </c>
      <c r="K299" s="16">
        <f t="shared" ref="K299:L299" si="301">I299*1.3</f>
        <v>95160</v>
      </c>
      <c r="L299" s="16">
        <f t="shared" si="301"/>
        <v>142740</v>
      </c>
      <c r="M299" s="17">
        <f t="shared" si="302"/>
        <v>87840</v>
      </c>
      <c r="N299" s="17">
        <f t="shared" si="303"/>
        <v>84180</v>
      </c>
      <c r="O299" s="17">
        <f t="shared" si="304"/>
        <v>80520</v>
      </c>
    </row>
    <row r="300" hidden="1">
      <c r="A300" s="9" t="s">
        <v>19</v>
      </c>
      <c r="B300" s="9" t="s">
        <v>20</v>
      </c>
      <c r="C300" s="34"/>
      <c r="D300" s="34"/>
      <c r="E300" s="34"/>
      <c r="F300" s="34"/>
      <c r="G300" s="13"/>
      <c r="H300" s="44" t="s">
        <v>111</v>
      </c>
      <c r="I300" s="24">
        <v>76350.0</v>
      </c>
      <c r="J300" s="16">
        <f t="shared" si="300"/>
        <v>114525</v>
      </c>
      <c r="K300" s="16">
        <f t="shared" ref="K300:L300" si="305">I300*1.3</f>
        <v>99255</v>
      </c>
      <c r="L300" s="16">
        <f t="shared" si="305"/>
        <v>148882.5</v>
      </c>
      <c r="M300" s="17">
        <f t="shared" si="302"/>
        <v>91620</v>
      </c>
      <c r="N300" s="17">
        <f t="shared" si="303"/>
        <v>87802.5</v>
      </c>
      <c r="O300" s="17">
        <f t="shared" si="304"/>
        <v>83985</v>
      </c>
    </row>
    <row r="301" hidden="1">
      <c r="A301" s="9" t="s">
        <v>19</v>
      </c>
      <c r="B301" s="9" t="s">
        <v>20</v>
      </c>
      <c r="C301" s="45" t="s">
        <v>112</v>
      </c>
      <c r="D301" s="11" t="s">
        <v>113</v>
      </c>
      <c r="E301" s="48" t="s">
        <v>114</v>
      </c>
      <c r="F301" s="49" t="s">
        <v>115</v>
      </c>
      <c r="G301" s="13"/>
      <c r="H301" s="50" t="s">
        <v>116</v>
      </c>
      <c r="I301" s="24">
        <v>17650.0</v>
      </c>
      <c r="J301" s="16">
        <f t="shared" si="300"/>
        <v>26475</v>
      </c>
      <c r="K301" s="16">
        <f t="shared" ref="K301:L301" si="306">I301*1.3</f>
        <v>22945</v>
      </c>
      <c r="L301" s="16">
        <f t="shared" si="306"/>
        <v>34417.5</v>
      </c>
      <c r="M301" s="17">
        <f t="shared" si="302"/>
        <v>21180</v>
      </c>
      <c r="N301" s="17">
        <f t="shared" si="303"/>
        <v>20297.5</v>
      </c>
      <c r="O301" s="17">
        <f t="shared" si="304"/>
        <v>19415</v>
      </c>
    </row>
    <row r="302" hidden="1">
      <c r="A302" s="9" t="s">
        <v>19</v>
      </c>
      <c r="B302" s="9" t="s">
        <v>20</v>
      </c>
      <c r="C302" s="34"/>
      <c r="D302" s="33"/>
      <c r="E302" s="33"/>
      <c r="F302" s="34"/>
      <c r="G302" s="13"/>
      <c r="H302" s="50" t="s">
        <v>117</v>
      </c>
      <c r="I302" s="24">
        <v>19000.0</v>
      </c>
      <c r="J302" s="16">
        <f t="shared" si="300"/>
        <v>28500</v>
      </c>
      <c r="K302" s="16">
        <f t="shared" ref="K302:L302" si="307">I302*1.3</f>
        <v>24700</v>
      </c>
      <c r="L302" s="16">
        <f t="shared" si="307"/>
        <v>37050</v>
      </c>
      <c r="M302" s="17">
        <f t="shared" si="302"/>
        <v>22800</v>
      </c>
      <c r="N302" s="17">
        <f t="shared" si="303"/>
        <v>21850</v>
      </c>
      <c r="O302" s="17">
        <f t="shared" si="304"/>
        <v>20900</v>
      </c>
    </row>
    <row r="303" hidden="1">
      <c r="A303" s="9" t="s">
        <v>19</v>
      </c>
      <c r="B303" s="9" t="s">
        <v>20</v>
      </c>
      <c r="C303" s="51" t="s">
        <v>41</v>
      </c>
      <c r="D303" s="33"/>
      <c r="E303" s="33"/>
      <c r="F303" s="9" t="s">
        <v>118</v>
      </c>
      <c r="G303" s="13"/>
      <c r="H303" s="13"/>
      <c r="I303" s="24">
        <v>1200.0</v>
      </c>
      <c r="J303" s="16">
        <f t="shared" si="300"/>
        <v>1800</v>
      </c>
      <c r="K303" s="16">
        <f t="shared" ref="K303:L303" si="308">I303*1.3</f>
        <v>1560</v>
      </c>
      <c r="L303" s="16">
        <f t="shared" si="308"/>
        <v>2340</v>
      </c>
      <c r="M303" s="17">
        <f t="shared" si="302"/>
        <v>1440</v>
      </c>
      <c r="N303" s="17">
        <f t="shared" si="303"/>
        <v>1380</v>
      </c>
      <c r="O303" s="17">
        <f t="shared" si="304"/>
        <v>1320</v>
      </c>
    </row>
    <row r="304" hidden="1">
      <c r="A304" s="9" t="s">
        <v>19</v>
      </c>
      <c r="B304" s="9" t="s">
        <v>20</v>
      </c>
      <c r="C304" s="34"/>
      <c r="D304" s="33"/>
      <c r="E304" s="34"/>
      <c r="F304" s="9" t="s">
        <v>119</v>
      </c>
      <c r="G304" s="13"/>
      <c r="H304" s="13"/>
      <c r="I304" s="24">
        <v>3550.0</v>
      </c>
      <c r="J304" s="16">
        <f t="shared" si="300"/>
        <v>5325</v>
      </c>
      <c r="K304" s="16">
        <f t="shared" ref="K304:L304" si="309">I304*1.3</f>
        <v>4615</v>
      </c>
      <c r="L304" s="16">
        <f t="shared" si="309"/>
        <v>6922.5</v>
      </c>
      <c r="M304" s="17">
        <f t="shared" si="302"/>
        <v>4260</v>
      </c>
      <c r="N304" s="17">
        <f t="shared" si="303"/>
        <v>4082.5</v>
      </c>
      <c r="O304" s="17">
        <f t="shared" si="304"/>
        <v>3905</v>
      </c>
    </row>
    <row r="305" hidden="1">
      <c r="A305" s="9" t="s">
        <v>19</v>
      </c>
      <c r="B305" s="9" t="s">
        <v>20</v>
      </c>
      <c r="C305" s="10" t="s">
        <v>112</v>
      </c>
      <c r="D305" s="33"/>
      <c r="E305" s="48" t="s">
        <v>120</v>
      </c>
      <c r="F305" s="38" t="s">
        <v>121</v>
      </c>
      <c r="G305" s="13"/>
      <c r="H305" s="13"/>
      <c r="I305" s="47">
        <v>28950.0</v>
      </c>
      <c r="J305" s="16">
        <f t="shared" si="300"/>
        <v>43425</v>
      </c>
      <c r="K305" s="16">
        <f t="shared" ref="K305:L305" si="310">I305*1.3</f>
        <v>37635</v>
      </c>
      <c r="L305" s="16">
        <f t="shared" si="310"/>
        <v>56452.5</v>
      </c>
      <c r="M305" s="17">
        <f t="shared" si="302"/>
        <v>34740</v>
      </c>
      <c r="N305" s="17">
        <f t="shared" si="303"/>
        <v>33292.5</v>
      </c>
      <c r="O305" s="17">
        <f t="shared" si="304"/>
        <v>31845</v>
      </c>
    </row>
    <row r="306" hidden="1">
      <c r="A306" s="9" t="s">
        <v>19</v>
      </c>
      <c r="B306" s="9" t="s">
        <v>20</v>
      </c>
      <c r="C306" s="10" t="s">
        <v>41</v>
      </c>
      <c r="D306" s="34"/>
      <c r="E306" s="34"/>
      <c r="F306" s="9" t="s">
        <v>122</v>
      </c>
      <c r="G306" s="38" t="s">
        <v>43</v>
      </c>
      <c r="H306" s="13"/>
      <c r="I306" s="47">
        <v>2950.0</v>
      </c>
      <c r="J306" s="16">
        <f t="shared" si="300"/>
        <v>4425</v>
      </c>
      <c r="K306" s="16">
        <f t="shared" ref="K306:L306" si="311">I306*1.3</f>
        <v>3835</v>
      </c>
      <c r="L306" s="16">
        <f t="shared" si="311"/>
        <v>5752.5</v>
      </c>
      <c r="M306" s="17">
        <f t="shared" si="302"/>
        <v>3540</v>
      </c>
      <c r="N306" s="17">
        <f t="shared" si="303"/>
        <v>3392.5</v>
      </c>
      <c r="O306" s="17">
        <f t="shared" si="304"/>
        <v>3245</v>
      </c>
    </row>
    <row r="307" hidden="1">
      <c r="A307" s="9" t="s">
        <v>19</v>
      </c>
      <c r="B307" s="9" t="s">
        <v>20</v>
      </c>
      <c r="C307" s="10" t="s">
        <v>112</v>
      </c>
      <c r="D307" s="30" t="s">
        <v>123</v>
      </c>
      <c r="E307" s="30" t="s">
        <v>124</v>
      </c>
      <c r="F307" s="38" t="s">
        <v>125</v>
      </c>
      <c r="G307" s="13"/>
      <c r="H307" s="13"/>
      <c r="I307" s="47">
        <v>13250.0</v>
      </c>
      <c r="J307" s="16">
        <f t="shared" si="300"/>
        <v>19875</v>
      </c>
      <c r="K307" s="16">
        <f t="shared" ref="K307:L307" si="312">I307*1.3</f>
        <v>17225</v>
      </c>
      <c r="L307" s="16">
        <f t="shared" si="312"/>
        <v>25837.5</v>
      </c>
      <c r="M307" s="17">
        <f t="shared" si="302"/>
        <v>15900</v>
      </c>
      <c r="N307" s="17">
        <f t="shared" si="303"/>
        <v>15237.5</v>
      </c>
      <c r="O307" s="17">
        <f t="shared" si="304"/>
        <v>14575</v>
      </c>
    </row>
    <row r="308" hidden="1">
      <c r="A308" s="9" t="s">
        <v>19</v>
      </c>
      <c r="B308" s="9" t="s">
        <v>20</v>
      </c>
      <c r="C308" s="10" t="s">
        <v>41</v>
      </c>
      <c r="D308" s="34"/>
      <c r="E308" s="34"/>
      <c r="F308" s="9" t="s">
        <v>87</v>
      </c>
      <c r="G308" s="38" t="s">
        <v>43</v>
      </c>
      <c r="H308" s="13"/>
      <c r="I308" s="47">
        <v>3800.0</v>
      </c>
      <c r="J308" s="16">
        <f t="shared" si="300"/>
        <v>5700</v>
      </c>
      <c r="K308" s="16">
        <f t="shared" ref="K308:L308" si="313">I308*1.3</f>
        <v>4940</v>
      </c>
      <c r="L308" s="16">
        <f t="shared" si="313"/>
        <v>7410</v>
      </c>
      <c r="M308" s="17">
        <f t="shared" si="302"/>
        <v>4560</v>
      </c>
      <c r="N308" s="17">
        <f t="shared" si="303"/>
        <v>4370</v>
      </c>
      <c r="O308" s="17">
        <f t="shared" si="304"/>
        <v>4180</v>
      </c>
    </row>
    <row r="309" hidden="1">
      <c r="A309" s="9" t="s">
        <v>19</v>
      </c>
      <c r="B309" s="9" t="s">
        <v>20</v>
      </c>
      <c r="C309" s="38" t="s">
        <v>126</v>
      </c>
      <c r="D309" s="30" t="s">
        <v>127</v>
      </c>
      <c r="E309" s="52" t="s">
        <v>128</v>
      </c>
      <c r="F309" s="38" t="s">
        <v>129</v>
      </c>
      <c r="G309" s="13"/>
      <c r="H309" s="13"/>
      <c r="I309" s="24">
        <v>16150.0</v>
      </c>
      <c r="J309" s="16">
        <f t="shared" si="300"/>
        <v>24225</v>
      </c>
      <c r="K309" s="16">
        <f t="shared" ref="K309:L309" si="314">I309*1.3</f>
        <v>20995</v>
      </c>
      <c r="L309" s="16">
        <f t="shared" si="314"/>
        <v>31492.5</v>
      </c>
      <c r="M309" s="17">
        <f t="shared" si="302"/>
        <v>19380</v>
      </c>
      <c r="N309" s="17">
        <f t="shared" si="303"/>
        <v>18572.5</v>
      </c>
      <c r="O309" s="17">
        <f t="shared" si="304"/>
        <v>17765</v>
      </c>
    </row>
    <row r="310" hidden="1">
      <c r="A310" s="9" t="s">
        <v>19</v>
      </c>
      <c r="B310" s="9" t="s">
        <v>20</v>
      </c>
      <c r="C310" s="38" t="s">
        <v>126</v>
      </c>
      <c r="D310" s="33"/>
      <c r="E310" s="30" t="s">
        <v>130</v>
      </c>
      <c r="F310" s="38" t="s">
        <v>129</v>
      </c>
      <c r="G310" s="13"/>
      <c r="H310" s="13"/>
      <c r="I310" s="24">
        <v>17000.0</v>
      </c>
      <c r="J310" s="16">
        <f t="shared" si="300"/>
        <v>25500</v>
      </c>
      <c r="K310" s="16">
        <f t="shared" ref="K310:L310" si="315">I310*1.3</f>
        <v>22100</v>
      </c>
      <c r="L310" s="16">
        <f t="shared" si="315"/>
        <v>33150</v>
      </c>
      <c r="M310" s="17">
        <f t="shared" si="302"/>
        <v>20400</v>
      </c>
      <c r="N310" s="17">
        <f t="shared" si="303"/>
        <v>19550</v>
      </c>
      <c r="O310" s="17">
        <f t="shared" si="304"/>
        <v>18700</v>
      </c>
    </row>
    <row r="311" hidden="1">
      <c r="A311" s="9" t="s">
        <v>19</v>
      </c>
      <c r="B311" s="9" t="s">
        <v>20</v>
      </c>
      <c r="C311" s="10" t="s">
        <v>41</v>
      </c>
      <c r="D311" s="34"/>
      <c r="E311" s="34"/>
      <c r="F311" s="38" t="s">
        <v>131</v>
      </c>
      <c r="G311" s="38" t="s">
        <v>43</v>
      </c>
      <c r="H311" s="13"/>
      <c r="I311" s="47">
        <v>2200.0</v>
      </c>
      <c r="J311" s="16">
        <f t="shared" si="300"/>
        <v>3300</v>
      </c>
      <c r="K311" s="16">
        <f t="shared" ref="K311:L311" si="316">I311*1.3</f>
        <v>2860</v>
      </c>
      <c r="L311" s="16">
        <f t="shared" si="316"/>
        <v>4290</v>
      </c>
      <c r="M311" s="17">
        <f t="shared" si="302"/>
        <v>2640</v>
      </c>
      <c r="N311" s="17">
        <f t="shared" si="303"/>
        <v>2530</v>
      </c>
      <c r="O311" s="17">
        <f t="shared" si="304"/>
        <v>2420</v>
      </c>
    </row>
    <row r="312" hidden="1">
      <c r="A312" s="9" t="s">
        <v>19</v>
      </c>
      <c r="B312" s="9" t="s">
        <v>20</v>
      </c>
      <c r="C312" s="38" t="s">
        <v>126</v>
      </c>
      <c r="D312" s="52" t="s">
        <v>132</v>
      </c>
      <c r="E312" s="27" t="s">
        <v>133</v>
      </c>
      <c r="F312" s="38" t="s">
        <v>134</v>
      </c>
      <c r="G312" s="13"/>
      <c r="H312" s="13"/>
      <c r="I312" s="47">
        <v>36150.0</v>
      </c>
      <c r="J312" s="16">
        <f t="shared" si="300"/>
        <v>54225</v>
      </c>
      <c r="K312" s="16">
        <f t="shared" ref="K312:L312" si="317">I312*1.3</f>
        <v>46995</v>
      </c>
      <c r="L312" s="16">
        <f t="shared" si="317"/>
        <v>70492.5</v>
      </c>
      <c r="M312" s="17">
        <f t="shared" si="302"/>
        <v>43380</v>
      </c>
      <c r="N312" s="17">
        <f t="shared" si="303"/>
        <v>41572.5</v>
      </c>
      <c r="O312" s="17">
        <f t="shared" si="304"/>
        <v>39765</v>
      </c>
    </row>
    <row r="313">
      <c r="A313" s="9" t="s">
        <v>19</v>
      </c>
      <c r="B313" s="38" t="s">
        <v>135</v>
      </c>
      <c r="C313" s="51" t="s">
        <v>136</v>
      </c>
      <c r="D313" s="45"/>
      <c r="E313" s="53" t="s">
        <v>137</v>
      </c>
      <c r="F313" s="54" t="s">
        <v>138</v>
      </c>
      <c r="G313" s="13"/>
      <c r="H313" s="13"/>
      <c r="I313" s="55">
        <v>2600.0</v>
      </c>
      <c r="J313" s="16">
        <f t="shared" si="300"/>
        <v>3900</v>
      </c>
      <c r="K313" s="16">
        <f t="shared" ref="K313:L313" si="318">I313*1.3</f>
        <v>3380</v>
      </c>
      <c r="L313" s="16">
        <f t="shared" si="318"/>
        <v>5070</v>
      </c>
      <c r="M313" s="17">
        <f t="shared" si="302"/>
        <v>3120</v>
      </c>
      <c r="N313" s="17">
        <f t="shared" si="303"/>
        <v>2990</v>
      </c>
      <c r="O313" s="17">
        <f t="shared" si="304"/>
        <v>2860</v>
      </c>
    </row>
    <row r="314">
      <c r="A314" s="9" t="s">
        <v>19</v>
      </c>
      <c r="B314" s="38" t="s">
        <v>135</v>
      </c>
      <c r="C314" s="33"/>
      <c r="D314" s="33"/>
      <c r="E314" s="53" t="s">
        <v>139</v>
      </c>
      <c r="F314" s="54" t="s">
        <v>140</v>
      </c>
      <c r="G314" s="13"/>
      <c r="H314" s="13"/>
      <c r="I314" s="55">
        <v>2700.0</v>
      </c>
      <c r="J314" s="16">
        <f t="shared" si="300"/>
        <v>4050</v>
      </c>
      <c r="K314" s="16">
        <f t="shared" ref="K314:L314" si="319">I314*1.3</f>
        <v>3510</v>
      </c>
      <c r="L314" s="16">
        <f t="shared" si="319"/>
        <v>5265</v>
      </c>
      <c r="M314" s="17">
        <f t="shared" si="302"/>
        <v>3240</v>
      </c>
      <c r="N314" s="17">
        <f t="shared" si="303"/>
        <v>3105</v>
      </c>
      <c r="O314" s="17">
        <f t="shared" si="304"/>
        <v>2970</v>
      </c>
    </row>
    <row r="315">
      <c r="A315" s="9" t="s">
        <v>19</v>
      </c>
      <c r="B315" s="38" t="s">
        <v>135</v>
      </c>
      <c r="C315" s="34"/>
      <c r="D315" s="34"/>
      <c r="E315" s="53" t="s">
        <v>141</v>
      </c>
      <c r="F315" s="54" t="s">
        <v>142</v>
      </c>
      <c r="G315" s="13"/>
      <c r="H315" s="13"/>
      <c r="I315" s="55">
        <v>2400.0</v>
      </c>
      <c r="J315" s="16">
        <f t="shared" si="300"/>
        <v>3600</v>
      </c>
      <c r="K315" s="16">
        <f t="shared" ref="K315:L315" si="320">I315*1.3</f>
        <v>3120</v>
      </c>
      <c r="L315" s="16">
        <f t="shared" si="320"/>
        <v>4680</v>
      </c>
      <c r="M315" s="17">
        <f t="shared" si="302"/>
        <v>2880</v>
      </c>
      <c r="N315" s="17">
        <f t="shared" si="303"/>
        <v>2760</v>
      </c>
      <c r="O315" s="17">
        <f t="shared" si="304"/>
        <v>2640</v>
      </c>
    </row>
    <row r="316">
      <c r="A316" s="9" t="s">
        <v>19</v>
      </c>
      <c r="B316" s="38" t="s">
        <v>135</v>
      </c>
      <c r="C316" s="38" t="s">
        <v>143</v>
      </c>
      <c r="D316" s="56"/>
      <c r="E316" s="54" t="s">
        <v>144</v>
      </c>
      <c r="F316" s="54" t="s">
        <v>145</v>
      </c>
      <c r="G316" s="38" t="s">
        <v>146</v>
      </c>
      <c r="H316" s="13"/>
      <c r="I316" s="55">
        <v>1650.0</v>
      </c>
      <c r="J316" s="16">
        <f t="shared" si="300"/>
        <v>2475</v>
      </c>
      <c r="K316" s="16">
        <f t="shared" ref="K316:L316" si="321">I316*1.3</f>
        <v>2145</v>
      </c>
      <c r="L316" s="16">
        <f t="shared" si="321"/>
        <v>3217.5</v>
      </c>
      <c r="M316" s="17">
        <f t="shared" si="302"/>
        <v>1980</v>
      </c>
      <c r="N316" s="17">
        <f t="shared" si="303"/>
        <v>1897.5</v>
      </c>
      <c r="O316" s="17">
        <f t="shared" si="304"/>
        <v>1815</v>
      </c>
    </row>
    <row r="317">
      <c r="A317" s="9" t="s">
        <v>19</v>
      </c>
      <c r="B317" s="38" t="s">
        <v>135</v>
      </c>
      <c r="C317" s="38" t="s">
        <v>143</v>
      </c>
      <c r="D317" s="56"/>
      <c r="E317" s="54" t="s">
        <v>147</v>
      </c>
      <c r="F317" s="54" t="s">
        <v>148</v>
      </c>
      <c r="G317" s="13"/>
      <c r="H317" s="13"/>
      <c r="I317" s="55">
        <v>2500.0</v>
      </c>
      <c r="J317" s="16">
        <f t="shared" si="300"/>
        <v>3750</v>
      </c>
      <c r="K317" s="16">
        <f t="shared" ref="K317:L317" si="322">I317*1.3</f>
        <v>3250</v>
      </c>
      <c r="L317" s="16">
        <f t="shared" si="322"/>
        <v>4875</v>
      </c>
      <c r="M317" s="17">
        <f t="shared" si="302"/>
        <v>3000</v>
      </c>
      <c r="N317" s="17">
        <f t="shared" si="303"/>
        <v>2875</v>
      </c>
      <c r="O317" s="17">
        <f t="shared" si="304"/>
        <v>2750</v>
      </c>
    </row>
    <row r="318">
      <c r="A318" s="9" t="s">
        <v>19</v>
      </c>
      <c r="B318" s="38" t="s">
        <v>135</v>
      </c>
      <c r="C318" s="38" t="s">
        <v>143</v>
      </c>
      <c r="D318" s="56"/>
      <c r="E318" s="54" t="s">
        <v>149</v>
      </c>
      <c r="F318" s="54" t="s">
        <v>150</v>
      </c>
      <c r="G318" s="13"/>
      <c r="H318" s="13"/>
      <c r="I318" s="55">
        <v>3250.0</v>
      </c>
      <c r="J318" s="16">
        <f t="shared" si="300"/>
        <v>4875</v>
      </c>
      <c r="K318" s="16">
        <f t="shared" ref="K318:L318" si="323">I318*1.3</f>
        <v>4225</v>
      </c>
      <c r="L318" s="16">
        <f t="shared" si="323"/>
        <v>6337.5</v>
      </c>
      <c r="M318" s="17">
        <f t="shared" si="302"/>
        <v>3900</v>
      </c>
      <c r="N318" s="17">
        <f t="shared" si="303"/>
        <v>3737.5</v>
      </c>
      <c r="O318" s="17">
        <f t="shared" si="304"/>
        <v>3575</v>
      </c>
    </row>
    <row r="319">
      <c r="A319" s="9" t="s">
        <v>19</v>
      </c>
      <c r="B319" s="38" t="s">
        <v>135</v>
      </c>
      <c r="C319" s="38" t="s">
        <v>143</v>
      </c>
      <c r="D319" s="56"/>
      <c r="E319" s="54" t="s">
        <v>151</v>
      </c>
      <c r="F319" s="54" t="s">
        <v>152</v>
      </c>
      <c r="G319" s="13"/>
      <c r="H319" s="13"/>
      <c r="I319" s="55">
        <v>6800.0</v>
      </c>
      <c r="J319" s="16">
        <f t="shared" si="300"/>
        <v>10200</v>
      </c>
      <c r="K319" s="16">
        <f t="shared" ref="K319:L319" si="324">I319*1.3</f>
        <v>8840</v>
      </c>
      <c r="L319" s="16">
        <f t="shared" si="324"/>
        <v>13260</v>
      </c>
      <c r="M319" s="17">
        <f t="shared" si="302"/>
        <v>8160</v>
      </c>
      <c r="N319" s="17">
        <f t="shared" si="303"/>
        <v>7820</v>
      </c>
      <c r="O319" s="17">
        <f t="shared" si="304"/>
        <v>7480</v>
      </c>
    </row>
    <row r="320">
      <c r="A320" s="9" t="s">
        <v>19</v>
      </c>
      <c r="B320" s="38" t="s">
        <v>135</v>
      </c>
      <c r="C320" s="38" t="s">
        <v>143</v>
      </c>
      <c r="D320" s="56"/>
      <c r="E320" s="54" t="s">
        <v>153</v>
      </c>
      <c r="F320" s="54" t="s">
        <v>154</v>
      </c>
      <c r="G320" s="13"/>
      <c r="H320" s="13"/>
      <c r="I320" s="55">
        <v>6700.0</v>
      </c>
      <c r="J320" s="16">
        <f t="shared" si="300"/>
        <v>10050</v>
      </c>
      <c r="K320" s="16">
        <f t="shared" ref="K320:L320" si="325">I320*1.3</f>
        <v>8710</v>
      </c>
      <c r="L320" s="16">
        <f t="shared" si="325"/>
        <v>13065</v>
      </c>
      <c r="M320" s="17">
        <f t="shared" si="302"/>
        <v>8040</v>
      </c>
      <c r="N320" s="17">
        <f t="shared" si="303"/>
        <v>7705</v>
      </c>
      <c r="O320" s="17">
        <f t="shared" si="304"/>
        <v>7370</v>
      </c>
    </row>
    <row r="321">
      <c r="A321" s="9" t="s">
        <v>19</v>
      </c>
      <c r="B321" s="38" t="s">
        <v>135</v>
      </c>
      <c r="C321" s="38" t="s">
        <v>143</v>
      </c>
      <c r="D321" s="56"/>
      <c r="E321" s="54" t="s">
        <v>155</v>
      </c>
      <c r="F321" s="54" t="s">
        <v>156</v>
      </c>
      <c r="G321" s="9" t="s">
        <v>157</v>
      </c>
      <c r="H321" s="13"/>
      <c r="I321" s="55">
        <v>4100.0</v>
      </c>
      <c r="J321" s="16">
        <f t="shared" si="300"/>
        <v>6150</v>
      </c>
      <c r="K321" s="16">
        <f t="shared" ref="K321:L321" si="326">I321*1.3</f>
        <v>5330</v>
      </c>
      <c r="L321" s="16">
        <f t="shared" si="326"/>
        <v>7995</v>
      </c>
      <c r="M321" s="17">
        <f t="shared" si="302"/>
        <v>4920</v>
      </c>
      <c r="N321" s="17">
        <f t="shared" si="303"/>
        <v>4715</v>
      </c>
      <c r="O321" s="17">
        <f t="shared" si="304"/>
        <v>4510</v>
      </c>
    </row>
    <row r="322">
      <c r="A322" s="9" t="s">
        <v>19</v>
      </c>
      <c r="B322" s="38" t="s">
        <v>135</v>
      </c>
      <c r="C322" s="38" t="s">
        <v>143</v>
      </c>
      <c r="D322" s="56"/>
      <c r="E322" s="54" t="s">
        <v>158</v>
      </c>
      <c r="F322" s="54" t="s">
        <v>159</v>
      </c>
      <c r="G322" s="13"/>
      <c r="H322" s="13"/>
      <c r="I322" s="55">
        <v>6700.0</v>
      </c>
      <c r="J322" s="16">
        <f t="shared" si="300"/>
        <v>10050</v>
      </c>
      <c r="K322" s="16">
        <f t="shared" ref="K322:L322" si="327">I322*1.3</f>
        <v>8710</v>
      </c>
      <c r="L322" s="16">
        <f t="shared" si="327"/>
        <v>13065</v>
      </c>
      <c r="M322" s="17">
        <f t="shared" si="302"/>
        <v>8040</v>
      </c>
      <c r="N322" s="17">
        <f t="shared" si="303"/>
        <v>7705</v>
      </c>
      <c r="O322" s="17">
        <f t="shared" si="304"/>
        <v>7370</v>
      </c>
    </row>
    <row r="323">
      <c r="A323" s="9" t="s">
        <v>19</v>
      </c>
      <c r="B323" s="38" t="s">
        <v>135</v>
      </c>
      <c r="C323" s="38" t="s">
        <v>143</v>
      </c>
      <c r="D323" s="56"/>
      <c r="E323" s="54" t="s">
        <v>160</v>
      </c>
      <c r="F323" s="54" t="s">
        <v>161</v>
      </c>
      <c r="G323" s="13"/>
      <c r="H323" s="13"/>
      <c r="I323" s="55">
        <v>6250.0</v>
      </c>
      <c r="J323" s="16">
        <f t="shared" si="300"/>
        <v>9375</v>
      </c>
      <c r="K323" s="16">
        <f t="shared" ref="K323:L323" si="328">I323*1.3</f>
        <v>8125</v>
      </c>
      <c r="L323" s="16">
        <f t="shared" si="328"/>
        <v>12187.5</v>
      </c>
      <c r="M323" s="17">
        <f t="shared" si="302"/>
        <v>7500</v>
      </c>
      <c r="N323" s="17">
        <f t="shared" si="303"/>
        <v>7187.5</v>
      </c>
      <c r="O323" s="17">
        <f t="shared" si="304"/>
        <v>6875</v>
      </c>
    </row>
    <row r="324">
      <c r="A324" s="9" t="s">
        <v>19</v>
      </c>
      <c r="B324" s="38" t="s">
        <v>135</v>
      </c>
      <c r="C324" s="38" t="s">
        <v>143</v>
      </c>
      <c r="D324" s="56"/>
      <c r="E324" s="56"/>
      <c r="F324" s="10" t="s">
        <v>162</v>
      </c>
      <c r="G324" s="38" t="s">
        <v>163</v>
      </c>
      <c r="H324" s="54" t="s">
        <v>164</v>
      </c>
      <c r="I324" s="55">
        <v>20.0</v>
      </c>
      <c r="J324" s="16">
        <f t="shared" si="300"/>
        <v>30</v>
      </c>
      <c r="K324" s="16">
        <f t="shared" ref="K324:L324" si="329">I324*1.3</f>
        <v>26</v>
      </c>
      <c r="L324" s="16">
        <f t="shared" si="329"/>
        <v>39</v>
      </c>
      <c r="M324" s="17">
        <f t="shared" si="302"/>
        <v>24</v>
      </c>
      <c r="N324" s="17">
        <f t="shared" si="303"/>
        <v>23</v>
      </c>
      <c r="O324" s="17">
        <f t="shared" si="304"/>
        <v>22</v>
      </c>
    </row>
    <row r="325">
      <c r="A325" s="9" t="s">
        <v>19</v>
      </c>
      <c r="B325" s="38" t="s">
        <v>135</v>
      </c>
      <c r="C325" s="38" t="s">
        <v>143</v>
      </c>
      <c r="D325" s="56"/>
      <c r="E325" s="56"/>
      <c r="F325" s="10" t="s">
        <v>162</v>
      </c>
      <c r="G325" s="38" t="s">
        <v>163</v>
      </c>
      <c r="H325" s="54" t="s">
        <v>165</v>
      </c>
      <c r="I325" s="55">
        <v>30.0</v>
      </c>
      <c r="J325" s="16">
        <f t="shared" si="300"/>
        <v>45</v>
      </c>
      <c r="K325" s="16">
        <f t="shared" ref="K325:L325" si="330">I325*1.3</f>
        <v>39</v>
      </c>
      <c r="L325" s="16">
        <f t="shared" si="330"/>
        <v>58.5</v>
      </c>
      <c r="M325" s="17">
        <f t="shared" si="302"/>
        <v>36</v>
      </c>
      <c r="N325" s="17">
        <f t="shared" si="303"/>
        <v>34.5</v>
      </c>
      <c r="O325" s="17">
        <f t="shared" si="304"/>
        <v>33</v>
      </c>
    </row>
    <row r="326">
      <c r="A326" s="9" t="s">
        <v>19</v>
      </c>
      <c r="B326" s="38" t="s">
        <v>135</v>
      </c>
      <c r="C326" s="38" t="s">
        <v>143</v>
      </c>
      <c r="D326" s="56"/>
      <c r="E326" s="56"/>
      <c r="F326" s="10" t="s">
        <v>162</v>
      </c>
      <c r="G326" s="38" t="s">
        <v>163</v>
      </c>
      <c r="H326" s="57" t="s">
        <v>166</v>
      </c>
      <c r="I326" s="55">
        <v>62.0</v>
      </c>
      <c r="J326" s="16">
        <f t="shared" si="300"/>
        <v>93</v>
      </c>
      <c r="K326" s="16">
        <f t="shared" ref="K326:L326" si="331">I326*1.3</f>
        <v>80.6</v>
      </c>
      <c r="L326" s="16">
        <f t="shared" si="331"/>
        <v>120.9</v>
      </c>
      <c r="M326" s="17">
        <f t="shared" si="302"/>
        <v>74.4</v>
      </c>
      <c r="N326" s="17">
        <f t="shared" si="303"/>
        <v>71.3</v>
      </c>
      <c r="O326" s="17">
        <f t="shared" si="304"/>
        <v>68.2</v>
      </c>
    </row>
    <row r="327">
      <c r="A327" s="9" t="s">
        <v>19</v>
      </c>
      <c r="B327" s="38" t="s">
        <v>135</v>
      </c>
      <c r="C327" s="38" t="s">
        <v>143</v>
      </c>
      <c r="D327" s="56"/>
      <c r="E327" s="56"/>
      <c r="F327" s="10" t="s">
        <v>162</v>
      </c>
      <c r="G327" s="38" t="s">
        <v>163</v>
      </c>
      <c r="H327" s="54" t="s">
        <v>167</v>
      </c>
      <c r="I327" s="55">
        <v>63.0</v>
      </c>
      <c r="J327" s="16">
        <f t="shared" si="300"/>
        <v>94.5</v>
      </c>
      <c r="K327" s="16">
        <f t="shared" ref="K327:L327" si="332">I327*1.3</f>
        <v>81.9</v>
      </c>
      <c r="L327" s="16">
        <f t="shared" si="332"/>
        <v>122.85</v>
      </c>
      <c r="M327" s="17">
        <f t="shared" si="302"/>
        <v>75.6</v>
      </c>
      <c r="N327" s="17">
        <f t="shared" si="303"/>
        <v>72.45</v>
      </c>
      <c r="O327" s="17">
        <f t="shared" si="304"/>
        <v>69.3</v>
      </c>
    </row>
    <row r="328">
      <c r="A328" s="9" t="s">
        <v>19</v>
      </c>
      <c r="B328" s="38" t="s">
        <v>135</v>
      </c>
      <c r="C328" s="38" t="s">
        <v>168</v>
      </c>
      <c r="D328" s="13"/>
      <c r="E328" s="54" t="s">
        <v>169</v>
      </c>
      <c r="F328" s="54" t="s">
        <v>170</v>
      </c>
      <c r="G328" s="13"/>
      <c r="H328" s="13"/>
      <c r="I328" s="55">
        <v>1300.0</v>
      </c>
      <c r="J328" s="16">
        <f t="shared" si="300"/>
        <v>1950</v>
      </c>
      <c r="K328" s="16">
        <f t="shared" ref="K328:L328" si="333">I328*1.3</f>
        <v>1690</v>
      </c>
      <c r="L328" s="16">
        <f t="shared" si="333"/>
        <v>2535</v>
      </c>
      <c r="M328" s="17">
        <f t="shared" si="302"/>
        <v>1560</v>
      </c>
      <c r="N328" s="17">
        <f t="shared" si="303"/>
        <v>1495</v>
      </c>
      <c r="O328" s="17">
        <f t="shared" si="304"/>
        <v>1430</v>
      </c>
    </row>
    <row r="329">
      <c r="A329" s="9" t="s">
        <v>19</v>
      </c>
      <c r="B329" s="38" t="s">
        <v>135</v>
      </c>
      <c r="C329" s="38" t="s">
        <v>168</v>
      </c>
      <c r="D329" s="13"/>
      <c r="E329" s="54" t="s">
        <v>171</v>
      </c>
      <c r="F329" s="54" t="s">
        <v>172</v>
      </c>
      <c r="G329" s="13"/>
      <c r="H329" s="13"/>
      <c r="I329" s="55">
        <v>1300.0</v>
      </c>
      <c r="J329" s="16">
        <f t="shared" si="300"/>
        <v>1950</v>
      </c>
      <c r="K329" s="16">
        <f t="shared" ref="K329:L329" si="334">I329*1.3</f>
        <v>1690</v>
      </c>
      <c r="L329" s="16">
        <f t="shared" si="334"/>
        <v>2535</v>
      </c>
      <c r="M329" s="17">
        <f t="shared" si="302"/>
        <v>1560</v>
      </c>
      <c r="N329" s="17">
        <f t="shared" si="303"/>
        <v>1495</v>
      </c>
      <c r="O329" s="17">
        <f t="shared" si="304"/>
        <v>1430</v>
      </c>
    </row>
    <row r="330">
      <c r="A330" s="9" t="s">
        <v>19</v>
      </c>
      <c r="B330" s="38" t="s">
        <v>135</v>
      </c>
      <c r="C330" s="38" t="s">
        <v>168</v>
      </c>
      <c r="D330" s="13"/>
      <c r="E330" s="54" t="s">
        <v>173</v>
      </c>
      <c r="F330" s="54" t="s">
        <v>174</v>
      </c>
      <c r="G330" s="13"/>
      <c r="H330" s="13"/>
      <c r="I330" s="55">
        <v>1900.0</v>
      </c>
      <c r="J330" s="16">
        <f t="shared" si="300"/>
        <v>2850</v>
      </c>
      <c r="K330" s="16">
        <f t="shared" ref="K330:L330" si="335">I330*1.3</f>
        <v>2470</v>
      </c>
      <c r="L330" s="16">
        <f t="shared" si="335"/>
        <v>3705</v>
      </c>
      <c r="M330" s="17">
        <f t="shared" si="302"/>
        <v>2280</v>
      </c>
      <c r="N330" s="17">
        <f t="shared" si="303"/>
        <v>2185</v>
      </c>
      <c r="O330" s="17">
        <f t="shared" si="304"/>
        <v>2090</v>
      </c>
    </row>
    <row r="331">
      <c r="A331" s="9" t="s">
        <v>19</v>
      </c>
      <c r="B331" s="38" t="s">
        <v>135</v>
      </c>
      <c r="C331" s="38" t="s">
        <v>168</v>
      </c>
      <c r="D331" s="13"/>
      <c r="E331" s="54" t="s">
        <v>175</v>
      </c>
      <c r="F331" s="54" t="s">
        <v>176</v>
      </c>
      <c r="G331" s="13"/>
      <c r="H331" s="13"/>
      <c r="I331" s="55">
        <v>1950.0</v>
      </c>
      <c r="J331" s="16">
        <f t="shared" si="300"/>
        <v>2925</v>
      </c>
      <c r="K331" s="16">
        <f t="shared" ref="K331:L331" si="336">I331*1.3</f>
        <v>2535</v>
      </c>
      <c r="L331" s="16">
        <f t="shared" si="336"/>
        <v>3802.5</v>
      </c>
      <c r="M331" s="17">
        <f t="shared" si="302"/>
        <v>2340</v>
      </c>
      <c r="N331" s="17">
        <f t="shared" si="303"/>
        <v>2242.5</v>
      </c>
      <c r="O331" s="17">
        <f t="shared" si="304"/>
        <v>2145</v>
      </c>
    </row>
    <row r="332">
      <c r="A332" s="9" t="s">
        <v>19</v>
      </c>
      <c r="B332" s="38" t="s">
        <v>135</v>
      </c>
      <c r="C332" s="38" t="s">
        <v>168</v>
      </c>
      <c r="D332" s="13"/>
      <c r="E332" s="54" t="s">
        <v>177</v>
      </c>
      <c r="F332" s="54" t="s">
        <v>178</v>
      </c>
      <c r="G332" s="13"/>
      <c r="H332" s="13"/>
      <c r="I332" s="55">
        <v>3050.0</v>
      </c>
      <c r="J332" s="16">
        <f t="shared" si="300"/>
        <v>4575</v>
      </c>
      <c r="K332" s="16">
        <f t="shared" ref="K332:L332" si="337">I332*1.3</f>
        <v>3965</v>
      </c>
      <c r="L332" s="16">
        <f t="shared" si="337"/>
        <v>5947.5</v>
      </c>
      <c r="M332" s="17">
        <f t="shared" si="302"/>
        <v>3660</v>
      </c>
      <c r="N332" s="17">
        <f t="shared" si="303"/>
        <v>3507.5</v>
      </c>
      <c r="O332" s="17">
        <f t="shared" si="304"/>
        <v>3355</v>
      </c>
    </row>
    <row r="333">
      <c r="A333" s="9" t="s">
        <v>19</v>
      </c>
      <c r="B333" s="38" t="s">
        <v>135</v>
      </c>
      <c r="C333" s="38" t="s">
        <v>168</v>
      </c>
      <c r="D333" s="13"/>
      <c r="E333" s="54" t="s">
        <v>179</v>
      </c>
      <c r="F333" s="54" t="s">
        <v>180</v>
      </c>
      <c r="G333" s="13"/>
      <c r="H333" s="13"/>
      <c r="I333" s="55">
        <v>3150.0</v>
      </c>
      <c r="J333" s="16">
        <f t="shared" si="300"/>
        <v>4725</v>
      </c>
      <c r="K333" s="16">
        <f t="shared" ref="K333:L333" si="338">I333*1.3</f>
        <v>4095</v>
      </c>
      <c r="L333" s="16">
        <f t="shared" si="338"/>
        <v>6142.5</v>
      </c>
      <c r="M333" s="17">
        <f t="shared" si="302"/>
        <v>3780</v>
      </c>
      <c r="N333" s="17">
        <f t="shared" si="303"/>
        <v>3622.5</v>
      </c>
      <c r="O333" s="17">
        <f t="shared" si="304"/>
        <v>3465</v>
      </c>
    </row>
    <row r="334">
      <c r="A334" s="9" t="s">
        <v>19</v>
      </c>
      <c r="B334" s="38" t="s">
        <v>135</v>
      </c>
      <c r="C334" s="38" t="s">
        <v>168</v>
      </c>
      <c r="D334" s="13"/>
      <c r="E334" s="54" t="s">
        <v>181</v>
      </c>
      <c r="F334" s="54" t="s">
        <v>182</v>
      </c>
      <c r="G334" s="13"/>
      <c r="H334" s="13"/>
      <c r="I334" s="55">
        <v>5200.0</v>
      </c>
      <c r="J334" s="16">
        <f t="shared" si="300"/>
        <v>7800</v>
      </c>
      <c r="K334" s="16">
        <f t="shared" ref="K334:L334" si="339">I334*1.3</f>
        <v>6760</v>
      </c>
      <c r="L334" s="16">
        <f t="shared" si="339"/>
        <v>10140</v>
      </c>
      <c r="M334" s="17">
        <f t="shared" si="302"/>
        <v>6240</v>
      </c>
      <c r="N334" s="17">
        <f t="shared" si="303"/>
        <v>5980</v>
      </c>
      <c r="O334" s="17">
        <f t="shared" si="304"/>
        <v>5720</v>
      </c>
    </row>
    <row r="335">
      <c r="A335" s="9" t="s">
        <v>19</v>
      </c>
      <c r="B335" s="38" t="s">
        <v>135</v>
      </c>
      <c r="C335" s="38" t="s">
        <v>168</v>
      </c>
      <c r="D335" s="13"/>
      <c r="E335" s="54" t="s">
        <v>183</v>
      </c>
      <c r="F335" s="54" t="s">
        <v>184</v>
      </c>
      <c r="G335" s="13"/>
      <c r="H335" s="13"/>
      <c r="I335" s="55">
        <v>1850.0</v>
      </c>
      <c r="J335" s="16">
        <f t="shared" si="300"/>
        <v>2775</v>
      </c>
      <c r="K335" s="16">
        <f t="shared" ref="K335:L335" si="340">I335*1.3</f>
        <v>2405</v>
      </c>
      <c r="L335" s="16">
        <f t="shared" si="340"/>
        <v>3607.5</v>
      </c>
      <c r="M335" s="17">
        <f t="shared" si="302"/>
        <v>2220</v>
      </c>
      <c r="N335" s="17">
        <f t="shared" si="303"/>
        <v>2127.5</v>
      </c>
      <c r="O335" s="17">
        <f t="shared" si="304"/>
        <v>2035</v>
      </c>
    </row>
    <row r="336">
      <c r="A336" s="9" t="s">
        <v>19</v>
      </c>
      <c r="B336" s="38" t="s">
        <v>135</v>
      </c>
      <c r="C336" s="38" t="s">
        <v>168</v>
      </c>
      <c r="D336" s="13"/>
      <c r="E336" s="54" t="s">
        <v>185</v>
      </c>
      <c r="F336" s="54" t="s">
        <v>186</v>
      </c>
      <c r="G336" s="13"/>
      <c r="H336" s="13"/>
      <c r="I336" s="55">
        <v>2800.0</v>
      </c>
      <c r="J336" s="16">
        <f t="shared" si="300"/>
        <v>4200</v>
      </c>
      <c r="K336" s="16">
        <f t="shared" ref="K336:L336" si="341">I336*1.3</f>
        <v>3640</v>
      </c>
      <c r="L336" s="16">
        <f t="shared" si="341"/>
        <v>5460</v>
      </c>
      <c r="M336" s="17">
        <f t="shared" si="302"/>
        <v>3360</v>
      </c>
      <c r="N336" s="17">
        <f t="shared" si="303"/>
        <v>3220</v>
      </c>
      <c r="O336" s="17">
        <f t="shared" si="304"/>
        <v>3080</v>
      </c>
    </row>
    <row r="337">
      <c r="A337" s="9" t="s">
        <v>19</v>
      </c>
      <c r="B337" s="38" t="s">
        <v>135</v>
      </c>
      <c r="C337" s="38" t="s">
        <v>168</v>
      </c>
      <c r="D337" s="13"/>
      <c r="E337" s="57" t="s">
        <v>187</v>
      </c>
      <c r="F337" s="54" t="s">
        <v>188</v>
      </c>
      <c r="G337" s="13"/>
      <c r="H337" s="13"/>
      <c r="I337" s="55">
        <v>4100.0</v>
      </c>
      <c r="J337" s="16">
        <f t="shared" si="300"/>
        <v>6150</v>
      </c>
      <c r="K337" s="16">
        <f t="shared" ref="K337:L337" si="342">I337*1.3</f>
        <v>5330</v>
      </c>
      <c r="L337" s="16">
        <f t="shared" si="342"/>
        <v>7995</v>
      </c>
      <c r="M337" s="17">
        <f t="shared" si="302"/>
        <v>4920</v>
      </c>
      <c r="N337" s="17">
        <f t="shared" si="303"/>
        <v>4715</v>
      </c>
      <c r="O337" s="17">
        <f t="shared" si="304"/>
        <v>4510</v>
      </c>
    </row>
    <row r="338">
      <c r="A338" s="9" t="s">
        <v>19</v>
      </c>
      <c r="B338" s="38" t="s">
        <v>135</v>
      </c>
      <c r="C338" s="38" t="s">
        <v>168</v>
      </c>
      <c r="D338" s="13"/>
      <c r="E338" s="54" t="s">
        <v>189</v>
      </c>
      <c r="F338" s="54" t="s">
        <v>190</v>
      </c>
      <c r="G338" s="13"/>
      <c r="H338" s="13"/>
      <c r="I338" s="55">
        <v>2200.0</v>
      </c>
      <c r="J338" s="16">
        <f t="shared" si="300"/>
        <v>3300</v>
      </c>
      <c r="K338" s="16">
        <f t="shared" ref="K338:L338" si="343">I338*1.3</f>
        <v>2860</v>
      </c>
      <c r="L338" s="16">
        <f t="shared" si="343"/>
        <v>4290</v>
      </c>
      <c r="M338" s="17">
        <f t="shared" si="302"/>
        <v>2640</v>
      </c>
      <c r="N338" s="17">
        <f t="shared" si="303"/>
        <v>2530</v>
      </c>
      <c r="O338" s="17">
        <f t="shared" si="304"/>
        <v>2420</v>
      </c>
    </row>
    <row r="339">
      <c r="A339" s="9" t="s">
        <v>19</v>
      </c>
      <c r="B339" s="38" t="s">
        <v>135</v>
      </c>
      <c r="C339" s="38" t="s">
        <v>168</v>
      </c>
      <c r="D339" s="13"/>
      <c r="E339" s="54" t="s">
        <v>191</v>
      </c>
      <c r="F339" s="54" t="s">
        <v>192</v>
      </c>
      <c r="G339" s="13"/>
      <c r="H339" s="13"/>
      <c r="I339" s="55">
        <v>4850.0</v>
      </c>
      <c r="J339" s="16">
        <f t="shared" si="300"/>
        <v>7275</v>
      </c>
      <c r="K339" s="16">
        <f t="shared" ref="K339:L339" si="344">I339*1.3</f>
        <v>6305</v>
      </c>
      <c r="L339" s="16">
        <f t="shared" si="344"/>
        <v>9457.5</v>
      </c>
      <c r="M339" s="17">
        <f t="shared" si="302"/>
        <v>5820</v>
      </c>
      <c r="N339" s="17">
        <f t="shared" si="303"/>
        <v>5577.5</v>
      </c>
      <c r="O339" s="17">
        <f t="shared" si="304"/>
        <v>5335</v>
      </c>
    </row>
    <row r="340">
      <c r="A340" s="9" t="s">
        <v>19</v>
      </c>
      <c r="B340" s="38" t="s">
        <v>135</v>
      </c>
      <c r="C340" s="38" t="s">
        <v>168</v>
      </c>
      <c r="D340" s="13"/>
      <c r="E340" s="54" t="s">
        <v>193</v>
      </c>
      <c r="F340" s="54" t="s">
        <v>194</v>
      </c>
      <c r="G340" s="13"/>
      <c r="H340" s="13"/>
      <c r="I340" s="55">
        <v>350.0</v>
      </c>
      <c r="J340" s="16">
        <f t="shared" si="300"/>
        <v>525</v>
      </c>
      <c r="K340" s="16">
        <f t="shared" ref="K340:L340" si="345">I340*1.3</f>
        <v>455</v>
      </c>
      <c r="L340" s="16">
        <f t="shared" si="345"/>
        <v>682.5</v>
      </c>
      <c r="M340" s="17">
        <f t="shared" si="302"/>
        <v>420</v>
      </c>
      <c r="N340" s="17">
        <f t="shared" si="303"/>
        <v>402.5</v>
      </c>
      <c r="O340" s="17">
        <f t="shared" si="304"/>
        <v>385</v>
      </c>
    </row>
    <row r="341">
      <c r="A341" s="9" t="s">
        <v>19</v>
      </c>
      <c r="B341" s="38" t="s">
        <v>135</v>
      </c>
      <c r="C341" s="38" t="s">
        <v>195</v>
      </c>
      <c r="D341" s="13"/>
      <c r="E341" s="57" t="s">
        <v>196</v>
      </c>
      <c r="F341" s="57" t="s">
        <v>197</v>
      </c>
      <c r="G341" s="13"/>
      <c r="H341" s="13"/>
      <c r="I341" s="55">
        <v>15100.0</v>
      </c>
      <c r="J341" s="16">
        <f t="shared" si="300"/>
        <v>22650</v>
      </c>
      <c r="K341" s="16">
        <f t="shared" ref="K341:L341" si="346">I341*1.3</f>
        <v>19630</v>
      </c>
      <c r="L341" s="16">
        <f t="shared" si="346"/>
        <v>29445</v>
      </c>
      <c r="M341" s="17">
        <f t="shared" si="302"/>
        <v>18120</v>
      </c>
      <c r="N341" s="17">
        <f t="shared" si="303"/>
        <v>17365</v>
      </c>
      <c r="O341" s="17">
        <f t="shared" si="304"/>
        <v>16610</v>
      </c>
    </row>
    <row r="342">
      <c r="A342" s="9" t="s">
        <v>19</v>
      </c>
      <c r="B342" s="38" t="s">
        <v>135</v>
      </c>
      <c r="C342" s="38" t="s">
        <v>195</v>
      </c>
      <c r="D342" s="13"/>
      <c r="E342" s="54" t="s">
        <v>198</v>
      </c>
      <c r="F342" s="54" t="s">
        <v>199</v>
      </c>
      <c r="G342" s="13"/>
      <c r="H342" s="13"/>
      <c r="I342" s="55">
        <v>4350.0</v>
      </c>
      <c r="J342" s="16">
        <f t="shared" si="300"/>
        <v>6525</v>
      </c>
      <c r="K342" s="16">
        <f t="shared" ref="K342:L342" si="347">I342*1.3</f>
        <v>5655</v>
      </c>
      <c r="L342" s="16">
        <f t="shared" si="347"/>
        <v>8482.5</v>
      </c>
      <c r="M342" s="17">
        <f t="shared" si="302"/>
        <v>5220</v>
      </c>
      <c r="N342" s="17">
        <f t="shared" si="303"/>
        <v>5002.5</v>
      </c>
      <c r="O342" s="17">
        <f t="shared" si="304"/>
        <v>4785</v>
      </c>
    </row>
    <row r="343">
      <c r="A343" s="9" t="s">
        <v>19</v>
      </c>
      <c r="B343" s="38" t="s">
        <v>135</v>
      </c>
      <c r="C343" s="38" t="s">
        <v>195</v>
      </c>
      <c r="D343" s="13"/>
      <c r="E343" s="54" t="s">
        <v>200</v>
      </c>
      <c r="F343" s="54" t="s">
        <v>201</v>
      </c>
      <c r="G343" s="13"/>
      <c r="H343" s="13"/>
      <c r="I343" s="55">
        <v>4100.0</v>
      </c>
      <c r="J343" s="16">
        <f t="shared" si="300"/>
        <v>6150</v>
      </c>
      <c r="K343" s="16">
        <f t="shared" ref="K343:L343" si="348">I343*1.3</f>
        <v>5330</v>
      </c>
      <c r="L343" s="16">
        <f t="shared" si="348"/>
        <v>7995</v>
      </c>
      <c r="M343" s="17">
        <f t="shared" si="302"/>
        <v>4920</v>
      </c>
      <c r="N343" s="17">
        <f t="shared" si="303"/>
        <v>4715</v>
      </c>
      <c r="O343" s="17">
        <f t="shared" si="304"/>
        <v>4510</v>
      </c>
    </row>
    <row r="344">
      <c r="A344" s="9" t="s">
        <v>19</v>
      </c>
      <c r="B344" s="38" t="s">
        <v>135</v>
      </c>
      <c r="C344" s="38" t="s">
        <v>195</v>
      </c>
      <c r="D344" s="13"/>
      <c r="E344" s="54" t="s">
        <v>202</v>
      </c>
      <c r="F344" s="54" t="s">
        <v>203</v>
      </c>
      <c r="G344" s="13"/>
      <c r="H344" s="13"/>
      <c r="I344" s="55">
        <v>1950.0</v>
      </c>
      <c r="J344" s="16">
        <f t="shared" si="300"/>
        <v>2925</v>
      </c>
      <c r="K344" s="16">
        <f t="shared" ref="K344:L344" si="349">I344*1.3</f>
        <v>2535</v>
      </c>
      <c r="L344" s="16">
        <f t="shared" si="349"/>
        <v>3802.5</v>
      </c>
      <c r="M344" s="17">
        <f t="shared" si="302"/>
        <v>2340</v>
      </c>
      <c r="N344" s="17">
        <f t="shared" si="303"/>
        <v>2242.5</v>
      </c>
      <c r="O344" s="17">
        <f t="shared" si="304"/>
        <v>2145</v>
      </c>
    </row>
    <row r="345">
      <c r="A345" s="9" t="s">
        <v>19</v>
      </c>
      <c r="B345" s="38" t="s">
        <v>135</v>
      </c>
      <c r="C345" s="38" t="s">
        <v>204</v>
      </c>
      <c r="D345" s="13"/>
      <c r="E345" s="9" t="s">
        <v>205</v>
      </c>
      <c r="F345" s="9" t="s">
        <v>205</v>
      </c>
      <c r="G345" s="13"/>
      <c r="H345" s="13"/>
      <c r="I345" s="55">
        <v>3800.0</v>
      </c>
      <c r="J345" s="16">
        <f t="shared" si="300"/>
        <v>5700</v>
      </c>
      <c r="K345" s="16">
        <f t="shared" ref="K345:L345" si="350">I345*1.3</f>
        <v>4940</v>
      </c>
      <c r="L345" s="16">
        <f t="shared" si="350"/>
        <v>7410</v>
      </c>
      <c r="M345" s="17">
        <f t="shared" si="302"/>
        <v>4560</v>
      </c>
      <c r="N345" s="17">
        <f t="shared" si="303"/>
        <v>4370</v>
      </c>
      <c r="O345" s="17">
        <f t="shared" si="304"/>
        <v>4180</v>
      </c>
    </row>
    <row r="346">
      <c r="A346" s="9" t="s">
        <v>19</v>
      </c>
      <c r="B346" s="38" t="s">
        <v>135</v>
      </c>
      <c r="C346" s="38" t="s">
        <v>204</v>
      </c>
      <c r="D346" s="13"/>
      <c r="E346" s="9" t="s">
        <v>206</v>
      </c>
      <c r="F346" s="9" t="s">
        <v>205</v>
      </c>
      <c r="G346" s="13"/>
      <c r="H346" s="13"/>
      <c r="I346" s="55">
        <v>4850.0</v>
      </c>
      <c r="J346" s="16">
        <f t="shared" si="300"/>
        <v>7275</v>
      </c>
      <c r="K346" s="16">
        <f t="shared" ref="K346:L346" si="351">I346*1.3</f>
        <v>6305</v>
      </c>
      <c r="L346" s="16">
        <f t="shared" si="351"/>
        <v>9457.5</v>
      </c>
      <c r="M346" s="17">
        <f t="shared" si="302"/>
        <v>5820</v>
      </c>
      <c r="N346" s="17">
        <f t="shared" si="303"/>
        <v>5577.5</v>
      </c>
      <c r="O346" s="17">
        <f t="shared" si="304"/>
        <v>5335</v>
      </c>
    </row>
  </sheetData>
  <autoFilter ref="$A$2:$O$346"/>
  <mergeCells count="56">
    <mergeCell ref="F159:F176"/>
    <mergeCell ref="E177:E194"/>
    <mergeCell ref="F177:F194"/>
    <mergeCell ref="E67:E84"/>
    <mergeCell ref="F67:F84"/>
    <mergeCell ref="D95:D158"/>
    <mergeCell ref="E95:E112"/>
    <mergeCell ref="F95:F112"/>
    <mergeCell ref="F113:F130"/>
    <mergeCell ref="D159:D224"/>
    <mergeCell ref="D292:D294"/>
    <mergeCell ref="D295:D300"/>
    <mergeCell ref="D301:D306"/>
    <mergeCell ref="D307:D308"/>
    <mergeCell ref="D309:D311"/>
    <mergeCell ref="D313:D315"/>
    <mergeCell ref="C292:C294"/>
    <mergeCell ref="C301:C302"/>
    <mergeCell ref="C303:C304"/>
    <mergeCell ref="C313:C315"/>
    <mergeCell ref="E301:E304"/>
    <mergeCell ref="E305:E306"/>
    <mergeCell ref="E307:E308"/>
    <mergeCell ref="E310:E311"/>
    <mergeCell ref="D225:D291"/>
    <mergeCell ref="E225:E242"/>
    <mergeCell ref="E243:E260"/>
    <mergeCell ref="E261:E278"/>
    <mergeCell ref="E292:E294"/>
    <mergeCell ref="E295:E297"/>
    <mergeCell ref="E298:E300"/>
    <mergeCell ref="E49:E66"/>
    <mergeCell ref="F49:F66"/>
    <mergeCell ref="A1:I1"/>
    <mergeCell ref="J1:K1"/>
    <mergeCell ref="L1:M1"/>
    <mergeCell ref="N1:O1"/>
    <mergeCell ref="D31:D94"/>
    <mergeCell ref="E31:E48"/>
    <mergeCell ref="F31:F48"/>
    <mergeCell ref="E131:E148"/>
    <mergeCell ref="F131:F148"/>
    <mergeCell ref="E113:E130"/>
    <mergeCell ref="E159:E176"/>
    <mergeCell ref="E195:E212"/>
    <mergeCell ref="F195:F212"/>
    <mergeCell ref="F225:F242"/>
    <mergeCell ref="F243:F260"/>
    <mergeCell ref="F261:F278"/>
    <mergeCell ref="F292:F294"/>
    <mergeCell ref="H293:H294"/>
    <mergeCell ref="F295:F296"/>
    <mergeCell ref="F298:F300"/>
    <mergeCell ref="F301:F302"/>
    <mergeCell ref="C295:C296"/>
    <mergeCell ref="C298:C300"/>
  </mergeCells>
  <drawing r:id="rId1"/>
</worksheet>
</file>