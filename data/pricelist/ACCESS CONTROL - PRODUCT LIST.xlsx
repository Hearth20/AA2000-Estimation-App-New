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LIST" sheetId="1" r:id="rId5"/>
  </sheets>
  <definedNames>
    <definedName hidden="1" localSheetId="0" name="_xlnm._FilterDatabase">PRICELIST!$A$2:$O$764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6">
      <text>
        <t xml:space="preserve">Gold prize: 55
SRP: 80</t>
      </text>
    </comment>
  </commentList>
</comments>
</file>

<file path=xl/sharedStrings.xml><?xml version="1.0" encoding="utf-8"?>
<sst xmlns="http://schemas.openxmlformats.org/spreadsheetml/2006/main" count="4198" uniqueCount="1491">
  <si>
    <t>PRODUCT INFORMATION</t>
  </si>
  <si>
    <t>SRP (End-User)</t>
  </si>
  <si>
    <t>DEALER's PRICE</t>
  </si>
  <si>
    <t>CONTRACTOR's PRICE</t>
  </si>
  <si>
    <t>BRAND</t>
  </si>
  <si>
    <t>CATEGORY</t>
  </si>
  <si>
    <t>SUB CATEGORY</t>
  </si>
  <si>
    <t>TYPE</t>
  </si>
  <si>
    <t>MODEL</t>
  </si>
  <si>
    <t>ITEM DESCRIPTION</t>
  </si>
  <si>
    <t>OTHER DESCRIPTION</t>
  </si>
  <si>
    <t>UPDATED PRICE</t>
  </si>
  <si>
    <t>COMPATIBLE DEVICES</t>
  </si>
  <si>
    <t xml:space="preserve"> Small Volume
(50% Mark-Up) </t>
  </si>
  <si>
    <t xml:space="preserve"> Big Volume
(30% Mark-Up) </t>
  </si>
  <si>
    <t xml:space="preserve"> Small Volume
(30% Mark-Up) </t>
  </si>
  <si>
    <t xml:space="preserve"> Big Volume
(20% Mark-Up) </t>
  </si>
  <si>
    <t xml:space="preserve"> Small Volume
(15% Mark-Up) </t>
  </si>
  <si>
    <t xml:space="preserve"> Big Volume
(10% Mark-Up) </t>
  </si>
  <si>
    <t>ZKTECO</t>
  </si>
  <si>
    <t>UHF</t>
  </si>
  <si>
    <t>UHF reader</t>
  </si>
  <si>
    <t>Standalone device</t>
  </si>
  <si>
    <t>UHF 5 Pro series</t>
  </si>
  <si>
    <t>New long distance RFID UHF reader with LED 
Reading distance:0-8m(For Hand-held testing)
Reading distance:0-5m(For noncontact vehicle management)
Comunication:Wiegand26/34,USB ,RS485(opetional)
Size: 308*308*67
ZKTeco Logo
unencrypted reader
E: means frequency band(865MHz-868MHz)
F: means frequency band(902MHz-906MHz)</t>
  </si>
  <si>
    <t>UHF 10 pro series</t>
  </si>
  <si>
    <t>New long distance RFID UHF reader with LED 
Reading distance:0-20m(For Hand-held testing)
Reading distance:0-5m(For noncontact vehicle management)
Comunication:Wiegand26/34,USB ,RS485(opetional)
Size: 445*445*67
ZKTeco Logo
unencrypted reader
E: means frequency band(865MHz-868MHz)
F: means frequency band(902MHz-906MHz)</t>
  </si>
  <si>
    <t>UHF 6E Pro</t>
  </si>
  <si>
    <r>
      <rPr>
        <rFont val="Arial"/>
        <color theme="1"/>
        <sz val="10.0"/>
      </rPr>
      <t>*Ultra-long range RFID UHF reader</t>
    </r>
    <r>
      <rPr>
        <rFont val="Arial"/>
        <color theme="1"/>
        <sz val="10.0"/>
      </rPr>
      <t xml:space="preserve">
Reading distance:0-18m(Recommend distance:0-12m)
Stronger penetration ability for general metal explosion-proof film;
ZKTeco Logo</t>
    </r>
    <r>
      <rPr>
        <rFont val="Arial"/>
        <color theme="1"/>
        <sz val="10.0"/>
      </rPr>
      <t>；</t>
    </r>
    <r>
      <rPr>
        <rFont val="Arial"/>
        <color theme="1"/>
        <sz val="10.0"/>
      </rPr>
      <t>Black</t>
    </r>
    <r>
      <rPr>
        <rFont val="Arial"/>
        <color theme="1"/>
        <sz val="10.0"/>
      </rPr>
      <t>；</t>
    </r>
    <r>
      <rPr>
        <rFont val="Arial"/>
        <color theme="1"/>
        <sz val="10.0"/>
      </rPr>
      <t xml:space="preserve">
Unencrypted</t>
    </r>
    <r>
      <rPr>
        <rFont val="Arial"/>
        <color theme="1"/>
        <sz val="10.0"/>
      </rPr>
      <t>；</t>
    </r>
    <r>
      <rPr>
        <rFont val="Arial"/>
        <color theme="1"/>
        <sz val="10.0"/>
      </rPr>
      <t xml:space="preserve">
Adopt Impinj Indy R2000 chip</t>
    </r>
    <r>
      <rPr>
        <rFont val="Arial"/>
        <color theme="1"/>
        <sz val="10.0"/>
      </rPr>
      <t>；</t>
    </r>
    <r>
      <rPr>
        <rFont val="Arial"/>
        <color theme="1"/>
        <sz val="10.0"/>
      </rPr>
      <t xml:space="preserve">
</t>
    </r>
    <r>
      <rPr>
        <rFont val="Arial"/>
        <color rgb="FFFF0000"/>
        <sz val="10.0"/>
      </rPr>
      <t>865MHz ~868MHz</t>
    </r>
  </si>
  <si>
    <t>UHF 6F Pro</t>
  </si>
  <si>
    <t>Base on UHF 6E pro specifications, only frequecey different
920MHz ~ 928MHz</t>
  </si>
  <si>
    <t>UHF1-5E</t>
  </si>
  <si>
    <r>
      <rPr>
        <rFont val="Arial"/>
        <color theme="1"/>
        <sz val="10.0"/>
      </rPr>
      <t>* Middle distance RFID UHF reader</t>
    </r>
    <r>
      <rPr>
        <rFont val="Arial"/>
        <color rgb="FF000000"/>
        <sz val="10.0"/>
      </rPr>
      <t xml:space="preserve">
Reading distance:0-6m(</t>
    </r>
    <r>
      <rPr>
        <rFont val="Arial"/>
        <color rgb="FFFF0000"/>
        <sz val="10.0"/>
      </rPr>
      <t>For Hand-held testing</t>
    </r>
    <r>
      <rPr>
        <rFont val="Arial"/>
        <color rgb="FF000000"/>
        <sz val="10.0"/>
      </rPr>
      <t>)
Reading distance:0-3m(</t>
    </r>
    <r>
      <rPr>
        <rFont val="Arial"/>
        <color rgb="FFFF0000"/>
        <sz val="10.0"/>
      </rPr>
      <t>For noncontact accss management</t>
    </r>
    <r>
      <rPr>
        <rFont val="Arial"/>
        <color rgb="FF000000"/>
        <sz val="10.0"/>
      </rPr>
      <t>)
Comunication:Wiegand26/34,USB
Size: 250*250*72mm
Blank  Logo
1: means encrypted
E: means frequency band(</t>
    </r>
    <r>
      <rPr>
        <rFont val="Arial"/>
        <color theme="1"/>
        <sz val="10.0"/>
      </rPr>
      <t>865MHz-868MHz</t>
    </r>
    <r>
      <rPr>
        <rFont val="Arial"/>
        <color rgb="FF000000"/>
        <sz val="10.0"/>
      </rPr>
      <t>)
Application:
Noncontact access control management
(Reading distance for 0-3m)</t>
    </r>
  </si>
  <si>
    <t>UHF1-5F</t>
  </si>
  <si>
    <t>Base on UHF1-5E specifications
1: means encrypted
F: means frequency band(902MHz-926MHz)</t>
  </si>
  <si>
    <t>UHF2-5E</t>
  </si>
  <si>
    <t>Base on UHF1-5E specification
2: means unencrypted
E: means frequency band(865MHz-868MHz)</t>
  </si>
  <si>
    <t>UHF2-5F</t>
  </si>
  <si>
    <t>Base on UHF1-5E specification
2: means unencrypted
F: means frequency band(902MHz-926MHz)</t>
  </si>
  <si>
    <t>UHF10 Series</t>
  </si>
  <si>
    <r>
      <rPr>
        <rFont val="Arial"/>
        <color rgb="FF000000"/>
        <sz val="10.0"/>
      </rPr>
      <t>* Long distance RFID UHF reader</t>
    </r>
    <r>
      <rPr>
        <rFont val="Arial"/>
        <color rgb="FF000000"/>
        <sz val="10.0"/>
      </rPr>
      <t xml:space="preserve">
Reading distance:0-12m(</t>
    </r>
    <r>
      <rPr>
        <rFont val="Arial"/>
        <color rgb="FFFF0000"/>
        <sz val="10.0"/>
      </rPr>
      <t>For Hand-held testing</t>
    </r>
    <r>
      <rPr>
        <rFont val="Arial"/>
        <color rgb="FF000000"/>
        <sz val="10.0"/>
      </rPr>
      <t>)
Reading distance:0-6m
(</t>
    </r>
    <r>
      <rPr>
        <rFont val="Arial"/>
        <color rgb="FFFF0000"/>
        <sz val="10.0"/>
      </rPr>
      <t>For long distance fixed vehicle access management</t>
    </r>
    <r>
      <rPr>
        <rFont val="Arial"/>
        <color rgb="FF000000"/>
        <sz val="10.0"/>
      </rPr>
      <t>)
Comunication:Wiegand26/34,USB;
Size: 445*445*90mm
1: means encrypted
2: means unencrypted
E: means EU standard frequency band(865MHz-868MHz)
F: means American standard frequency band(902MHz-926MHz)
Application:
Long distancen fixed vehicle access management 
(Reading distance for 0-6m)</t>
    </r>
  </si>
  <si>
    <t>U1000 Series</t>
  </si>
  <si>
    <r>
      <rPr>
        <rFont val="Arial"/>
        <color rgb="FF000000"/>
        <sz val="10.0"/>
      </rPr>
      <t>* Middle distance RFID UHF Standalone Teiminal</t>
    </r>
    <r>
      <rPr>
        <rFont val="Arial"/>
        <color rgb="FF000000"/>
        <sz val="10.0"/>
      </rPr>
      <t xml:space="preserve">
Reading distance:0-6m(</t>
    </r>
    <r>
      <rPr>
        <rFont val="Arial"/>
        <color rgb="FFFF0000"/>
        <sz val="10.0"/>
      </rPr>
      <t>For Hand-held testing</t>
    </r>
    <r>
      <rPr>
        <rFont val="Arial"/>
        <color rgb="FF000000"/>
        <sz val="10.0"/>
      </rPr>
      <t>)
Reading distance:0-3m(</t>
    </r>
    <r>
      <rPr>
        <rFont val="Arial"/>
        <color rgb="FFFF0000"/>
        <sz val="10.0"/>
      </rPr>
      <t>For noncontact accss management</t>
    </r>
    <r>
      <rPr>
        <rFont val="Arial"/>
        <color rgb="FF000000"/>
        <sz val="10.0"/>
      </rPr>
      <t>)
*TCP/IP,USB,Wiegand In/Out,Two Relay,Trigger,Door Sensor, Exit Button;
*Support ZKAccess3.5,ZKBioSecurity3.0
*Size: 250*250*70mm
ZKTeco Logo,Black color(Stadard)
Blank  Logo,White color(Optional)
Unencrypted
E: means frequency band(865MHz-868MHz)
F: means frequency band(902MHz-926MHz)
Application:
Noncontact access control management
(Reading distance for 0-3m)</t>
    </r>
  </si>
  <si>
    <t>U2000 Series</t>
  </si>
  <si>
    <r>
      <rPr>
        <rFont val="Arial"/>
        <color rgb="FF000000"/>
        <sz val="10.0"/>
      </rPr>
      <t>* Long distance RFID UHF Standalone Terminal</t>
    </r>
    <r>
      <rPr>
        <rFont val="Arial"/>
        <color rgb="FF000000"/>
        <sz val="10.0"/>
      </rPr>
      <t xml:space="preserve">
Reading distance:0-12m(</t>
    </r>
    <r>
      <rPr>
        <rFont val="Arial"/>
        <color rgb="FFFF0000"/>
        <sz val="10.0"/>
      </rPr>
      <t>For Hand-held testing</t>
    </r>
    <r>
      <rPr>
        <rFont val="Arial"/>
        <color rgb="FF000000"/>
        <sz val="10.0"/>
      </rPr>
      <t>)
Reading distance:0-6m
(</t>
    </r>
    <r>
      <rPr>
        <rFont val="Arial"/>
        <color rgb="FFFF0000"/>
        <sz val="10.0"/>
      </rPr>
      <t>For long distance fixed vehicle access management</t>
    </r>
    <r>
      <rPr>
        <rFont val="Arial"/>
        <color rgb="FF000000"/>
        <sz val="10.0"/>
      </rPr>
      <t>)
* TCP/IP,USB,Wiegand In/Out,Two Relay,Trigger,Door Sensor, Exit Button;
*Support ZKAccess3.5,ZKBioSecurity3.0
*Size: 445*445*70mm
ZKTeco Logo,Black color(Stadard)
Blank  Logo,White color(Optional)
Unencrypted
E: means frequency band(865MHz-868MHz)
F: means frequency band(902MHz-926MHz)
Application:
Long distancen fixed vehicle access management 
(Reading distance for 0-6m)</t>
    </r>
  </si>
  <si>
    <r>
      <rPr>
        <rFont val="Arial"/>
        <color rgb="FF000000"/>
        <sz val="10.0"/>
      </rPr>
      <t>UHF2-6
(</t>
    </r>
    <r>
      <rPr>
        <rFont val="Arial"/>
        <color rgb="FF000000"/>
        <sz val="10.0"/>
      </rPr>
      <t>巴西定制版）</t>
    </r>
  </si>
  <si>
    <r>
      <rPr>
        <rFont val="Arial"/>
        <color theme="1"/>
        <sz val="10.0"/>
      </rPr>
      <t xml:space="preserve">UHF2-6(Brazil Intelbrass Customized Version)
</t>
    </r>
    <r>
      <rPr>
        <rFont val="Arial"/>
        <color rgb="FFFF0000"/>
        <sz val="10.0"/>
      </rPr>
      <t>MOQ:50pcs</t>
    </r>
  </si>
  <si>
    <r>
      <rPr>
        <rFont val="Arial"/>
        <color rgb="FF000000"/>
        <sz val="10.0"/>
      </rPr>
      <t>UHF2-5F
    (Intelbrass</t>
    </r>
    <r>
      <rPr>
        <rFont val="Arial"/>
        <color rgb="FF000000"/>
        <sz val="10.0"/>
      </rPr>
      <t>）</t>
    </r>
  </si>
  <si>
    <r>
      <rPr>
        <rFont val="Arial"/>
        <color theme="1"/>
        <sz val="10.0"/>
      </rPr>
      <t xml:space="preserve">UHF2-5F(Brazil Intelbrass Customized Version)
</t>
    </r>
    <r>
      <rPr>
        <rFont val="Arial"/>
        <color rgb="FFFF0000"/>
        <sz val="10.0"/>
      </rPr>
      <t>MOQ:50pcs</t>
    </r>
  </si>
  <si>
    <r>
      <rPr>
        <rFont val="Arial"/>
        <color rgb="FF000000"/>
        <sz val="10.0"/>
      </rPr>
      <t>UHF1-10F
(eSSL</t>
    </r>
    <r>
      <rPr>
        <rFont val="Arial"/>
        <color rgb="FF000000"/>
        <sz val="10.0"/>
      </rPr>
      <t>定制版）</t>
    </r>
  </si>
  <si>
    <r>
      <rPr>
        <rFont val="Arial"/>
        <color theme="1"/>
        <sz val="10.0"/>
      </rPr>
      <t xml:space="preserve">UHF1-10F(eSSL customized version)
Print eSSL logo
</t>
    </r>
    <r>
      <rPr>
        <rFont val="Arial"/>
        <color rgb="FFFF0000"/>
        <sz val="10.0"/>
      </rPr>
      <t>MOQ:50pcs</t>
    </r>
  </si>
  <si>
    <t>UHT100</t>
  </si>
  <si>
    <r>
      <rPr>
        <rFont val="Arial"/>
        <color theme="1"/>
        <sz val="10.0"/>
      </rPr>
      <t xml:space="preserve">*Industrial Handheld  Smart Data Collection Terminal
</t>
    </r>
    <r>
      <rPr>
        <rFont val="Arial"/>
        <color theme="1"/>
        <sz val="10.0"/>
      </rPr>
      <t>Android 6.0</t>
    </r>
    <r>
      <rPr>
        <rFont val="Arial"/>
        <color theme="1"/>
        <sz val="10.0"/>
      </rPr>
      <t>，</t>
    </r>
    <r>
      <rPr>
        <rFont val="Arial"/>
        <color theme="1"/>
        <sz val="10.0"/>
      </rPr>
      <t>2G RAM</t>
    </r>
    <r>
      <rPr>
        <rFont val="Arial"/>
        <color theme="1"/>
        <sz val="10.0"/>
      </rPr>
      <t>，</t>
    </r>
    <r>
      <rPr>
        <rFont val="Arial"/>
        <color theme="1"/>
        <sz val="10.0"/>
      </rPr>
      <t>32G ROM</t>
    </r>
    <r>
      <rPr>
        <rFont val="Arial"/>
        <color theme="1"/>
        <sz val="10.0"/>
      </rPr>
      <t>，</t>
    </r>
    <r>
      <rPr>
        <rFont val="Arial"/>
        <color theme="1"/>
        <sz val="10.0"/>
      </rPr>
      <t>5.0-inch LCD touch screen</t>
    </r>
    <r>
      <rPr>
        <rFont val="Arial"/>
        <color theme="1"/>
        <sz val="10.0"/>
      </rPr>
      <t>；</t>
    </r>
    <r>
      <rPr>
        <rFont val="Arial"/>
        <color theme="1"/>
        <sz val="10.0"/>
      </rPr>
      <t xml:space="preserve">
AC Adapter:6000mAh chargeable lithium battery
Communication: Wi-Fi, Bluetooth4.0, USB</t>
    </r>
    <r>
      <rPr>
        <rFont val="Arial"/>
        <color theme="1"/>
        <sz val="10.0"/>
      </rPr>
      <t>；</t>
    </r>
    <r>
      <rPr>
        <rFont val="Arial"/>
        <color theme="1"/>
        <sz val="10.0"/>
      </rPr>
      <t xml:space="preserve">
Frequency:F:902MHz-928MHz,E:865MHz-868MHz</t>
    </r>
    <r>
      <rPr>
        <rFont val="Arial"/>
        <color theme="1"/>
        <sz val="10.0"/>
      </rPr>
      <t>；</t>
    </r>
    <r>
      <rPr>
        <rFont val="Arial"/>
        <color theme="1"/>
        <sz val="10.0"/>
      </rPr>
      <t xml:space="preserve">
Standard</t>
    </r>
    <r>
      <rPr>
        <rFont val="Arial"/>
        <color theme="1"/>
        <sz val="10.0"/>
      </rPr>
      <t>：</t>
    </r>
    <r>
      <rPr>
        <rFont val="Arial"/>
        <color theme="1"/>
        <sz val="10.0"/>
      </rPr>
      <t xml:space="preserve">
Top UHF Engine</t>
    </r>
    <r>
      <rPr>
        <rFont val="Arial"/>
        <color theme="1"/>
        <sz val="10.0"/>
      </rPr>
      <t>（</t>
    </r>
    <r>
      <rPr>
        <rFont val="Arial"/>
        <color theme="1"/>
        <sz val="10.0"/>
      </rPr>
      <t>Embedded with Imping Indy R2000 chip</t>
    </r>
    <r>
      <rPr>
        <rFont val="Arial"/>
        <color theme="1"/>
        <sz val="10.0"/>
      </rPr>
      <t>）；</t>
    </r>
    <r>
      <rPr>
        <rFont val="Arial"/>
        <color theme="1"/>
        <sz val="10.0"/>
      </rPr>
      <t xml:space="preserve">
Inventory Speed: &gt; 500 pcs/s</t>
    </r>
    <r>
      <rPr>
        <rFont val="Arial"/>
        <color theme="1"/>
        <sz val="10.0"/>
      </rPr>
      <t>；</t>
    </r>
    <r>
      <rPr>
        <rFont val="Arial"/>
        <color theme="1"/>
        <sz val="10.0"/>
      </rPr>
      <t xml:space="preserve">
Reading Distance:0-5m (Determined by tag and environment);</t>
    </r>
  </si>
  <si>
    <t>UG100</t>
  </si>
  <si>
    <r>
      <rPr>
        <rFont val="Arial"/>
        <color theme="1"/>
        <sz val="10.0"/>
      </rPr>
      <t>Frequency:902MHz-928MHz
Interface RS-232(DB9),RJ45
Shell material;Metal door frame.ABS blister panel
Energy losing:45w
Working Temperature;-10</t>
    </r>
    <r>
      <rPr>
        <rFont val="Arial"/>
        <color theme="1"/>
        <sz val="10.0"/>
      </rPr>
      <t>℃</t>
    </r>
    <r>
      <rPr>
        <rFont val="Arial"/>
        <color theme="1"/>
        <sz val="10.0"/>
      </rPr>
      <t>-+60</t>
    </r>
    <r>
      <rPr>
        <rFont val="Arial"/>
        <color theme="1"/>
        <sz val="10.0"/>
      </rPr>
      <t>℃</t>
    </r>
    <r>
      <rPr>
        <rFont val="Arial"/>
        <color theme="1"/>
        <sz val="10.0"/>
      </rPr>
      <t xml:space="preserve">
Dimension;1371*370*69mm
Weight 13kg/pcs</t>
    </r>
  </si>
  <si>
    <t>BT-100</t>
  </si>
  <si>
    <r>
      <rPr>
        <rFont val="Arial"/>
        <color theme="1"/>
        <sz val="10.0"/>
      </rPr>
      <t>*Long Distance Bluetooth Reader</t>
    </r>
    <r>
      <rPr>
        <rFont val="Arial"/>
        <color theme="1"/>
        <sz val="10.0"/>
      </rPr>
      <t xml:space="preserve">
</t>
    </r>
    <r>
      <rPr>
        <rFont val="Arial"/>
        <color rgb="FFFF0000"/>
        <sz val="10.0"/>
      </rPr>
      <t>Very suitable for thick metal film car</t>
    </r>
    <r>
      <rPr>
        <rFont val="Arial"/>
        <color theme="1"/>
        <sz val="10.0"/>
      </rPr>
      <t xml:space="preserve">
Contain fixed column;
ZKTeco Logo
Demension</t>
    </r>
    <r>
      <rPr>
        <rFont val="Arial"/>
        <color theme="1"/>
        <sz val="10.0"/>
      </rPr>
      <t>：</t>
    </r>
    <r>
      <rPr>
        <rFont val="Arial"/>
        <color theme="1"/>
        <sz val="10.0"/>
      </rPr>
      <t>234*45*1707mm 
Frequency</t>
    </r>
    <r>
      <rPr>
        <rFont val="Arial"/>
        <color theme="1"/>
        <sz val="10.0"/>
      </rPr>
      <t>：</t>
    </r>
    <r>
      <rPr>
        <rFont val="Arial"/>
        <color theme="1"/>
        <sz val="10.0"/>
      </rPr>
      <t xml:space="preserve">433MHZ
</t>
    </r>
    <r>
      <rPr>
        <rFont val="Arial"/>
        <color rgb="FFFF0000"/>
        <sz val="10.0"/>
      </rPr>
      <t>MOQ:50pcs</t>
    </r>
  </si>
  <si>
    <t>BT-10</t>
  </si>
  <si>
    <t>*Bluetooth Card Issuer
Demension:160*109*41mm
MOQ:30pcs</t>
  </si>
  <si>
    <t>UHF ACCESSORIES</t>
  </si>
  <si>
    <t>Accessories of UHF</t>
  </si>
  <si>
    <t>New UHF Parking Tag</t>
  </si>
  <si>
    <r>
      <rPr>
        <rFont val="Arial"/>
        <color rgb="FF000000"/>
        <sz val="10.0"/>
      </rPr>
      <t xml:space="preserve">*UHF Tag
Can be sticked on the windsheld of car
</t>
    </r>
    <r>
      <rPr>
        <rFont val="Arial"/>
        <color rgb="FFFF0000"/>
        <sz val="10.0"/>
      </rPr>
      <t>Better effect for advanced metal film of car</t>
    </r>
    <r>
      <rPr>
        <rFont val="Arial"/>
        <color rgb="FF000000"/>
        <sz val="10.0"/>
      </rPr>
      <t xml:space="preserve">
ZKTeco Logo 
Size:100*40mm
</t>
    </r>
    <r>
      <rPr>
        <rFont val="Arial"/>
        <color rgb="FFFF0000"/>
        <sz val="10.0"/>
      </rPr>
      <t xml:space="preserve">Temperature: - 30 — +85℃
</t>
    </r>
    <r>
      <rPr>
        <rFont val="Arial"/>
        <color rgb="FF000000"/>
        <sz val="10.0"/>
      </rPr>
      <t xml:space="preserve">Application:
Long distancen fixed vehicle access management 
(Reading distance for 0-6m for UHF 10 and U2000 series)
</t>
    </r>
    <r>
      <rPr>
        <rFont val="Arial"/>
        <color rgb="FFFF0000"/>
        <sz val="10.0"/>
      </rPr>
      <t>MOQ:100pcs</t>
    </r>
  </si>
  <si>
    <t>All UHF reader</t>
  </si>
  <si>
    <t>New UHF Parking Tag
(丝印卡号）</t>
  </si>
  <si>
    <r>
      <rPr>
        <rFont val="Arial"/>
        <color theme="1"/>
        <sz val="10.0"/>
      </rPr>
      <t xml:space="preserve">*UHF Tag
Can be sticked on the windsheld of car
Better effect for advanced metal film of car
ZKTeco Logo
Size:100*40mm
</t>
    </r>
    <r>
      <rPr>
        <rFont val="Arial"/>
        <color rgb="FFFF0000"/>
        <sz val="10.0"/>
      </rPr>
      <t>Temperature: - 30 — +85℃</t>
    </r>
    <r>
      <rPr>
        <rFont val="Arial"/>
        <color theme="1"/>
        <sz val="10.0"/>
      </rPr>
      <t xml:space="preserve">
Application:
Long distancen fixed vehicle access management 
(Reading distance for 0-6m for UHF 10 and U2000 series)</t>
    </r>
    <r>
      <rPr>
        <rFont val="Arial"/>
        <color rgb="FFFF0000"/>
        <sz val="10.0"/>
      </rPr>
      <t xml:space="preserve">
MOQ:3000pcs</t>
    </r>
  </si>
  <si>
    <t>New UHF Waterproof  Tag</t>
  </si>
  <si>
    <r>
      <rPr>
        <rFont val="Arial"/>
        <color theme="1"/>
        <sz val="10.0"/>
      </rPr>
      <t xml:space="preserve">*UHF Tag
Can be sticked on the windsheld of car
Better effect for advanced metal film of car
ZKTeco Logo 
</t>
    </r>
    <r>
      <rPr>
        <rFont val="Arial"/>
        <color rgb="FFFF0000"/>
        <sz val="10.0"/>
      </rPr>
      <t>support waterproog and anti-tear</t>
    </r>
    <r>
      <rPr>
        <rFont val="Arial"/>
        <color theme="1"/>
        <sz val="10.0"/>
      </rPr>
      <t xml:space="preserve">
Size: 99*12mm
Temperature: -25℃～75℃
Application:
Long distancen fixed vehicle access management 
(Reading distance for 0-6m for UHF 10 and U2000 series)
MOQ:100pcs</t>
    </r>
  </si>
  <si>
    <t>UHF1-Tag9</t>
  </si>
  <si>
    <r>
      <rPr>
        <rFont val="Arial"/>
        <color rgb="FF000000"/>
        <sz val="10.0"/>
      </rPr>
      <t xml:space="preserve">*UHF Tag
Thin
Size: 85.5*54*0.84mm
Application:
1.Long distancen fixed vehicle access management 
(Reading distance for 0-6m for UHF 10 series),
</t>
    </r>
    <r>
      <rPr>
        <rFont val="Arial"/>
        <color rgb="FFFF0000"/>
        <sz val="10.0"/>
      </rPr>
      <t>Note:with Parking Card Holder
2.Temperature: - 30 — +85℃</t>
    </r>
    <r>
      <rPr>
        <rFont val="Arial"/>
        <color rgb="FF000000"/>
        <sz val="10.0"/>
      </rPr>
      <t xml:space="preserve">
3.Nontact access control management
(Reading distance for 0-3m)
</t>
    </r>
    <r>
      <rPr>
        <rFont val="Arial"/>
        <color rgb="FFFF0000"/>
        <sz val="10.0"/>
      </rPr>
      <t>MOQ:100pcs</t>
    </r>
  </si>
  <si>
    <t>UHF1-Tag9
（丝印卡号）</t>
  </si>
  <si>
    <r>
      <rPr>
        <rFont val="Arial"/>
        <color rgb="FF000000"/>
        <sz val="10.0"/>
      </rPr>
      <t xml:space="preserve">*UHF Tag
Thin
</t>
    </r>
    <r>
      <rPr>
        <rFont val="Arial"/>
        <color rgb="FFFF0000"/>
        <sz val="10.0"/>
      </rPr>
      <t>Printed 8 digit decimal card number for wiegand 26 output</t>
    </r>
    <r>
      <rPr>
        <rFont val="Arial"/>
        <color rgb="FF000000"/>
        <sz val="10.0"/>
      </rPr>
      <t xml:space="preserve">
Size: 85.5*54*0.84mm
Application:
1.Long distancen fixed vehicle access management 
(Reading distance for 0-6m for UHF 10 series),
</t>
    </r>
    <r>
      <rPr>
        <rFont val="Arial"/>
        <color rgb="FFFF0000"/>
        <sz val="10.0"/>
      </rPr>
      <t>Note:with Parking Card Holder
2.Temperature: - 30 — +85℃</t>
    </r>
    <r>
      <rPr>
        <rFont val="Arial"/>
        <color rgb="FF000000"/>
        <sz val="10.0"/>
      </rPr>
      <t xml:space="preserve">
3.Nontact access control management
(Reading distance for 0-3m)
</t>
    </r>
    <r>
      <rPr>
        <rFont val="Arial"/>
        <color rgb="FFFF0000"/>
        <sz val="10.0"/>
      </rPr>
      <t>MOQ:3000pcs</t>
    </r>
  </si>
  <si>
    <t>DF01 Card</t>
  </si>
  <si>
    <r>
      <rPr>
        <rFont val="Arial"/>
        <color rgb="FF000000"/>
        <sz val="10.0"/>
      </rPr>
      <t xml:space="preserve">*UHF Dual Frequency Card
Frequency:125KHz&amp;UHF frequency band
Printed 10 digit decimal card number for wiegand 34 output
Protocal:ID: ISO/EM4001 ; UHF:ISO/IEC 18000-6C
Size: 85.5*54*0.9mm
Application:
ID card function&amp;UHF1-Tag1 function
</t>
    </r>
    <r>
      <rPr>
        <rFont val="Arial"/>
        <color rgb="FFFF0000"/>
        <sz val="10.0"/>
      </rPr>
      <t>MOQ:100pcs</t>
    </r>
  </si>
  <si>
    <t>DF02 Card</t>
  </si>
  <si>
    <r>
      <rPr>
        <rFont val="Arial"/>
        <color rgb="FF000000"/>
        <sz val="10.0"/>
      </rPr>
      <t xml:space="preserve">*UHF Dual Frequency Card
Frequency:13.56MHz&amp;UHF frequency band
Printed 10 digit decimal card number for wiegand 34 output
Protocal:
MF:ISO/IEC14443A ; UHF:ISO/IEC 18000-6C
Size: 85.5*54*0.9mm
Application:
Mifare card function&amp;UHF1-Tag1 function
</t>
    </r>
    <r>
      <rPr>
        <rFont val="Arial"/>
        <color rgb="FFFF0000"/>
        <sz val="10.0"/>
      </rPr>
      <t>MOQ:100pcs</t>
    </r>
  </si>
  <si>
    <t>第三代读头主板MI610</t>
  </si>
  <si>
    <r>
      <rPr>
        <rFont val="Arial"/>
        <color rgb="FF000000"/>
        <sz val="10.0"/>
      </rPr>
      <t xml:space="preserve">mianbord for the third generation UHF reader 
UHF 5 Pro &amp;UHF 10 Pro
</t>
    </r>
    <r>
      <rPr>
        <rFont val="Arial"/>
        <color rgb="FFFF0000"/>
        <sz val="10.0"/>
      </rPr>
      <t>without Antenna module</t>
    </r>
  </si>
  <si>
    <t>UHF 5 Pro
UHF10 Pro</t>
  </si>
  <si>
    <t>UHF 6 Pro主板</t>
  </si>
  <si>
    <r>
      <rPr>
        <rFont val="Arial"/>
        <color rgb="FF000000"/>
        <sz val="10.0"/>
      </rPr>
      <t xml:space="preserve">mianbord for  UHF 6 Pro reader 
</t>
    </r>
    <r>
      <rPr>
        <rFont val="Arial"/>
        <color rgb="FFFF0000"/>
        <sz val="10.0"/>
      </rPr>
      <t>without Antenna module</t>
    </r>
  </si>
  <si>
    <t>UHF 6 pro</t>
  </si>
  <si>
    <t>New UHF
 mainboard</t>
  </si>
  <si>
    <t>*Mainboard
For UHF1-5F/E,UHF1-10F/E,UHF2-5F/E,UHF2-10F/E</t>
  </si>
  <si>
    <t>Fixed Bracket</t>
  </si>
  <si>
    <t>*Fixed Bracket
For UHF1-5F/E,UHF1-10F/E,UHF2-5F/E,UHF2-10F/E</t>
  </si>
  <si>
    <t>UHF1-Tag3</t>
  </si>
  <si>
    <r>
      <rPr>
        <rFont val="Arial"/>
        <color rgb="FF000000"/>
        <sz val="10.0"/>
      </rPr>
      <t xml:space="preserve">*UHF Tag
Anti-metal
</t>
    </r>
    <r>
      <rPr>
        <rFont val="Arial"/>
        <color rgb="FFFF0000"/>
        <sz val="10.0"/>
      </rPr>
      <t xml:space="preserve">Can be fixed on license plate </t>
    </r>
    <r>
      <rPr>
        <rFont val="Arial"/>
        <color rgb="FF000000"/>
        <sz val="10.0"/>
      </rPr>
      <t xml:space="preserve">
Size: 249*13.8*18mm
Application:
Long distancen fixed vehicle access management 
(Reading distance for 0-6m for UHF 10 series)
</t>
    </r>
    <r>
      <rPr>
        <rFont val="Arial"/>
        <color rgb="FFFF0000"/>
        <sz val="10.0"/>
      </rPr>
      <t>MOQ:100pcs</t>
    </r>
  </si>
  <si>
    <t>Parking 
Card Holder</t>
  </si>
  <si>
    <r>
      <rPr>
        <rFont val="Arial"/>
        <color rgb="FF000000"/>
        <sz val="10.0"/>
      </rPr>
      <t>UHF Card Holder</t>
    </r>
    <r>
      <rPr>
        <rFont val="Arial"/>
        <color rgb="FF000000"/>
        <sz val="10.0"/>
      </rPr>
      <t xml:space="preserve">
Material:PC
Application：
With UHF1-Tag1 for long distance fixed vehicle access management
</t>
    </r>
    <r>
      <rPr>
        <rFont val="Arial"/>
        <color rgb="FFFF0000"/>
        <sz val="10.0"/>
      </rPr>
      <t>MOQ:100pcs</t>
    </r>
  </si>
  <si>
    <t>UHF1-Tag1</t>
  </si>
  <si>
    <t>UHF1-10F 前壳</t>
  </si>
  <si>
    <t>*Front Shell
For UHF1-10F</t>
  </si>
  <si>
    <t>UHF 1-10</t>
  </si>
  <si>
    <t>UHF1-Tag7</t>
  </si>
  <si>
    <t>Chip:Impinj Monza 4E
Interface Protocol：IOS/IEC 18000-6C EPC CLASS1 Gen2
Erase Endurance 100000 times（only for chip）
Substrate Material：PET
Dimension：46*46mm</t>
  </si>
  <si>
    <t>UA11</t>
  </si>
  <si>
    <t>*UHF Antena
Reading Distance:1.2-4m
No Waterproof
Frequency:840-940MHz
Joint Model:SMA-K
Gain:2dBi
Dimension:50*50*8.5mm</t>
  </si>
  <si>
    <t>UR4000 Series
UR8000 Series</t>
  </si>
  <si>
    <t>UA12</t>
  </si>
  <si>
    <t>*UHF Antena
Reading Distance:2.5-6m
No Waterproof
Frequency:840-940MHz
Joint Model:SMA-K
Gain:6dBi
Dimension:120*120*6.5mm</t>
  </si>
  <si>
    <t>UA13</t>
  </si>
  <si>
    <t>*UHF Antena
Reading Distance:5-9m
Waterproof
Frequency:840-940MHz
Joint Model:SMA-K
Protection Grade:IP67
Gain:6dBi
Dimension:140*120*20mm</t>
  </si>
  <si>
    <t>UA14</t>
  </si>
  <si>
    <t>*UHF Antena
Reading Distance:6-18m
Waterproof
Frequency:840-940MHz
Joint Model:N-Female
Protection Grade:IP67
Gain:9dBi
Dimension:257*257*33mm</t>
  </si>
  <si>
    <t>UW13</t>
  </si>
  <si>
    <r>
      <rPr>
        <rFont val="Arial"/>
        <color rgb="FF000000"/>
        <sz val="10.0"/>
      </rPr>
      <t xml:space="preserve">*UHF Connecting Wire
</t>
    </r>
    <r>
      <rPr>
        <rFont val="Arial"/>
        <color rgb="FFFF0000"/>
        <sz val="10.0"/>
      </rPr>
      <t>Suitable for UA11,UA12,UA13</t>
    </r>
    <r>
      <rPr>
        <rFont val="Arial"/>
        <color rgb="FF000000"/>
        <sz val="10.0"/>
      </rPr>
      <t xml:space="preserve">
Adaptable Joint:SMA-K
Wire Length:3m
Copper wire</t>
    </r>
  </si>
  <si>
    <t>UW15</t>
  </si>
  <si>
    <r>
      <rPr>
        <rFont val="Arial"/>
        <color rgb="FF000000"/>
        <sz val="10.0"/>
      </rPr>
      <t xml:space="preserve">*UHF Connecting Wire
</t>
    </r>
    <r>
      <rPr>
        <rFont val="Arial"/>
        <color rgb="FFFF0000"/>
        <sz val="10.0"/>
      </rPr>
      <t>Suitable for UA11,UA12,UA13</t>
    </r>
    <r>
      <rPr>
        <rFont val="Arial"/>
        <color rgb="FF000000"/>
        <sz val="10.0"/>
      </rPr>
      <t xml:space="preserve">
Adaptable Joint:SMA-K
Wire Length:5m
Copper wire</t>
    </r>
  </si>
  <si>
    <t>UW23</t>
  </si>
  <si>
    <r>
      <rPr>
        <rFont val="Arial"/>
        <color rgb="FF000000"/>
        <sz val="10.0"/>
      </rPr>
      <t xml:space="preserve">*UHF Connecting Wire
</t>
    </r>
    <r>
      <rPr>
        <rFont val="Arial"/>
        <color rgb="FFFF0000"/>
        <sz val="10.0"/>
      </rPr>
      <t>Suitable for UA11,UA12,UA13</t>
    </r>
    <r>
      <rPr>
        <rFont val="Arial"/>
        <color rgb="FF000000"/>
        <sz val="10.0"/>
      </rPr>
      <t xml:space="preserve">
Adaptable Joint:N-Female
Wire Length:3m
Copper wire</t>
    </r>
  </si>
  <si>
    <t>UW25</t>
  </si>
  <si>
    <r>
      <rPr>
        <rFont val="Arial"/>
        <color rgb="FF000000"/>
        <sz val="10.0"/>
      </rPr>
      <t xml:space="preserve">*UHF Connecting Wire
</t>
    </r>
    <r>
      <rPr>
        <rFont val="Arial"/>
        <color rgb="FFFF0000"/>
        <sz val="10.0"/>
      </rPr>
      <t>Suitable for UA14</t>
    </r>
    <r>
      <rPr>
        <rFont val="Arial"/>
        <color rgb="FF000000"/>
        <sz val="10.0"/>
      </rPr>
      <t xml:space="preserve">
Adaptable Joint:N-Female
Wire Length:5m
Copper wire</t>
    </r>
  </si>
  <si>
    <t>UHF1-Tag2</t>
  </si>
  <si>
    <t>Frequency:860MHz-928MHz
Reading distance:
Up to 10 meters for UHF1-10E and UHF1-10F;
Memory Capacity: 800 bits
Chip UID: 64 bytes
Working Temperature;-30℃-+75℃
Dimension;72*20mm</t>
  </si>
  <si>
    <t>UHF1-Tag2
(丝印卡号）</t>
  </si>
  <si>
    <t>UHF1-Tag4</t>
  </si>
  <si>
    <t>Frequency:860MHz-960MHz
Reading distance:
Up to 10 meters for UHF1-10E and UHF1-10F;
Storage structure:EPC 800 bits, UID/TID:64 bits,User:512 bits
  Kill password:32bits, Access Password:32bits
Installation:Stick on the windshield 
Dimension:96.5*23mm</t>
  </si>
  <si>
    <t>UHF1-Tag4
(印卡号）</t>
  </si>
  <si>
    <t>UHF Waterproof  Tag</t>
  </si>
  <si>
    <r>
      <rPr>
        <rFont val="Arial"/>
        <color rgb="FF000000"/>
        <sz val="10.0"/>
      </rPr>
      <t xml:space="preserve">*UHF Tag
Waterproof
</t>
    </r>
    <r>
      <rPr>
        <rFont val="Arial"/>
        <color rgb="FFFF0000"/>
        <sz val="10.0"/>
      </rPr>
      <t>MOQ:1000pcs</t>
    </r>
  </si>
  <si>
    <t>UHF Parking Tag</t>
  </si>
  <si>
    <r>
      <rPr>
        <rFont val="Arial"/>
        <color rgb="FF000000"/>
        <sz val="10.0"/>
      </rPr>
      <t xml:space="preserve">*UHF Tag
Can be sticked on the windsheld of car
</t>
    </r>
    <r>
      <rPr>
        <rFont val="Arial"/>
        <color rgb="FFFF0000"/>
        <sz val="10.0"/>
      </rPr>
      <t>Better effect for advanced metal film of car</t>
    </r>
    <r>
      <rPr>
        <rFont val="Arial"/>
        <color rgb="FF000000"/>
        <sz val="10.0"/>
      </rPr>
      <t xml:space="preserve">
Blank Logo
Size:100*26mm
Application:
Long distancen fixed vehicle access management 
(Reading distance for 0-6m for UHF 10 and U2000 series)
</t>
    </r>
    <r>
      <rPr>
        <rFont val="Arial"/>
        <color rgb="FFFF0000"/>
        <sz val="10.0"/>
      </rPr>
      <t>MOQ:100pcs</t>
    </r>
  </si>
  <si>
    <t>UHF Parking Tag
(丝印卡号）</t>
  </si>
  <si>
    <r>
      <rPr>
        <rFont val="Arial"/>
        <color theme="1"/>
        <sz val="10.0"/>
      </rPr>
      <t>*UHF Tag
Can be sticked on the windsheld of car
Better effect for advanced metal film of car
Blank Logo
Size:100*26mm
Application:
Long distancen fixed vehicle access management 
(Reading distance for 0-6m for UHF 10 and U2000 series)</t>
    </r>
    <r>
      <rPr>
        <rFont val="Arial"/>
        <color rgb="FFFF0000"/>
        <sz val="10.0"/>
      </rPr>
      <t xml:space="preserve">
MOQ:3000pcs</t>
    </r>
  </si>
  <si>
    <r>
      <rPr>
        <rFont val="Arial"/>
        <color rgb="FF000000"/>
        <sz val="10.0"/>
      </rPr>
      <t xml:space="preserve">*UHF Tag
Thin
Size: 85*54*0.8mm
Application:
1.Long distancen fixed vehicle access management 
(Reading distance for 0-6m for UHF 10 series),
</t>
    </r>
    <r>
      <rPr>
        <rFont val="Arial"/>
        <color rgb="FFFF0000"/>
        <sz val="10.0"/>
      </rPr>
      <t>Note:with Parking Card Holder</t>
    </r>
    <r>
      <rPr>
        <rFont val="Arial"/>
        <color rgb="FF000000"/>
        <sz val="10.0"/>
      </rPr>
      <t xml:space="preserve">
2.Nontact access control management
(Reading distance for 0-3m)
</t>
    </r>
    <r>
      <rPr>
        <rFont val="Arial"/>
        <color rgb="FFFF0000"/>
        <sz val="10.0"/>
      </rPr>
      <t>MOQ:100pcs</t>
    </r>
  </si>
  <si>
    <t>UHF1-Tag1
（丝印卡号）</t>
  </si>
  <si>
    <r>
      <rPr>
        <rFont val="Arial"/>
        <color rgb="FF000000"/>
        <sz val="10.0"/>
      </rPr>
      <t xml:space="preserve">*UHF Tag
Thin
</t>
    </r>
    <r>
      <rPr>
        <rFont val="Arial"/>
        <color rgb="FFFF0000"/>
        <sz val="10.0"/>
      </rPr>
      <t>Printed 8 digit decimal card number for wiegand 26 output</t>
    </r>
    <r>
      <rPr>
        <rFont val="Arial"/>
        <color rgb="FF000000"/>
        <sz val="10.0"/>
      </rPr>
      <t xml:space="preserve">
Size: 85*54*0.8mm
Application:
1.Long distancen fixed vehicle access management 
(Reading distance for 0-6m for UHF 10 series),
</t>
    </r>
    <r>
      <rPr>
        <rFont val="Arial"/>
        <color rgb="FFFF0000"/>
        <sz val="10.0"/>
      </rPr>
      <t>Note:with Parking Card Holder</t>
    </r>
    <r>
      <rPr>
        <rFont val="Arial"/>
        <color rgb="FF000000"/>
        <sz val="10.0"/>
      </rPr>
      <t xml:space="preserve">
2.Nontact access control management
(Reading distance for 0-3m)
</t>
    </r>
    <r>
      <rPr>
        <rFont val="Arial"/>
        <color rgb="FFFF0000"/>
        <sz val="10.0"/>
      </rPr>
      <t>MOQ:3000pcs</t>
    </r>
  </si>
  <si>
    <t>UHF Parking Card</t>
  </si>
  <si>
    <t>Application: cars management
Weight:24.52g
Workign Temperture:-10℃-+50℃
Dimension：89*57*3.5mm</t>
  </si>
  <si>
    <t>UHF1-Tag6</t>
  </si>
  <si>
    <t>陶瓷手环，黑色
Frequency:
F:902-928MHz
E:865-868MHz
MOQ:100pcs</t>
  </si>
  <si>
    <t>BT-Tag1</t>
  </si>
  <si>
    <r>
      <rPr>
        <rFont val="Arial"/>
        <color rgb="FF000000"/>
        <sz val="10.0"/>
      </rPr>
      <t xml:space="preserve">* Long Distance Bluetooth Card
Pasting for fixing;
Demension：66.7*74*45mm
</t>
    </r>
    <r>
      <rPr>
        <rFont val="Arial"/>
        <color rgb="FFFF0000"/>
        <sz val="10.0"/>
      </rPr>
      <t>MOQ:20000pcs</t>
    </r>
  </si>
  <si>
    <t xml:space="preserve">ZKTECO </t>
  </si>
  <si>
    <t>BIOMETRICS READER</t>
  </si>
  <si>
    <t>PC Solution</t>
  </si>
  <si>
    <t>Palm Sensor</t>
  </si>
  <si>
    <t>PV10R</t>
  </si>
  <si>
    <t>1. Palm and palm vein reader
2. ZKPalm 12.0
3. ZKPalm SDK_Standard (free)
4. Use near-infrared light to capture user’s palm vein pattern</t>
  </si>
  <si>
    <t>PV10M</t>
  </si>
  <si>
    <t>1. Palm and palm vein module
2. ZKPalm 12.0
3. ZKPalm SDK_Standard (free)
4. Use near-infrared light to capture user’s palm vein pattern</t>
  </si>
  <si>
    <t>Fingerprint Sensor</t>
  </si>
  <si>
    <t>ZK8500R[MF]</t>
  </si>
  <si>
    <t>1. Fingerprint Reader
2. ZK9500 fingerprint module(Standard)
3. MF card reader(Standard)
4. SLKID fingerprint module(Optional)</t>
  </si>
  <si>
    <t>ZK8500R[ID]</t>
  </si>
  <si>
    <t>1. Fingerprint Reader
2. ZK9500 fingerprint module(Standard)
3. ID card reader(Optional)
4. SLKID fingerprint module(Optional)</t>
  </si>
  <si>
    <t>Face Module</t>
  </si>
  <si>
    <t>FA50M</t>
  </si>
  <si>
    <t>Face Module（Build-in ZKLiveFace 5.8 algorithm）
Capacity: 50,000 face templates</t>
  </si>
  <si>
    <t>Palm Module</t>
  </si>
  <si>
    <t>PV50M</t>
  </si>
  <si>
    <t>Palm Module （Build-in ZKPalm 12.0 algorithm）
Capacity: 6,000 palm templates</t>
  </si>
  <si>
    <t>Face &amp; Palm Module</t>
  </si>
  <si>
    <t>FA51M</t>
  </si>
  <si>
    <t>Face &amp; Palm Module（Build-in Facial&amp;Palm algorithm）
Capacity: 50,000 face templates and 6,000 palm templates</t>
  </si>
  <si>
    <t>FA50MC</t>
  </si>
  <si>
    <t>FA50M with Casing
Capacity: 50,000 face templates</t>
  </si>
  <si>
    <t>PV50MC</t>
  </si>
  <si>
    <t>PV50M with Casing
Capacity: 6,000 palm templates</t>
  </si>
  <si>
    <t>FA51MC</t>
  </si>
  <si>
    <t>FA51M with Casing
Capacity: 50,000 face templates and 6,000 palm templates</t>
  </si>
  <si>
    <t>Face Sensor</t>
  </si>
  <si>
    <t>FA10R</t>
  </si>
  <si>
    <t>1.combines Visible Light and Near-Infrared cameras
2.has a built-in 400Mhz high-performance processor
3.supports USB .
4.supports a variety of mainstream operating systems
5.Face capture reader</t>
  </si>
  <si>
    <t>FA11M</t>
  </si>
  <si>
    <t>1.Dual-camera Face Module, supports both visible light and near-infrared facial recognition;
2.Recognition Distance:40cm-80cm( recommended);
3.Support multiple skin color face recognition;
4.Built-in security license chip
5.Support ZKliveface5.6/12.0
6.Authorization Support：
  Windows:Dongle authorization（5.6）
  License file authorization（12.0）
  Android：License file authorization（5.6/12.0）</t>
  </si>
  <si>
    <t>FA10MS</t>
  </si>
  <si>
    <r>
      <rPr>
        <rFont val="Arial"/>
        <color theme="1"/>
        <sz val="10.0"/>
      </rPr>
      <t xml:space="preserve">1.Dual-camera Face Module, supports both visible </t>
    </r>
    <r>
      <rPr>
        <rFont val="Arial"/>
        <color rgb="FFFF0000"/>
        <sz val="10.0"/>
      </rPr>
      <t>light and near-infrared facial</t>
    </r>
    <r>
      <rPr>
        <rFont val="Arial"/>
        <color theme="1"/>
        <sz val="10.0"/>
      </rPr>
      <t xml:space="preserve"> recognition;
2.Recognition Distance:40cm-80cm( recommended);
3.Support multiple skin color face recognition;
4. Built-in security license chip
5.Support ZKliveface5.6/12.0
6.Authorization Support：
  Windows:Dongle authorization（5.6）
  License file authorization（12.0）
  Android：License file authorization（5.6/12.0）</t>
    </r>
  </si>
  <si>
    <t>SLK20M-Casing</t>
  </si>
  <si>
    <t>Desktop USB Enrollment device, based on SLK20M embedded module,  fingerprint acquisition, fingerprint registration, fingerprint comparison, support Win10/8/7,  support USB only. Firmware version: V9.00.</t>
  </si>
  <si>
    <t>SLK20R</t>
  </si>
  <si>
    <t>1.Sensor type:optical
2.Desktop USB Enrollment device ;
3.Support USB only ;
4.PIV, STQC, CE, FCC, ROHS ;
5.ZKFinger10.0  algorithm;</t>
  </si>
  <si>
    <t>Fingerprint Sensor
(Embedded module)</t>
  </si>
  <si>
    <t>SLK20M</t>
  </si>
  <si>
    <t>1.Sensor type:optical;
2.Spport offline extraction and comparison of fingerprint templates on the module;
3.Spport USB 2.0 or UART ( 115200bps/TTL 3.3V ) ; 
4.PIV, STQC, CE, FCC, ROHS ;
5.ZKFinger10.0  algorithm ;
6.Fingerprint capacity: 2000</t>
  </si>
  <si>
    <t>SLK20S</t>
  </si>
  <si>
    <t>1.Sensor type:optical ;
2.Spport offline extraction and comparison of fingerprint templates on the module;
3.Spport USB 2.0 or UART ( 115200bps/TTL 3.3V ) ;
4.PIV, STQC, CE, FCC, ROHS ;
5.ZKFinger10.0 algorithm ;
6.Fingerprint capacity:8000-10000(remarkable capacity when ordering)</t>
  </si>
  <si>
    <t>SLK20M-DK</t>
  </si>
  <si>
    <t>Embedded optical fingerpringt scanner module for integration,  support USB,  TTLcommunication, SLK20M+ custom wire</t>
  </si>
  <si>
    <t>ZK6500</t>
  </si>
  <si>
    <t>1.Desktop USB Enrollment device,
2.support USB only 
3. FCC, CE, RoHS</t>
  </si>
  <si>
    <t>ZK9500</t>
  </si>
  <si>
    <t>1.Desktop USB Enrollment device, 
2.support USB only  
3.FCC, CE, RoHS，KC</t>
  </si>
  <si>
    <t>Finger Vein Sensor</t>
  </si>
  <si>
    <t>FPV10R</t>
  </si>
  <si>
    <t>1.USB interface
2.500DPI /300DPI image resolution
3.Effective collecting area: 13.24*15.7mm
4.Compatible with Windows/Linux/Android
5.LED indicator</t>
  </si>
  <si>
    <t>FP+Finger-vein module</t>
  </si>
  <si>
    <t>FPV10M</t>
  </si>
  <si>
    <t>QR code module</t>
  </si>
  <si>
    <t>QR10M</t>
  </si>
  <si>
    <t>1.Dimensions of the Scanning Area 15.24 * 20.32 (mm)
2.USB interface</t>
  </si>
  <si>
    <t>QR code reader</t>
  </si>
  <si>
    <t>QR10L</t>
  </si>
  <si>
    <t>QR10X</t>
  </si>
  <si>
    <t>Bio30S</t>
  </si>
  <si>
    <t>1.Sensor type: electro-silicon; 
2.Capture dimensions: 12.8*18mm( W * H ) ;
3.Spport offline extraction and comparison of fingerprint templates on the module;
4.Spport USB 2.0 or UART ( 115200bps/TTL 3.3V ) ;
5.anti-spoof ability, fingerprint liveness detection ;
6.ZKFinger10.0 algorithm ;
7.Fingerprint capacity:2000</t>
  </si>
  <si>
    <t>Bio31S</t>
  </si>
  <si>
    <t>1.Sensor type: electro-silicon; 
2.Capture dimensions: 10.4*14mm( W * H ) ;
3.Spport offline extraction and comparison of fingerprint templates on the module;
4.Spport USB 2.0 or UART ( 115200bps/TTL 3.3V ) ;
5.anti-spoof ability, fingerprint liveness detection ;
6.ZKFinger10.0 algorithm ;
7.Fingerprint capacity:2000</t>
  </si>
  <si>
    <t>Fingerprint Sensor
Sensor type: electro-silicon</t>
  </si>
  <si>
    <t>Bio30R</t>
  </si>
  <si>
    <t>1.Standard high-precision fingerprint recognition technology and optimized image processing.
2.Supports low false accept rate, high recognition rate, and rotated fingerprint.
3.Adopts international top semiconductor sensors, precise imaging, and fast acquisition speed.
4.Good imaging quality of dry / damp / rough finger skin suitable for a wide range of people.
5.Drive free fingerprint scanner, not required to install a driver; plug and play.
6.Supports Windows, Android, Linux, and other Operating System development.</t>
  </si>
  <si>
    <t>Multi-functional document reader</t>
  </si>
  <si>
    <t>RS100</t>
  </si>
  <si>
    <t>1.based on OCR technology
2.designed for extracting data from ICAO standard travel documents
3.provides ideal solutions for identifying Passports, Visa, ID cards, Driver License and other travel documents</t>
  </si>
  <si>
    <t>ZK-AFIS 400</t>
  </si>
  <si>
    <t>F certified 10-print livescan in full compliance with the “10-print capture scanner &amp; software User group requirements” suitable for all applications in need of 4-slaps and rolled acquisition. A user interface based on 12 LEDs facilitates the acquisition procedure by indicating the ﬁngerprint(s) to be acquired and providing quality feedback.</t>
  </si>
  <si>
    <t>Handheld terminal</t>
  </si>
  <si>
    <t>Hybrid Biometrics Smart-terminal</t>
  </si>
  <si>
    <t>HB510-B[NFC]</t>
  </si>
  <si>
    <t>1. Android  5 inch                                                                                              
2.Image resolution: 720*1280 pixel                                                                                            
3.GPS Index: Channel: 12 channels
4.4G/Wi-Fi/Bluetooth
5.Barcode(honeywell-6603)
6.NFC</t>
  </si>
  <si>
    <t>HB510-FB</t>
  </si>
  <si>
    <t>1.Android  5 inch
2.Image resolution: 720*1280 pixel                                                                                            
3.GPS Index: Channel: 12 channels                                                                
4.4G/Wi-Fi/Bluetooth
5.FP(Bio30M)
6.Barcode(honeywell-6603)</t>
  </si>
  <si>
    <t>HB510-F[NFC]</t>
  </si>
  <si>
    <t>1.Android  5 inch
2.Image resolution: 720*1280 pixel                                                                                            
3.GPS Index: Channel: 12 channels                                                                
4.4G/Wi-Fi/Bluetooth
5.FP(Bio30M)
6.NFC</t>
  </si>
  <si>
    <t>HB510-FB[NFC]</t>
  </si>
  <si>
    <t>1.Android  5 inch
2.Image resolution: 720*1280 pixel                                                                                            
3.GPS Index: Channel: 12 channels                                                                
4.4G/Wi-Fi/Bluetooth
5.FP(Bio30M)
6.Barcode(honeywell-6603)                                                                             
7.NFC</t>
  </si>
  <si>
    <t>TIME ATTENDANCE</t>
  </si>
  <si>
    <t>Palm&amp;Fingerprint&amp;Face T&amp;A and A&amp;C Terminal</t>
  </si>
  <si>
    <t>4.3" Touch Display</t>
  </si>
  <si>
    <t>PFace202</t>
  </si>
  <si>
    <t>Palm Capacity: 600
Fingerprint Capacity: 2,000
Face Capacity: 1200(1:N) / 3000(1:1)
ID Card Capacity: 10,000 (Optional)
Record Capacity: 100,000 
Communication: TCP/IP, USB Host, Wi-Fi(Optional)
Standard Functions: Automatic Status Switch, T9 input,  9 Digit User ID, Photo ID, Work Code, DST, Self Service Query, Schedule-bell, Multilpe Vertify Mode
Access Control Interface for Third Party Electric Lock, Door Sensor and Eixt Button, Alarm,12V Out/In, Wiegand Out.
Optional:  ID/MF, Backup Battery,3G,RS485 Fingerprint Reader, RS232 Printer
AC Adapter: 12V 3A</t>
  </si>
  <si>
    <t>Multibio T&amp;A and A&amp;C Deviece</t>
  </si>
  <si>
    <t>4.3" Color Display</t>
  </si>
  <si>
    <t>SFace900</t>
  </si>
  <si>
    <r>
      <rPr>
        <rFont val="Arial"/>
        <color rgb="FF000000"/>
        <sz val="10.0"/>
      </rPr>
      <t xml:space="preserve">Face capacity: </t>
    </r>
    <r>
      <rPr>
        <rFont val="Arial"/>
        <color rgb="FFFF0000"/>
        <sz val="10.0"/>
      </rPr>
      <t>3000</t>
    </r>
    <r>
      <rPr>
        <rFont val="Arial"/>
        <color rgb="FF000000"/>
        <sz val="10.0"/>
      </rPr>
      <t xml:space="preserve">
</t>
    </r>
    <r>
      <rPr>
        <rFont val="Arial"/>
        <color rgb="FF000000"/>
        <sz val="10.0"/>
      </rPr>
      <t xml:space="preserve">Fingerprint Capacity: </t>
    </r>
    <r>
      <rPr>
        <rFont val="Arial"/>
        <color rgb="FFFF0000"/>
        <sz val="10.0"/>
      </rPr>
      <t>4000</t>
    </r>
    <r>
      <rPr>
        <rFont val="Arial"/>
        <color rgb="FF000000"/>
        <sz val="10.0"/>
      </rPr>
      <t xml:space="preserve">
</t>
    </r>
    <r>
      <rPr>
        <rFont val="Arial"/>
        <color rgb="FF000000"/>
        <sz val="10.0"/>
      </rPr>
      <t xml:space="preserve">ID Card Capacity: </t>
    </r>
    <r>
      <rPr>
        <rFont val="Arial"/>
        <color rgb="FF000000"/>
        <sz val="10.0"/>
      </rPr>
      <t xml:space="preserve">10,000 (Optional)
</t>
    </r>
    <r>
      <rPr>
        <rFont val="Arial"/>
        <color rgb="FF000000"/>
        <sz val="10.0"/>
      </rPr>
      <t>Communication:</t>
    </r>
    <r>
      <rPr>
        <rFont val="Arial"/>
        <color rgb="FF000000"/>
        <sz val="10.0"/>
      </rPr>
      <t xml:space="preserve"> TCP/IP, USB-Host,  Wiegand Out
</t>
    </r>
    <r>
      <rPr>
        <rFont val="Arial"/>
        <color rgb="FF000000"/>
        <sz val="10.0"/>
      </rPr>
      <t xml:space="preserve">Standard functions: </t>
    </r>
    <r>
      <rPr>
        <rFont val="Arial"/>
        <color rgb="FF000000"/>
        <sz val="10.0"/>
      </rPr>
      <t xml:space="preserve">Automatic Status Switch, T9 input, 9 Digit User ID, Photo ID,  Work Code, DST, Self Service Query, Schedule-bell, Multilpe Vertify Mode,  Access Control interface for 3rd party electric lock, Door Sensor and Exit Button,  Alarm.
</t>
    </r>
    <r>
      <rPr>
        <rFont val="Arial"/>
        <color rgb="FF000000"/>
        <sz val="10.0"/>
      </rPr>
      <t>Optional functions:</t>
    </r>
    <r>
      <rPr>
        <rFont val="Arial"/>
        <color rgb="FF000000"/>
        <sz val="10.0"/>
      </rPr>
      <t xml:space="preserve"> ID Card, MF Card, ADMS, Wi-Fi, Backup Battery, 4G</t>
    </r>
  </si>
  <si>
    <t>uFace202 Plus</t>
  </si>
  <si>
    <r>
      <rPr>
        <rFont val="Arial"/>
        <color rgb="FF000000"/>
        <sz val="10.0"/>
      </rPr>
      <t>Face capacity:</t>
    </r>
    <r>
      <rPr>
        <rFont val="Arial"/>
        <color rgb="FFFF0000"/>
        <sz val="10.0"/>
      </rPr>
      <t xml:space="preserve"> 3000</t>
    </r>
    <r>
      <rPr>
        <rFont val="Arial"/>
        <color rgb="FF000000"/>
        <sz val="10.0"/>
      </rPr>
      <t xml:space="preserve">
Fingerprint Capacity: </t>
    </r>
    <r>
      <rPr>
        <rFont val="Arial"/>
        <color rgb="FFFF0000"/>
        <sz val="10.0"/>
      </rPr>
      <t>4000</t>
    </r>
    <r>
      <rPr>
        <rFont val="Arial"/>
        <color rgb="FF000000"/>
        <sz val="10.0"/>
      </rPr>
      <t xml:space="preserve">
</t>
    </r>
    <r>
      <rPr>
        <rFont val="Arial"/>
        <color rgb="FFFF0000"/>
        <sz val="10.0"/>
      </rPr>
      <t>Palm Capacity:3000</t>
    </r>
    <r>
      <rPr>
        <rFont val="Arial"/>
        <color rgb="FF000000"/>
        <sz val="10.0"/>
      </rPr>
      <t xml:space="preserve">
Card Capacity: 10,000 (Optional)
Communication: TCP/IP, USB-Host, Wiegand Out, WiFi (Optional), 3G (Optional)
Standard functions: Web-server, Work Code, SMS, DST, Record Query, Automatic State Switch, 
Photo ID, ADMS, Scheduled Bell, T9 Input, 9-digit User ID, Multi-Veri_x001f_cation Methods
Access Control Interface for 3rd-Party Electric Lock, Door Sensor, Exit Button, Alarm
Optional functions: ID/MF/HID Card, Wi-Fi,External Bell/Printer, Backup Battery
Algorithms: ZKFace V12.0 &amp; ZKFinger V10.0 &amp; ZKPalm V12.0</t>
    </r>
  </si>
  <si>
    <t>uFace302 Plus</t>
  </si>
  <si>
    <r>
      <rPr>
        <rFont val="Arial"/>
        <color rgb="FF000000"/>
        <sz val="10.0"/>
      </rPr>
      <t xml:space="preserve">Face capacity: </t>
    </r>
    <r>
      <rPr>
        <rFont val="Arial"/>
        <color rgb="FFFF0000"/>
        <sz val="10.0"/>
      </rPr>
      <t>3000</t>
    </r>
    <r>
      <rPr>
        <rFont val="Arial"/>
        <color rgb="FF000000"/>
        <sz val="10.0"/>
      </rPr>
      <t xml:space="preserve">
Fingerprint Capacity: </t>
    </r>
    <r>
      <rPr>
        <rFont val="Arial"/>
        <color rgb="FFFF0000"/>
        <sz val="10.0"/>
      </rPr>
      <t>4000</t>
    </r>
    <r>
      <rPr>
        <rFont val="Arial"/>
        <color rgb="FF000000"/>
        <sz val="10.0"/>
      </rPr>
      <t xml:space="preserve">
</t>
    </r>
    <r>
      <rPr>
        <rFont val="Arial"/>
        <color rgb="FFFF0000"/>
        <sz val="10.0"/>
      </rPr>
      <t>Palm Capacity:3000</t>
    </r>
    <r>
      <rPr>
        <rFont val="Arial"/>
        <color rgb="FF000000"/>
        <sz val="10.0"/>
      </rPr>
      <t xml:space="preserve">
Card Capacity: 10,000 (Optional)
Communication: TCP/IP, USB-Host, Wiegand Out
Standard functions: Web-server, Work Code, SMS, DST, Record Query, Automatic State Switch, 
Photo ID, ADMS, Scheduled Bell, T9 Input, 9-digit User ID, Multi-Veri_x001f_cation Methods
Access Control Interface for 3rd-Party Electric Lock, Door Sensor, Exit Button, Alarm
Optional functions: ID/MF/HID Card, Wi-Fi,/External Bell/Printer, Backup Battery
Algorithms: ZKFace V12.0 &amp; ZKFinger V10.0 &amp; ZKPalm V12.0</t>
    </r>
  </si>
  <si>
    <t>uFace401 Plus</t>
  </si>
  <si>
    <r>
      <rPr>
        <rFont val="Arial"/>
        <color rgb="FF000000"/>
        <sz val="10.0"/>
      </rPr>
      <t xml:space="preserve">Face capacity: </t>
    </r>
    <r>
      <rPr>
        <rFont val="Arial"/>
        <color rgb="FFFF0000"/>
        <sz val="10.0"/>
      </rPr>
      <t>3000
Palm Capacity:3000</t>
    </r>
    <r>
      <rPr>
        <rFont val="Arial"/>
        <color rgb="FF000000"/>
        <sz val="10.0"/>
      </rPr>
      <t xml:space="preserve">
Card Capacity: 10,000 (Optional)
Communication: TCP/IP, USB-Host, Wiegand Out, WiFi (Optional), 3G (Optional)
Standard functions:  ID Card, Web-server, Work Code, SMS, DST, Record Query, 
Automatic State Switch, Photo ID, ADMS, Scheduled Bell, T9 Input, 9-digit User ID, Multi-Veri_x001f_cation Methods
Access Control Interface for 3rd-Party Electric Lock, Door Sensor, Exit Button, Alarm
Optional functions: MF/HID Card, Wi-Fi, External Bell/Printer, Backup Battery
Algorithms: ZKFace V12.0 &amp; ZKPalm V12.0</t>
    </r>
  </si>
  <si>
    <t>uFace402 Plus</t>
  </si>
  <si>
    <r>
      <rPr>
        <rFont val="Arial"/>
        <color rgb="FF000000"/>
        <sz val="10.0"/>
      </rPr>
      <t xml:space="preserve">Face capacity: </t>
    </r>
    <r>
      <rPr>
        <rFont val="Arial"/>
        <color rgb="FFFF0000"/>
        <sz val="10.0"/>
      </rPr>
      <t>3000</t>
    </r>
    <r>
      <rPr>
        <rFont val="Arial"/>
        <color rgb="FF000000"/>
        <sz val="10.0"/>
      </rPr>
      <t xml:space="preserve">
Fingerprint Capacity: </t>
    </r>
    <r>
      <rPr>
        <rFont val="Arial"/>
        <color rgb="FFFF0000"/>
        <sz val="10.0"/>
      </rPr>
      <t>4000</t>
    </r>
    <r>
      <rPr>
        <rFont val="Arial"/>
        <color rgb="FF000000"/>
        <sz val="10.0"/>
      </rPr>
      <t xml:space="preserve">
</t>
    </r>
    <r>
      <rPr>
        <rFont val="Arial"/>
        <color rgb="FFFF0000"/>
        <sz val="10.0"/>
      </rPr>
      <t>Palm Capacity:3000</t>
    </r>
    <r>
      <rPr>
        <rFont val="Arial"/>
        <color rgb="FF000000"/>
        <sz val="10.0"/>
      </rPr>
      <t xml:space="preserve">
Card Capacity: 10,000 (Optional)
Communication: TCP/IP, USB-Host, Wiegand Out, WiFi (Optional), 3G (Optional)
Standard functions: Web-server, Work Code, SMS, DST, Record Query, Automatic State Switch, Photo ID, ADMS, Scheduled Bell, T9 Input, 9-digit User ID, Multi-Veri_x001f_cation Methods
Access Control Interface for 3rd-Party Electric Lock, Door Sensor, Exit Button, Alarm
Optional functions: ID/MF/HID Card, Wi-Fi, External Bell/Printer, Backup Battery
Algorithms: ZKFace V12.0 &amp; ZKFinger V10.0 &amp; ZKPalm V12.0</t>
    </r>
  </si>
  <si>
    <t>uFace602 Plus</t>
  </si>
  <si>
    <r>
      <rPr>
        <rFont val="Arial"/>
        <color rgb="FF000000"/>
        <sz val="10.0"/>
      </rPr>
      <t xml:space="preserve">Face capacity: </t>
    </r>
    <r>
      <rPr>
        <rFont val="Arial"/>
        <color rgb="FFFF0000"/>
        <sz val="10.0"/>
      </rPr>
      <t>3000</t>
    </r>
    <r>
      <rPr>
        <rFont val="Arial"/>
        <color rgb="FF000000"/>
        <sz val="10.0"/>
      </rPr>
      <t xml:space="preserve">
Fingerprint Capacity: </t>
    </r>
    <r>
      <rPr>
        <rFont val="Arial"/>
        <color rgb="FFFF0000"/>
        <sz val="10.0"/>
      </rPr>
      <t>4000</t>
    </r>
    <r>
      <rPr>
        <rFont val="Arial"/>
        <color rgb="FF000000"/>
        <sz val="10.0"/>
      </rPr>
      <t xml:space="preserve">
</t>
    </r>
    <r>
      <rPr>
        <rFont val="Arial"/>
        <color rgb="FFFF0000"/>
        <sz val="10.0"/>
      </rPr>
      <t>Palm Capacity:3000</t>
    </r>
    <r>
      <rPr>
        <rFont val="Arial"/>
        <color rgb="FF000000"/>
        <sz val="10.0"/>
      </rPr>
      <t xml:space="preserve">
Card Capacity: 10,000 (Optional)
Communication: TCP/IP, USB-Host, Wiegand Out, WiFi (Optional), 3G (Optional)
Standard functions: Web-server, Work Code, SMS, DST, Record Query, Automatic State Switch, 
Photo ID, ADMS, Scheduled Bell, T9 Input, 9-digit User ID, Multi-Veri_x001f_cation Methods
Access Control Interface for 3rd-Party Electric Lock, Door Sensor, Exit Button, Alarm
Optional functions: ID/MF/HID Card, Wi-Fi, External Bell/Printer, Backup Battery
Algorithms: ZKFace V12.0 &amp; ZKFinger V10.0 &amp; ZKPalm V12.0</t>
    </r>
  </si>
  <si>
    <t>uFace800 Plus</t>
  </si>
  <si>
    <r>
      <rPr>
        <rFont val="Arial"/>
        <color rgb="FF000000"/>
        <sz val="10.0"/>
      </rPr>
      <t xml:space="preserve">Face capacity: </t>
    </r>
    <r>
      <rPr>
        <rFont val="Arial"/>
        <color rgb="FFFF0000"/>
        <sz val="10.0"/>
      </rPr>
      <t>3000</t>
    </r>
    <r>
      <rPr>
        <rFont val="Arial"/>
        <color rgb="FF000000"/>
        <sz val="10.0"/>
      </rPr>
      <t xml:space="preserve">
Fingerprint Capacity: </t>
    </r>
    <r>
      <rPr>
        <rFont val="Arial"/>
        <color rgb="FFFF0000"/>
        <sz val="10.0"/>
      </rPr>
      <t>4000</t>
    </r>
    <r>
      <rPr>
        <rFont val="Arial"/>
        <color rgb="FF000000"/>
        <sz val="10.0"/>
      </rPr>
      <t xml:space="preserve">
</t>
    </r>
    <r>
      <rPr>
        <rFont val="Arial"/>
        <color rgb="FFFF0000"/>
        <sz val="10.0"/>
      </rPr>
      <t>Palm Capacity:3000</t>
    </r>
    <r>
      <rPr>
        <rFont val="Arial"/>
        <color rgb="FF000000"/>
        <sz val="10.0"/>
      </rPr>
      <t xml:space="preserve">
Card Capacity: 10,000 (Optional)
Communication: TCP/IP, USB-Host, Wiegand Out, WiFi (Optional), 3G (Optional)
Standard functions: Web-server, Work Code, SMS, DST, Record Query, Automatic State Switch, 
Photo ID, ADMS, Scheduled Bell, T9 Input, 9-digit User ID, Multi-Veri_x001f_cation Methods
Access Control Interface for 3rd-Party Electric Lock, Door Sensor, Exit Button, Alarm
Optional functions: ID/MF/HID Card,Wi-Fi, External Bell/Printer, Backup Battery
Algorithms: ZKFace V12.0 &amp; ZKFinger V10.0 &amp; ZKPalm V12.0</t>
    </r>
  </si>
  <si>
    <t>uFace202</t>
  </si>
  <si>
    <r>
      <rPr>
        <rFont val="Arial"/>
        <color rgb="FF000000"/>
        <sz val="10.0"/>
      </rPr>
      <t>Face capacity:</t>
    </r>
    <r>
      <rPr>
        <rFont val="Arial"/>
        <color rgb="FF000000"/>
        <sz val="10.0"/>
      </rPr>
      <t xml:space="preserve"> </t>
    </r>
    <r>
      <rPr>
        <rFont val="Arial"/>
        <color rgb="FFFF0000"/>
        <sz val="10.0"/>
      </rPr>
      <t>3000</t>
    </r>
    <r>
      <rPr>
        <rFont val="Arial"/>
        <color rgb="FF000000"/>
        <sz val="10.0"/>
      </rPr>
      <t xml:space="preserve">
</t>
    </r>
    <r>
      <rPr>
        <rFont val="Arial"/>
        <color rgb="FF000000"/>
        <sz val="10.0"/>
      </rPr>
      <t>Fingerprint capacity:</t>
    </r>
    <r>
      <rPr>
        <rFont val="Arial"/>
        <color rgb="FF000000"/>
        <sz val="10.0"/>
      </rPr>
      <t xml:space="preserve"> </t>
    </r>
    <r>
      <rPr>
        <rFont val="Arial"/>
        <color rgb="FFFF0000"/>
        <sz val="10.0"/>
      </rPr>
      <t>4000</t>
    </r>
    <r>
      <rPr>
        <rFont val="Arial"/>
        <color rgb="FF000000"/>
        <sz val="10.0"/>
      </rPr>
      <t xml:space="preserve">
</t>
    </r>
    <r>
      <rPr>
        <rFont val="Arial"/>
        <color rgb="FF000000"/>
        <sz val="10.0"/>
      </rPr>
      <t xml:space="preserve">ID Card Capacity: </t>
    </r>
    <r>
      <rPr>
        <rFont val="Arial"/>
        <color rgb="FF000000"/>
        <sz val="10.0"/>
      </rPr>
      <t xml:space="preserve">10,000 (Optional)
</t>
    </r>
    <r>
      <rPr>
        <rFont val="Arial"/>
        <color rgb="FF000000"/>
        <sz val="10.0"/>
      </rPr>
      <t>Communication:</t>
    </r>
    <r>
      <rPr>
        <rFont val="Arial"/>
        <color rgb="FF000000"/>
        <sz val="10.0"/>
      </rPr>
      <t xml:space="preserve"> TCP/IP, USB-Host, Wiegand Out
</t>
    </r>
    <r>
      <rPr>
        <rFont val="Arial"/>
        <color rgb="FF000000"/>
        <sz val="10.0"/>
      </rPr>
      <t xml:space="preserve">Standard functions: </t>
    </r>
    <r>
      <rPr>
        <rFont val="Arial"/>
        <color rgb="FF000000"/>
        <sz val="10.0"/>
      </rPr>
      <t xml:space="preserve">Automatic Status Switch, T9 input, 9 Digit User ID, Photo ID,  Work Code, DST, Self Service Query, Schedule-bell, Multilpe Vertify Mode
Access Control Interface for Third Party Electric Lock, Door Sensor and Eixt Button,  Alarm.
</t>
    </r>
    <r>
      <rPr>
        <rFont val="Arial"/>
        <color rgb="FF000000"/>
        <sz val="10.0"/>
      </rPr>
      <t xml:space="preserve">Optional functions: </t>
    </r>
    <r>
      <rPr>
        <rFont val="Arial"/>
        <color rgb="FF000000"/>
        <sz val="10.0"/>
      </rPr>
      <t>IDcard, MFCard, ADMS, 3G, Wi-Fi, Backup Battery</t>
    </r>
  </si>
  <si>
    <t>uFace302</t>
  </si>
  <si>
    <r>
      <rPr>
        <rFont val="Arial"/>
        <color rgb="FF000000"/>
        <sz val="10.0"/>
      </rPr>
      <t>Face capacity:</t>
    </r>
    <r>
      <rPr>
        <rFont val="Arial"/>
        <color rgb="FF000000"/>
        <sz val="10.0"/>
      </rPr>
      <t xml:space="preserve"> </t>
    </r>
    <r>
      <rPr>
        <rFont val="Arial"/>
        <color rgb="FFFF0000"/>
        <sz val="10.0"/>
      </rPr>
      <t>3000</t>
    </r>
    <r>
      <rPr>
        <rFont val="Arial"/>
        <color rgb="FF000000"/>
        <sz val="10.0"/>
      </rPr>
      <t xml:space="preserve">
</t>
    </r>
    <r>
      <rPr>
        <rFont val="Arial"/>
        <color rgb="FF000000"/>
        <sz val="10.0"/>
      </rPr>
      <t xml:space="preserve">Fingerprint capacity: </t>
    </r>
    <r>
      <rPr>
        <rFont val="Arial"/>
        <color rgb="FFFF0000"/>
        <sz val="10.0"/>
      </rPr>
      <t>4000</t>
    </r>
    <r>
      <rPr>
        <rFont val="Arial"/>
        <color rgb="FF000000"/>
        <sz val="10.0"/>
      </rPr>
      <t xml:space="preserve">
</t>
    </r>
    <r>
      <rPr>
        <rFont val="Arial"/>
        <color rgb="FF000000"/>
        <sz val="10.0"/>
      </rPr>
      <t xml:space="preserve">ID Card Capacity: </t>
    </r>
    <r>
      <rPr>
        <rFont val="Arial"/>
        <color rgb="FF000000"/>
        <sz val="10.0"/>
      </rPr>
      <t xml:space="preserve">10,000 (Optional)
</t>
    </r>
    <r>
      <rPr>
        <rFont val="Arial"/>
        <color rgb="FF000000"/>
        <sz val="10.0"/>
      </rPr>
      <t xml:space="preserve">Communication: </t>
    </r>
    <r>
      <rPr>
        <rFont val="Arial"/>
        <color rgb="FF000000"/>
        <sz val="10.0"/>
      </rPr>
      <t xml:space="preserve">TCP/IP, USB-Host,  Wiegand Out
</t>
    </r>
    <r>
      <rPr>
        <rFont val="Arial"/>
        <color rgb="FF000000"/>
        <sz val="10.0"/>
      </rPr>
      <t xml:space="preserve">Standard functions: </t>
    </r>
    <r>
      <rPr>
        <rFont val="Arial"/>
        <color rgb="FF000000"/>
        <sz val="10.0"/>
      </rPr>
      <t xml:space="preserve">Automatic Status Switch, T9 input, 9 Digit User ID, Photo ID,  Work Code, DST, Self Service Query, Schedule-bell, Multilpe Vertify Mode
Access Control Interface for Third Party Electric Lock, Door Sensor and Eixt Button,  Alarm
</t>
    </r>
    <r>
      <rPr>
        <rFont val="Arial"/>
        <color rgb="FF000000"/>
        <sz val="10.0"/>
      </rPr>
      <t>Optional functions:</t>
    </r>
    <r>
      <rPr>
        <rFont val="Arial"/>
        <color rgb="FF000000"/>
        <sz val="10.0"/>
      </rPr>
      <t xml:space="preserve"> IDcard, MFCard, ADMS, 3G, Wi-Fi, Backup Battery</t>
    </r>
  </si>
  <si>
    <t>uFace402</t>
  </si>
  <si>
    <r>
      <rPr>
        <rFont val="Arial"/>
        <color rgb="FF000000"/>
        <sz val="10.0"/>
      </rPr>
      <t xml:space="preserve">Face capacity: </t>
    </r>
    <r>
      <rPr>
        <rFont val="Arial"/>
        <color rgb="FFFF0000"/>
        <sz val="10.0"/>
      </rPr>
      <t>3000</t>
    </r>
    <r>
      <rPr>
        <rFont val="Arial"/>
        <color rgb="FF000000"/>
        <sz val="10.0"/>
      </rPr>
      <t xml:space="preserve">
</t>
    </r>
    <r>
      <rPr>
        <rFont val="Arial"/>
        <color rgb="FF000000"/>
        <sz val="10.0"/>
      </rPr>
      <t xml:space="preserve">Fingerprint capacity: </t>
    </r>
    <r>
      <rPr>
        <rFont val="Arial"/>
        <color rgb="FFFF0000"/>
        <sz val="10.0"/>
      </rPr>
      <t>4000</t>
    </r>
    <r>
      <rPr>
        <rFont val="Arial"/>
        <color rgb="FF000000"/>
        <sz val="10.0"/>
      </rPr>
      <t xml:space="preserve">
</t>
    </r>
    <r>
      <rPr>
        <rFont val="Arial"/>
        <color rgb="FF000000"/>
        <sz val="10.0"/>
      </rPr>
      <t xml:space="preserve">ID Card Capacity: </t>
    </r>
    <r>
      <rPr>
        <rFont val="Arial"/>
        <color rgb="FF000000"/>
        <sz val="10.0"/>
      </rPr>
      <t xml:space="preserve">10,000 (Optional)
</t>
    </r>
    <r>
      <rPr>
        <rFont val="Arial"/>
        <color rgb="FF000000"/>
        <sz val="10.0"/>
      </rPr>
      <t>Communication:</t>
    </r>
    <r>
      <rPr>
        <rFont val="Arial"/>
        <color rgb="FF000000"/>
        <sz val="10.0"/>
      </rPr>
      <t xml:space="preserve"> TCP/IP, USB-Host, Wiegand Out
</t>
    </r>
    <r>
      <rPr>
        <rFont val="Arial"/>
        <color rgb="FF000000"/>
        <sz val="10.0"/>
      </rPr>
      <t>Standard functions:</t>
    </r>
    <r>
      <rPr>
        <rFont val="Arial"/>
        <color rgb="FF000000"/>
        <sz val="10.0"/>
      </rPr>
      <t xml:space="preserve"> Automatic Status Switch, T9 input, 9 Digit User ID, Photo ID,  Work Code, DST, Self Service Query, Schedule-bell,  Multilpe Vertify Mode
Access Control Interface for Third Party Electric Lock, Door Sensor and Eixt Button,  Alarm
Optional functions: IDcard, MF Card, ADMS, 3G, Wi-Fi, Backup Battery</t>
    </r>
  </si>
  <si>
    <t>uFace602</t>
  </si>
  <si>
    <r>
      <rPr>
        <rFont val="Arial"/>
        <color rgb="FF000000"/>
        <sz val="10.0"/>
      </rPr>
      <t>Face capacity:</t>
    </r>
    <r>
      <rPr>
        <rFont val="Arial"/>
        <color rgb="FFFF0000"/>
        <sz val="10.0"/>
      </rPr>
      <t xml:space="preserve"> </t>
    </r>
    <r>
      <rPr>
        <rFont val="Arial"/>
        <color rgb="FFFF0000"/>
        <sz val="10.0"/>
      </rPr>
      <t>3000</t>
    </r>
    <r>
      <rPr>
        <rFont val="Arial"/>
        <color rgb="FF000000"/>
        <sz val="10.0"/>
      </rPr>
      <t xml:space="preserve">
</t>
    </r>
    <r>
      <rPr>
        <rFont val="Arial"/>
        <color rgb="FF000000"/>
        <sz val="10.0"/>
      </rPr>
      <t>Fingerprint capacity:</t>
    </r>
    <r>
      <rPr>
        <rFont val="Arial"/>
        <color rgb="FF000000"/>
        <sz val="10.0"/>
      </rPr>
      <t xml:space="preserve"> </t>
    </r>
    <r>
      <rPr>
        <rFont val="Arial"/>
        <color rgb="FFFF0000"/>
        <sz val="10.0"/>
      </rPr>
      <t>4000</t>
    </r>
    <r>
      <rPr>
        <rFont val="Arial"/>
        <color rgb="FF000000"/>
        <sz val="10.0"/>
      </rPr>
      <t xml:space="preserve">
</t>
    </r>
    <r>
      <rPr>
        <rFont val="Arial"/>
        <color rgb="FF000000"/>
        <sz val="10.0"/>
      </rPr>
      <t xml:space="preserve">ID Card Capacity: </t>
    </r>
    <r>
      <rPr>
        <rFont val="Arial"/>
        <color rgb="FF000000"/>
        <sz val="10.0"/>
      </rPr>
      <t xml:space="preserve">10,000 (Optional)
</t>
    </r>
    <r>
      <rPr>
        <rFont val="Arial"/>
        <color rgb="FF000000"/>
        <sz val="10.0"/>
      </rPr>
      <t xml:space="preserve">Communication: </t>
    </r>
    <r>
      <rPr>
        <rFont val="Arial"/>
        <color rgb="FF000000"/>
        <sz val="10.0"/>
      </rPr>
      <t xml:space="preserve">TCP/IP, USB-Host,  Wiegand Out
</t>
    </r>
    <r>
      <rPr>
        <rFont val="Arial"/>
        <color rgb="FF000000"/>
        <sz val="10.0"/>
      </rPr>
      <t>Standard functions:</t>
    </r>
    <r>
      <rPr>
        <rFont val="Arial"/>
        <color rgb="FF000000"/>
        <sz val="10.0"/>
      </rPr>
      <t xml:space="preserve"> Automatic Status Switch, T9 input, 9 Digit User ID, Photo ID,  Work Code, DST, Self Service Query, Schedule-bell, Multilpe Vertify Mode
Access Control Interface for Third Party Electric Lock, Door Sensor and Eixt Button,  Alarm
</t>
    </r>
    <r>
      <rPr>
        <rFont val="Arial"/>
        <color rgb="FF000000"/>
        <sz val="10.0"/>
      </rPr>
      <t xml:space="preserve">Optional functions: </t>
    </r>
    <r>
      <rPr>
        <rFont val="Arial"/>
        <color rgb="FF000000"/>
        <sz val="10.0"/>
      </rPr>
      <t>IDcard, MF Card, ADMS, 3G, Wi-Fi, Backup Battery</t>
    </r>
  </si>
  <si>
    <t>uFace800</t>
  </si>
  <si>
    <r>
      <rPr>
        <rFont val="Arial"/>
        <color rgb="FF000000"/>
        <sz val="10.0"/>
      </rPr>
      <t>Face capacity:</t>
    </r>
    <r>
      <rPr>
        <rFont val="Arial"/>
        <color rgb="FF000000"/>
        <sz val="10.0"/>
      </rPr>
      <t xml:space="preserve"> </t>
    </r>
    <r>
      <rPr>
        <rFont val="Arial"/>
        <color rgb="FFFF0000"/>
        <sz val="10.0"/>
      </rPr>
      <t>3000</t>
    </r>
    <r>
      <rPr>
        <rFont val="Arial"/>
        <color rgb="FF000000"/>
        <sz val="10.0"/>
      </rPr>
      <t xml:space="preserve">
</t>
    </r>
    <r>
      <rPr>
        <rFont val="Arial"/>
        <color rgb="FF000000"/>
        <sz val="10.0"/>
      </rPr>
      <t xml:space="preserve">Fingerprint capacity: </t>
    </r>
    <r>
      <rPr>
        <rFont val="Arial"/>
        <color rgb="FFFF0000"/>
        <sz val="10.0"/>
      </rPr>
      <t>4000</t>
    </r>
    <r>
      <rPr>
        <rFont val="Arial"/>
        <color rgb="FF000000"/>
        <sz val="10.0"/>
      </rPr>
      <t xml:space="preserve">
</t>
    </r>
    <r>
      <rPr>
        <rFont val="Arial"/>
        <color rgb="FF000000"/>
        <sz val="10.0"/>
      </rPr>
      <t xml:space="preserve">ID Card Capacity: </t>
    </r>
    <r>
      <rPr>
        <rFont val="Arial"/>
        <color rgb="FF000000"/>
        <sz val="10.0"/>
      </rPr>
      <t xml:space="preserve">10,000 (Optional)
</t>
    </r>
    <r>
      <rPr>
        <rFont val="Arial"/>
        <color rgb="FF000000"/>
        <sz val="10.0"/>
      </rPr>
      <t xml:space="preserve">Communication: </t>
    </r>
    <r>
      <rPr>
        <rFont val="Arial"/>
        <color rgb="FF000000"/>
        <sz val="10.0"/>
      </rPr>
      <t xml:space="preserve">TCP/IP, USB-Host, Wiegand Out
</t>
    </r>
    <r>
      <rPr>
        <rFont val="Arial"/>
        <color rgb="FF000000"/>
        <sz val="10.0"/>
      </rPr>
      <t xml:space="preserve">Standard functions: </t>
    </r>
    <r>
      <rPr>
        <rFont val="Arial"/>
        <color rgb="FF000000"/>
        <sz val="10.0"/>
      </rPr>
      <t xml:space="preserve">Automatic Status Switch, T9 input, 9 Digit User ID, Photo ID,  Work Code, DST, Self Service Query, Schedule-bell, Multilpe Vertify Mode
Access Control Interface for Third Party Electric Lock, Door Sensor and Eixt Button,  Alarm
</t>
    </r>
    <r>
      <rPr>
        <rFont val="Arial"/>
        <color rgb="FF000000"/>
        <sz val="10.0"/>
      </rPr>
      <t>Optional functions:</t>
    </r>
    <r>
      <rPr>
        <rFont val="Arial"/>
        <color rgb="FF000000"/>
        <sz val="10.0"/>
      </rPr>
      <t xml:space="preserve"> IDcard, MFCard, ADMS, 3G, Wi-Fi, Backup Battery</t>
    </r>
  </si>
  <si>
    <t>2.8"  Color Display</t>
  </si>
  <si>
    <t>MB2000</t>
  </si>
  <si>
    <r>
      <rPr>
        <rFont val="Arial"/>
        <color rgb="FF000000"/>
        <sz val="10.0"/>
      </rPr>
      <t xml:space="preserve">Fingerprint Capacity: </t>
    </r>
    <r>
      <rPr>
        <rFont val="Arial"/>
        <color rgb="FF000000"/>
        <sz val="10.0"/>
      </rPr>
      <t xml:space="preserve">3000
</t>
    </r>
    <r>
      <rPr>
        <rFont val="Arial"/>
        <color rgb="FF000000"/>
        <sz val="10.0"/>
      </rPr>
      <t>Face Capacity:</t>
    </r>
    <r>
      <rPr>
        <rFont val="Arial"/>
        <color rgb="FF000000"/>
        <sz val="10.0"/>
      </rPr>
      <t xml:space="preserve"> 2000
</t>
    </r>
    <r>
      <rPr>
        <rFont val="Arial"/>
        <color rgb="FF000000"/>
        <sz val="10.0"/>
      </rPr>
      <t>ID Card Capacity:</t>
    </r>
    <r>
      <rPr>
        <rFont val="Arial"/>
        <color rgb="FF000000"/>
        <sz val="10.0"/>
      </rPr>
      <t xml:space="preserve"> 3000 (Optional)       
</t>
    </r>
    <r>
      <rPr>
        <rFont val="Arial"/>
        <color rgb="FF000000"/>
        <sz val="10.0"/>
      </rPr>
      <t xml:space="preserve">Record Capacity: </t>
    </r>
    <r>
      <rPr>
        <rFont val="Arial"/>
        <color rgb="FF000000"/>
        <sz val="10.0"/>
      </rPr>
      <t xml:space="preserve">100,000 
</t>
    </r>
    <r>
      <rPr>
        <rFont val="Arial"/>
        <color rgb="FF000000"/>
        <sz val="10.0"/>
      </rPr>
      <t xml:space="preserve">Fingerprint Sensor: </t>
    </r>
    <r>
      <rPr>
        <rFont val="Arial"/>
        <color rgb="FF000000"/>
        <sz val="10.0"/>
      </rPr>
      <t xml:space="preserve">BioID
</t>
    </r>
    <r>
      <rPr>
        <rFont val="Arial"/>
        <color rgb="FF000000"/>
        <sz val="10.0"/>
      </rPr>
      <t xml:space="preserve">Communication: </t>
    </r>
    <r>
      <rPr>
        <rFont val="Arial"/>
        <color rgb="FF000000"/>
        <sz val="10.0"/>
      </rPr>
      <t xml:space="preserve">RS232/485, TCP/IP, USB -Host
</t>
    </r>
    <r>
      <rPr>
        <rFont val="Arial"/>
        <color rgb="FF000000"/>
        <sz val="10.0"/>
      </rPr>
      <t xml:space="preserve">Standard Functions: </t>
    </r>
    <r>
      <rPr>
        <rFont val="Arial"/>
        <color rgb="FF000000"/>
        <sz val="10.0"/>
      </rPr>
      <t xml:space="preserve">Work Code,  SMS,  DST,  Scheduled-bell,  Self-Service Query,  Automatic Status Switch , Photo ID,  T9 Input,  Camera,  9 digit user ID,  Built-in Battery,  Multiple Verify Mode.
Access Control Interface for Lock,  Door Sensor,  Exit Button,  Alarm
</t>
    </r>
    <r>
      <rPr>
        <rFont val="Arial"/>
        <color rgb="FF000000"/>
        <sz val="10.0"/>
      </rPr>
      <t>Wiegand Signal:</t>
    </r>
    <r>
      <rPr>
        <rFont val="Arial"/>
        <color rgb="FF000000"/>
        <sz val="10.0"/>
      </rPr>
      <t xml:space="preserve">  Output
</t>
    </r>
    <r>
      <rPr>
        <rFont val="Arial"/>
        <color rgb="FF000000"/>
        <sz val="10.0"/>
      </rPr>
      <t>Optional:</t>
    </r>
    <r>
      <rPr>
        <rFont val="Arial"/>
        <color rgb="FF000000"/>
        <sz val="10.0"/>
      </rPr>
      <t xml:space="preserve"> ID/Mifare,  ADMS ,</t>
    </r>
    <r>
      <rPr>
        <rFont val="Arial"/>
        <color rgb="FFFF0000"/>
        <sz val="10.0"/>
      </rPr>
      <t xml:space="preserve"> External Bell</t>
    </r>
    <r>
      <rPr>
        <rFont val="Arial"/>
        <color rgb="FFFF0000"/>
        <sz val="10.0"/>
      </rPr>
      <t>（</t>
    </r>
    <r>
      <rPr>
        <rFont val="Arial"/>
        <color rgb="FFFF0000"/>
        <sz val="10.0"/>
      </rPr>
      <t>Without Alarm</t>
    </r>
    <r>
      <rPr>
        <rFont val="Arial"/>
        <color rgb="FFFF0000"/>
        <sz val="10.0"/>
      </rPr>
      <t>）</t>
    </r>
    <r>
      <rPr>
        <rFont val="Arial"/>
        <color rgb="FFFF0000"/>
        <sz val="10.0"/>
      </rPr>
      <t>.</t>
    </r>
  </si>
  <si>
    <t>MB1000</t>
  </si>
  <si>
    <r>
      <rPr>
        <rFont val="Arial"/>
        <color rgb="FF000000"/>
        <sz val="10.0"/>
      </rPr>
      <t xml:space="preserve">Fingerprint Capacity: </t>
    </r>
    <r>
      <rPr>
        <rFont val="Arial"/>
        <color rgb="FF000000"/>
        <sz val="10.0"/>
      </rPr>
      <t xml:space="preserve">3000
</t>
    </r>
    <r>
      <rPr>
        <rFont val="Arial"/>
        <color rgb="FF000000"/>
        <sz val="10.0"/>
      </rPr>
      <t xml:space="preserve">Face Capacity: </t>
    </r>
    <r>
      <rPr>
        <rFont val="Arial"/>
        <color rgb="FF000000"/>
        <sz val="10.0"/>
      </rPr>
      <t xml:space="preserve">2000
</t>
    </r>
    <r>
      <rPr>
        <rFont val="Arial"/>
        <color rgb="FF000000"/>
        <sz val="10.0"/>
      </rPr>
      <t xml:space="preserve">ID Card Capacity: </t>
    </r>
    <r>
      <rPr>
        <rFont val="Arial"/>
        <color rgb="FF000000"/>
        <sz val="10.0"/>
      </rPr>
      <t xml:space="preserve">3000 (Optional)       
</t>
    </r>
    <r>
      <rPr>
        <rFont val="Arial"/>
        <color rgb="FF000000"/>
        <sz val="10.0"/>
      </rPr>
      <t>Record Capacity:</t>
    </r>
    <r>
      <rPr>
        <rFont val="Arial"/>
        <color rgb="FF000000"/>
        <sz val="10.0"/>
      </rPr>
      <t xml:space="preserve"> 100,000 
</t>
    </r>
    <r>
      <rPr>
        <rFont val="Arial"/>
        <color rgb="FF000000"/>
        <sz val="10.0"/>
      </rPr>
      <t>Fingerprint Sensor:</t>
    </r>
    <r>
      <rPr>
        <rFont val="Arial"/>
        <color rgb="FF000000"/>
        <sz val="10.0"/>
      </rPr>
      <t xml:space="preserve"> BioID
</t>
    </r>
    <r>
      <rPr>
        <rFont val="Arial"/>
        <color rgb="FF000000"/>
        <sz val="10.0"/>
      </rPr>
      <t xml:space="preserve">Communication: </t>
    </r>
    <r>
      <rPr>
        <rFont val="Arial"/>
        <color rgb="FF000000"/>
        <sz val="10.0"/>
      </rPr>
      <t xml:space="preserve">TCP/IP,  USB-Host,  Wi-Fi(Optional)
</t>
    </r>
    <r>
      <rPr>
        <rFont val="Arial"/>
        <color rgb="FF000000"/>
        <sz val="10.0"/>
      </rPr>
      <t xml:space="preserve">Standard Functions: </t>
    </r>
    <r>
      <rPr>
        <rFont val="Arial"/>
        <color rgb="FF000000"/>
        <sz val="10.0"/>
      </rPr>
      <t xml:space="preserve">Work Code,  SMS,  DST,  Scheduled-bell,  Self-Service Query,  Automatic Status Switch,  Photo ID,  T9 Input,  Camera,  9 digit user ID,  Built-in Battery,  Multiple Verify Mode.
Access Control Interface for Lock,  Door Sensor,  Exit Button,  Alarm
</t>
    </r>
    <r>
      <rPr>
        <rFont val="Arial"/>
        <color rgb="FF000000"/>
        <sz val="10.0"/>
      </rPr>
      <t xml:space="preserve">Optional: </t>
    </r>
    <r>
      <rPr>
        <rFont val="Arial"/>
        <color rgb="FF000000"/>
        <sz val="10.0"/>
      </rPr>
      <t>ID/Mifare,  WDMS ,</t>
    </r>
    <r>
      <rPr>
        <rFont val="Arial"/>
        <color rgb="FFFF0000"/>
        <sz val="10.0"/>
      </rPr>
      <t xml:space="preserve"> External Bell</t>
    </r>
    <r>
      <rPr>
        <rFont val="Arial"/>
        <color rgb="FFFF0000"/>
        <sz val="10.0"/>
      </rPr>
      <t>（</t>
    </r>
    <r>
      <rPr>
        <rFont val="Arial"/>
        <color rgb="FFFF0000"/>
        <sz val="10.0"/>
      </rPr>
      <t>Without Alarm</t>
    </r>
    <r>
      <rPr>
        <rFont val="Arial"/>
        <color rgb="FFFF0000"/>
        <sz val="10.0"/>
      </rPr>
      <t>）</t>
    </r>
    <r>
      <rPr>
        <rFont val="Arial"/>
        <color rgb="FFFF0000"/>
        <sz val="10.0"/>
      </rPr>
      <t>.</t>
    </r>
  </si>
  <si>
    <t>SilkBio-101TC</t>
  </si>
  <si>
    <r>
      <rPr>
        <rFont val="Arial"/>
        <color rgb="FF000000"/>
        <sz val="10.0"/>
      </rPr>
      <t xml:space="preserve">Fingerprint Capacity: </t>
    </r>
    <r>
      <rPr>
        <rFont val="Arial"/>
        <color rgb="FF000000"/>
        <sz val="10.0"/>
      </rPr>
      <t xml:space="preserve">3000
</t>
    </r>
    <r>
      <rPr>
        <rFont val="Arial"/>
        <color rgb="FF000000"/>
        <sz val="10.0"/>
      </rPr>
      <t>Face Capacity:</t>
    </r>
    <r>
      <rPr>
        <rFont val="Arial"/>
        <color rgb="FF000000"/>
        <sz val="10.0"/>
      </rPr>
      <t xml:space="preserve"> 2000
</t>
    </r>
    <r>
      <rPr>
        <rFont val="Arial"/>
        <color rgb="FF000000"/>
        <sz val="10.0"/>
      </rPr>
      <t xml:space="preserve">ID Card Capacity: </t>
    </r>
    <r>
      <rPr>
        <rFont val="Arial"/>
        <color rgb="FF000000"/>
        <sz val="10.0"/>
      </rPr>
      <t xml:space="preserve">3000 (Optional)       
</t>
    </r>
    <r>
      <rPr>
        <rFont val="Arial"/>
        <color rgb="FF000000"/>
        <sz val="10.0"/>
      </rPr>
      <t>Record Capacity:</t>
    </r>
    <r>
      <rPr>
        <rFont val="Arial"/>
        <color rgb="FF000000"/>
        <sz val="10.0"/>
      </rPr>
      <t xml:space="preserve"> 100,000 
</t>
    </r>
    <r>
      <rPr>
        <rFont val="Arial"/>
        <color rgb="FF000000"/>
        <sz val="10.0"/>
      </rPr>
      <t>Fingerprint Sensor:</t>
    </r>
    <r>
      <rPr>
        <rFont val="Arial"/>
        <color rgb="FF000000"/>
        <sz val="10.0"/>
      </rPr>
      <t xml:space="preserve"> SilkID
</t>
    </r>
    <r>
      <rPr>
        <rFont val="Arial"/>
        <color rgb="FF000000"/>
        <sz val="10.0"/>
      </rPr>
      <t xml:space="preserve">Communication: </t>
    </r>
    <r>
      <rPr>
        <rFont val="Arial"/>
        <color rgb="FF000000"/>
        <sz val="10.0"/>
      </rPr>
      <t xml:space="preserve">TCP/IP,  USB-Host,  Wi-Fi(Optional)
</t>
    </r>
    <r>
      <rPr>
        <rFont val="Arial"/>
        <color rgb="FF000000"/>
        <sz val="10.0"/>
      </rPr>
      <t>Standard Functions:</t>
    </r>
    <r>
      <rPr>
        <rFont val="Arial"/>
        <color rgb="FF000000"/>
        <sz val="10.0"/>
      </rPr>
      <t xml:space="preserve"> Work Code,  SMS,  DST,  Scheduled-bell,  Self-Service Query,  Automatic Status Switch,  Photo ID,  T9 Input,  Camera,  9 digit user ID,  Built-in Battery,  Multiple Verify Mode.
Access Control Interface for Lock,  Door Sensor,  Exit Button,  Alarm
</t>
    </r>
    <r>
      <rPr>
        <rFont val="Arial"/>
        <color rgb="FF000000"/>
        <sz val="10.0"/>
      </rPr>
      <t xml:space="preserve">Optional: </t>
    </r>
    <r>
      <rPr>
        <rFont val="Arial"/>
        <color rgb="FF000000"/>
        <sz val="10.0"/>
      </rPr>
      <t xml:space="preserve">ID/Mifare,  WDMS ,  </t>
    </r>
    <r>
      <rPr>
        <rFont val="Arial"/>
        <color rgb="FFFF0000"/>
        <sz val="10.0"/>
      </rPr>
      <t>External Bell</t>
    </r>
    <r>
      <rPr>
        <rFont val="Arial"/>
        <color rgb="FFFF0000"/>
        <sz val="10.0"/>
      </rPr>
      <t>（</t>
    </r>
    <r>
      <rPr>
        <rFont val="Arial"/>
        <color rgb="FFFF0000"/>
        <sz val="10.0"/>
      </rPr>
      <t>Without Alarm</t>
    </r>
    <r>
      <rPr>
        <rFont val="Arial"/>
        <color rgb="FFFF0000"/>
        <sz val="10.0"/>
      </rPr>
      <t>）</t>
    </r>
    <r>
      <rPr>
        <rFont val="Arial"/>
        <color rgb="FFFF0000"/>
        <sz val="10.0"/>
      </rPr>
      <t>.</t>
    </r>
  </si>
  <si>
    <t>SilkBio-100TC</t>
  </si>
  <si>
    <r>
      <rPr>
        <rFont val="Arial"/>
        <color rgb="FF000000"/>
        <sz val="10.0"/>
      </rPr>
      <t>Fingerprint Capacity:</t>
    </r>
    <r>
      <rPr>
        <rFont val="Arial"/>
        <color rgb="FF000000"/>
        <sz val="10.0"/>
      </rPr>
      <t xml:space="preserve"> 3000
</t>
    </r>
    <r>
      <rPr>
        <rFont val="Arial"/>
        <color rgb="FF000000"/>
        <sz val="10.0"/>
      </rPr>
      <t>Face Capacity:</t>
    </r>
    <r>
      <rPr>
        <rFont val="Arial"/>
        <color rgb="FF000000"/>
        <sz val="10.0"/>
      </rPr>
      <t xml:space="preserve"> 2000
</t>
    </r>
    <r>
      <rPr>
        <rFont val="Arial"/>
        <color rgb="FF000000"/>
        <sz val="10.0"/>
      </rPr>
      <t xml:space="preserve">ID Card Capacity: </t>
    </r>
    <r>
      <rPr>
        <rFont val="Arial"/>
        <color rgb="FF000000"/>
        <sz val="10.0"/>
      </rPr>
      <t xml:space="preserve">3000 (Optional)       
</t>
    </r>
    <r>
      <rPr>
        <rFont val="Arial"/>
        <color rgb="FF000000"/>
        <sz val="10.0"/>
      </rPr>
      <t xml:space="preserve">Record Capacity: </t>
    </r>
    <r>
      <rPr>
        <rFont val="Arial"/>
        <color rgb="FF000000"/>
        <sz val="10.0"/>
      </rPr>
      <t xml:space="preserve">100,000 
</t>
    </r>
    <r>
      <rPr>
        <rFont val="Arial"/>
        <color rgb="FF000000"/>
        <sz val="10.0"/>
      </rPr>
      <t>Fingerprint Sensor:</t>
    </r>
    <r>
      <rPr>
        <rFont val="Arial"/>
        <color rgb="FF000000"/>
        <sz val="10.0"/>
      </rPr>
      <t xml:space="preserve"> SilkID
</t>
    </r>
    <r>
      <rPr>
        <rFont val="Arial"/>
        <color rgb="FF000000"/>
        <sz val="10.0"/>
      </rPr>
      <t xml:space="preserve">Communication: </t>
    </r>
    <r>
      <rPr>
        <rFont val="Arial"/>
        <color rgb="FF000000"/>
        <sz val="10.0"/>
      </rPr>
      <t xml:space="preserve">RS232/485,  TCP/IP,  USB -Host
</t>
    </r>
    <r>
      <rPr>
        <rFont val="Arial"/>
        <color rgb="FF000000"/>
        <sz val="10.0"/>
      </rPr>
      <t>Standard Functions:</t>
    </r>
    <r>
      <rPr>
        <rFont val="Arial"/>
        <color rgb="FF000000"/>
        <sz val="10.0"/>
      </rPr>
      <t xml:space="preserve"> Work Code,  SMS,  DST,  Scheduled-bell,  Self-Service Query,  Automatic Status Switch , Photo ID,  T9 Input,  Camera,  9 digit user ID,  Built-in Battery,  Multiple Verify Mode,  External Bell.
Access Control Interface for Lock,  Door Sensor,  Exit Button,  Alarm
</t>
    </r>
    <r>
      <rPr>
        <rFont val="Arial"/>
        <color rgb="FF000000"/>
        <sz val="10.0"/>
      </rPr>
      <t>Wiegand Signal:</t>
    </r>
    <r>
      <rPr>
        <rFont val="Arial"/>
        <color rgb="FF000000"/>
        <sz val="10.0"/>
      </rPr>
      <t xml:space="preserve">  Output
</t>
    </r>
    <r>
      <rPr>
        <rFont val="Arial"/>
        <color rgb="FF000000"/>
        <sz val="10.0"/>
      </rPr>
      <t>Optional:</t>
    </r>
    <r>
      <rPr>
        <rFont val="Arial"/>
        <color rgb="FF000000"/>
        <sz val="10.0"/>
      </rPr>
      <t xml:space="preserve"> ID/Mifare,  ADMS</t>
    </r>
  </si>
  <si>
    <t>Fingerprint T&amp;A and A&amp;C Device</t>
  </si>
  <si>
    <t>2.8" Color Display</t>
  </si>
  <si>
    <t>iclock1000-G</t>
  </si>
  <si>
    <r>
      <rPr>
        <rFont val="Arial"/>
        <color theme="1"/>
        <sz val="10.0"/>
      </rPr>
      <t>User: 3000(6000 Optional)
Fingerprint Capacity: 3000(6000 Optional)
ID Card Capacity: 3000 (6000 Optional)
Record Capacity: 200,000
Communication: TCP/IP, USB-host,GPRS
Standard Functions: SMS,  DST,  Scheduled-bell,  Self-sevice Qquery,  Automatic Status Switch, T9 input, Multi-verification,  RS232 Printer(Optional Cable),  3rd party electric lock,  Exit Button,  Alarm,ADMS,ID Card, Backup Battery.
Optional: Mifare Cards,  Work Code,  SSR(User Capacity)
(Optional Wi-Fi: +15 USD</t>
    </r>
    <r>
      <rPr>
        <rFont val="Arial"/>
        <color theme="1"/>
        <sz val="10.0"/>
      </rPr>
      <t>；</t>
    </r>
    <r>
      <rPr>
        <rFont val="Arial"/>
        <color theme="1"/>
        <sz val="10.0"/>
      </rPr>
      <t>3G</t>
    </r>
    <r>
      <rPr>
        <rFont val="Arial"/>
        <color theme="1"/>
        <sz val="10.0"/>
      </rPr>
      <t>：</t>
    </r>
    <r>
      <rPr>
        <rFont val="Arial"/>
        <color theme="1"/>
        <sz val="10.0"/>
      </rPr>
      <t>+40 USD)</t>
    </r>
  </si>
  <si>
    <t>iclock4000-G</t>
  </si>
  <si>
    <r>
      <rPr>
        <rFont val="Arial"/>
        <color theme="1"/>
        <sz val="10.0"/>
      </rPr>
      <t>User: 3000(60,00 Optional)
Fingerprint Capacity: 3000(6000 Optional)
ID Card Capacity: 3000 (6000 Optional)
Record Capacity: 200,000
Communication: TCP/IP, USB-host,GPRS
Standard Functions: SMS,  DST,  Scheduled-bell,  Self-sevice Qquery,  Automatic Status Switch, T9 input, Multi-verification,  RS232 Printer(Optional Cable),  3rd party electric lock,  Exit Button,  Alarm,ADMS,ID Card, Backup Battery.
Optional: Mifare Cards,  Work Code,  SSR(User Capacity)
(Optional Wi-Fi: +15 USD</t>
    </r>
    <r>
      <rPr>
        <rFont val="Arial"/>
        <color theme="1"/>
        <sz val="10.0"/>
      </rPr>
      <t>；</t>
    </r>
    <r>
      <rPr>
        <rFont val="Arial"/>
        <color theme="1"/>
        <sz val="10.0"/>
      </rPr>
      <t>3G</t>
    </r>
    <r>
      <rPr>
        <rFont val="Arial"/>
        <color theme="1"/>
        <sz val="10.0"/>
      </rPr>
      <t>：</t>
    </r>
    <r>
      <rPr>
        <rFont val="Arial"/>
        <color theme="1"/>
        <sz val="10.0"/>
      </rPr>
      <t>+40 USD)</t>
    </r>
  </si>
  <si>
    <t>iclock9000-G</t>
  </si>
  <si>
    <r>
      <rPr>
        <rFont val="Arial"/>
        <color theme="1"/>
        <sz val="10.0"/>
      </rPr>
      <t>User: 3000(60,00 Optional)
Fingerprint Capacity:  3000(6000 Optional)
ID Card Capacity: 3000 (6000O ptional)
Record Capacity: 200,000
Communication: TCP/IP, USB-host,GPRS
Standard Functions: SMS,  DST,  Scheduled-bell,  Self-sevice Qquery,  Automatic Status Switch, T9 input, Multi-verification,  RS232 Printer(Optional Cable),  3rd party electric lock,  Exit Button,  Alarm,ADMS,ID Card, Backup Battery.
Optional: Mifare Cards,  Work Code,  SSR(User Capacity)
(Optional Wi-Fi: +15 USD</t>
    </r>
    <r>
      <rPr>
        <rFont val="Arial"/>
        <color theme="1"/>
        <sz val="10.0"/>
      </rPr>
      <t>；</t>
    </r>
    <r>
      <rPr>
        <rFont val="Arial"/>
        <color theme="1"/>
        <sz val="10.0"/>
      </rPr>
      <t>3G</t>
    </r>
    <r>
      <rPr>
        <rFont val="Arial"/>
        <color theme="1"/>
        <sz val="10.0"/>
      </rPr>
      <t>：</t>
    </r>
    <r>
      <rPr>
        <rFont val="Arial"/>
        <color theme="1"/>
        <sz val="10.0"/>
      </rPr>
      <t>+40 USD)</t>
    </r>
  </si>
  <si>
    <t>Face T&amp;A Device</t>
  </si>
  <si>
    <t>MB160</t>
  </si>
  <si>
    <t>Face Capacity: 1500
Fingerprint Capacity: 2000
ID Card Capacity: 2000 (Optional)
Record Capacity: 100,000
Communication: TCP/IP, USB-host
Standard Functions: SMS, DST,
Scheduled-bell,
Self-sevice query, Automatic Status Switch,
T9 input, Photo ID,
Camera, Multi-verification, RS232 Printer, 3rd
party electric lock,
Exit Button, Alarm.
Optional: ID/Mifare Cards, Work Code, ADMS
(Optional Wi-Fi; 3G; Battery)</t>
  </si>
  <si>
    <t>MB360</t>
  </si>
  <si>
    <r>
      <rPr>
        <rFont val="Arial"/>
        <color rgb="FF000000"/>
        <sz val="10.0"/>
      </rPr>
      <t>Face Capacity: 1500
Fingerprint Capacity: 2000
ID Card Capacity: 2000 (Optional)
Record Capacity: 100,000
Communication: TCP/IP, USB-host
Standard Functions: SMS,  DST,  Scheduled-bell,  Self-sevice Qquery,  Automatic Status Switch, T9 input,  Photo ID,  Camera,  Multi-verification,  RS232 Printer,  3rd party electric lock,  Exit Button,  Alarm.
Optional: ID/Mifare Cards,  Work Code,  ADMS
(Optional Wi-Fi: +15 USD</t>
    </r>
    <r>
      <rPr>
        <rFont val="Arial"/>
        <color rgb="FF000000"/>
        <sz val="10.0"/>
      </rPr>
      <t>；</t>
    </r>
    <r>
      <rPr>
        <rFont val="Arial"/>
        <color rgb="FF000000"/>
        <sz val="10.0"/>
      </rPr>
      <t>3G</t>
    </r>
    <r>
      <rPr>
        <rFont val="Arial"/>
        <color rgb="FF000000"/>
        <sz val="10.0"/>
      </rPr>
      <t>：</t>
    </r>
    <r>
      <rPr>
        <rFont val="Arial"/>
        <color rgb="FF000000"/>
        <sz val="10.0"/>
      </rPr>
      <t>+40 USD; Battery</t>
    </r>
    <r>
      <rPr>
        <rFont val="Arial"/>
        <color rgb="FF000000"/>
        <sz val="10.0"/>
      </rPr>
      <t>：</t>
    </r>
    <r>
      <rPr>
        <rFont val="Arial"/>
        <color rgb="FF000000"/>
        <sz val="10.0"/>
      </rPr>
      <t>10 USD)</t>
    </r>
  </si>
  <si>
    <t>MB460</t>
  </si>
  <si>
    <r>
      <rPr>
        <rFont val="Arial"/>
        <color rgb="FF000000"/>
        <sz val="10.0"/>
      </rPr>
      <t>Face Capacity: 1500
Fingerprint Capacity: 2000
ID Card Capacity: 2000 (Optional)
Record Capacity: 100,000
Communication: TCP/IP, USB-host
Standard Functions: SMS,  DST,  Scheduled-bell,  Self-sevice Qquery,  Automatic Status Switch, T9 input,  Photo ID,  Camera,  Multi-verification,  RS232 Printer,  3rd party electric lock,  Exit Button,  Alarm.
Optional: ID/Mifare Cards,  Work Code,  ADMS
(Optional Wi-Fi: +15 USD</t>
    </r>
    <r>
      <rPr>
        <rFont val="Arial"/>
        <color rgb="FF000000"/>
        <sz val="10.0"/>
      </rPr>
      <t>；</t>
    </r>
    <r>
      <rPr>
        <rFont val="Arial"/>
        <color rgb="FF000000"/>
        <sz val="10.0"/>
      </rPr>
      <t>3G</t>
    </r>
    <r>
      <rPr>
        <rFont val="Arial"/>
        <color rgb="FF000000"/>
        <sz val="10.0"/>
      </rPr>
      <t>：</t>
    </r>
    <r>
      <rPr>
        <rFont val="Arial"/>
        <color rgb="FF000000"/>
        <sz val="10.0"/>
      </rPr>
      <t>+40 USD; Battery</t>
    </r>
    <r>
      <rPr>
        <rFont val="Arial"/>
        <color rgb="FF000000"/>
        <sz val="10.0"/>
      </rPr>
      <t>：</t>
    </r>
    <r>
      <rPr>
        <rFont val="Arial"/>
        <color rgb="FF000000"/>
        <sz val="10.0"/>
      </rPr>
      <t>10 USD)</t>
    </r>
  </si>
  <si>
    <t>MB10</t>
  </si>
  <si>
    <r>
      <rPr>
        <rFont val="Arial"/>
        <color rgb="FF000000"/>
        <sz val="10.0"/>
      </rPr>
      <t xml:space="preserve">Face Capacity: </t>
    </r>
    <r>
      <rPr>
        <rFont val="Arial"/>
        <color rgb="FF000000"/>
        <sz val="10.0"/>
      </rPr>
      <t xml:space="preserve">200
</t>
    </r>
    <r>
      <rPr>
        <rFont val="Arial"/>
        <color rgb="FF000000"/>
        <sz val="10.0"/>
      </rPr>
      <t xml:space="preserve">Fingerprint Capacity: </t>
    </r>
    <r>
      <rPr>
        <rFont val="Arial"/>
        <color rgb="FF000000"/>
        <sz val="10.0"/>
      </rPr>
      <t xml:space="preserve">500
</t>
    </r>
    <r>
      <rPr>
        <rFont val="Arial"/>
        <color rgb="FF000000"/>
        <sz val="10.0"/>
      </rPr>
      <t xml:space="preserve">ID Card Capacity: </t>
    </r>
    <r>
      <rPr>
        <rFont val="Arial"/>
        <color rgb="FF000000"/>
        <sz val="10.0"/>
      </rPr>
      <t xml:space="preserve">1000  (Optional)
</t>
    </r>
    <r>
      <rPr>
        <rFont val="Arial"/>
        <color rgb="FF000000"/>
        <sz val="10.0"/>
      </rPr>
      <t>Record Capacity:</t>
    </r>
    <r>
      <rPr>
        <rFont val="Arial"/>
        <color rgb="FF000000"/>
        <sz val="10.0"/>
      </rPr>
      <t xml:space="preserve"> 50,000
</t>
    </r>
    <r>
      <rPr>
        <rFont val="Arial"/>
        <color rgb="FF000000"/>
        <sz val="10.0"/>
      </rPr>
      <t>Communication:</t>
    </r>
    <r>
      <rPr>
        <rFont val="Arial"/>
        <color rgb="FF000000"/>
        <sz val="10.0"/>
      </rPr>
      <t xml:space="preserve"> TCP/IP, USB-host
</t>
    </r>
    <r>
      <rPr>
        <rFont val="Arial"/>
        <color rgb="FF000000"/>
        <sz val="10.0"/>
      </rPr>
      <t>Standard Functions:</t>
    </r>
    <r>
      <rPr>
        <rFont val="Arial"/>
        <color rgb="FF000000"/>
        <sz val="10.0"/>
      </rPr>
      <t xml:space="preserve"> Automatic Status Switch, Self-Service Query, DST, T9 Input,  9 Digit User ID, Scheduled Bell, Photo ID, Lock, sensor, Exit button.
</t>
    </r>
    <r>
      <rPr>
        <rFont val="Arial"/>
        <color rgb="FF000000"/>
        <sz val="10.0"/>
      </rPr>
      <t>Optional:</t>
    </r>
    <r>
      <rPr>
        <rFont val="Arial"/>
        <color rgb="FF000000"/>
        <sz val="10.0"/>
      </rPr>
      <t xml:space="preserve"> ID/Mifare Cards</t>
    </r>
  </si>
  <si>
    <t>MB20</t>
  </si>
  <si>
    <r>
      <rPr>
        <rFont val="Arial"/>
        <color rgb="FF000000"/>
        <sz val="10.0"/>
      </rPr>
      <t>Face Capacity:</t>
    </r>
    <r>
      <rPr>
        <rFont val="Arial"/>
        <color rgb="FF000000"/>
        <sz val="10.0"/>
      </rPr>
      <t xml:space="preserve"> 200
</t>
    </r>
    <r>
      <rPr>
        <rFont val="Arial"/>
        <color rgb="FF000000"/>
        <sz val="10.0"/>
      </rPr>
      <t>Fingerprint Capacity:</t>
    </r>
    <r>
      <rPr>
        <rFont val="Arial"/>
        <color rgb="FF000000"/>
        <sz val="10.0"/>
      </rPr>
      <t xml:space="preserve"> 500
</t>
    </r>
    <r>
      <rPr>
        <rFont val="Arial"/>
        <color rgb="FF000000"/>
        <sz val="10.0"/>
      </rPr>
      <t>ID Card Capacity:</t>
    </r>
    <r>
      <rPr>
        <rFont val="Arial"/>
        <color rgb="FF000000"/>
        <sz val="10.0"/>
      </rPr>
      <t xml:space="preserve"> 1000  (Optional)
</t>
    </r>
    <r>
      <rPr>
        <rFont val="Arial"/>
        <color rgb="FF000000"/>
        <sz val="10.0"/>
      </rPr>
      <t>Record Capacity:</t>
    </r>
    <r>
      <rPr>
        <rFont val="Arial"/>
        <color rgb="FF000000"/>
        <sz val="10.0"/>
      </rPr>
      <t xml:space="preserve"> 50,000
</t>
    </r>
    <r>
      <rPr>
        <rFont val="Arial"/>
        <color rgb="FF000000"/>
        <sz val="10.0"/>
      </rPr>
      <t>Communication:</t>
    </r>
    <r>
      <rPr>
        <rFont val="Arial"/>
        <color rgb="FF000000"/>
        <sz val="10.0"/>
      </rPr>
      <t xml:space="preserve"> TCP/IP, USB-host
</t>
    </r>
    <r>
      <rPr>
        <rFont val="Arial"/>
        <color rgb="FF000000"/>
        <sz val="10.0"/>
      </rPr>
      <t>Standard Functions:</t>
    </r>
    <r>
      <rPr>
        <rFont val="Arial"/>
        <color rgb="FF000000"/>
        <sz val="10.0"/>
      </rPr>
      <t xml:space="preserve"> Automatic Status Switch,  Self-Service Query,  DST,  T9 Input,  9 Digit User ID,  Scheduled Bell,  Photo ID,  Lock,  sensor,  Exit button.
</t>
    </r>
    <r>
      <rPr>
        <rFont val="Arial"/>
        <color rgb="FF000000"/>
        <sz val="10.0"/>
      </rPr>
      <t>Optional:</t>
    </r>
    <r>
      <rPr>
        <rFont val="Arial"/>
        <color rgb="FF000000"/>
        <sz val="10.0"/>
      </rPr>
      <t xml:space="preserve"> ID/Mifare Cards</t>
    </r>
  </si>
  <si>
    <t>Face T&amp;A and A&amp;C Device</t>
  </si>
  <si>
    <t>3" Color Display</t>
  </si>
  <si>
    <t>VF380</t>
  </si>
  <si>
    <t>Face Capacity: 3000(1:N)
ID Card Capacity: 50,000/100,000(optional)
Record Capacity: 1,000, 000
Communication: TCP/IP, USB-host
Standard Functions: ID Card, Automatic
Status switch, T9 input, Photo ID, Work
Code, DST, Self Service Query, Short
Message, Schedule-bell
Access Control Interface for Third Party
Electric Lock, Door Sensor and Exit Button
Optional:ADMS</t>
  </si>
  <si>
    <t>VF680</t>
  </si>
  <si>
    <t>Face Capacity: 3000(1:N)
ID Card Capacity: 50,000/100,000(optional)
Record Capacity: 1,000, 000
Communication: TCP/IP, USB-host 
Standard Functions: ID Card,  Automatic Status switch,  T9 input,  Photo ID,  Work Code,  DST,  Self Service Query,  Short Message,  Schedule-bell
Access Control Ineterface forThird Party Electric Lock,  Door Sensor and Eixt Button
Optional:ADMS,  MF Card,  Wi-Fi</t>
  </si>
  <si>
    <t>VF780</t>
  </si>
  <si>
    <t>KF160</t>
  </si>
  <si>
    <r>
      <rPr>
        <rFont val="Arial"/>
        <color rgb="FF000000"/>
        <sz val="10.0"/>
      </rPr>
      <t xml:space="preserve">Face Capacity: </t>
    </r>
    <r>
      <rPr>
        <rFont val="Arial"/>
        <color rgb="FFFF0000"/>
        <sz val="10.0"/>
      </rPr>
      <t>1500</t>
    </r>
    <r>
      <rPr>
        <rFont val="Arial"/>
        <color rgb="FF000000"/>
        <sz val="10.0"/>
      </rPr>
      <t xml:space="preserve">
</t>
    </r>
    <r>
      <rPr>
        <rFont val="Arial"/>
        <color rgb="FF000000"/>
        <sz val="10.0"/>
      </rPr>
      <t>ID Card Capacity:</t>
    </r>
    <r>
      <rPr>
        <rFont val="Arial"/>
        <color rgb="FF000000"/>
        <sz val="10.0"/>
      </rPr>
      <t xml:space="preserve"> </t>
    </r>
    <r>
      <rPr>
        <rFont val="Arial"/>
        <color rgb="FFFF0000"/>
        <sz val="10.0"/>
      </rPr>
      <t>2000</t>
    </r>
    <r>
      <rPr>
        <rFont val="Arial"/>
        <color rgb="FF000000"/>
        <sz val="10.0"/>
      </rPr>
      <t xml:space="preserve">  (Optional)
</t>
    </r>
    <r>
      <rPr>
        <rFont val="Arial"/>
        <color rgb="FF000000"/>
        <sz val="10.0"/>
      </rPr>
      <t xml:space="preserve">Record Capacity: </t>
    </r>
    <r>
      <rPr>
        <rFont val="Arial"/>
        <color rgb="FF000000"/>
        <sz val="10.0"/>
      </rPr>
      <t xml:space="preserve">100, 000
</t>
    </r>
    <r>
      <rPr>
        <rFont val="Arial"/>
        <color rgb="FF000000"/>
        <sz val="10.0"/>
      </rPr>
      <t xml:space="preserve">Communication: </t>
    </r>
    <r>
      <rPr>
        <rFont val="Arial"/>
        <color rgb="FF000000"/>
        <sz val="10.0"/>
      </rPr>
      <t xml:space="preserve">TCP/IP,  USB-host
</t>
    </r>
    <r>
      <rPr>
        <rFont val="Arial"/>
        <color rgb="FF000000"/>
        <sz val="10.0"/>
      </rPr>
      <t>Standard Functions:</t>
    </r>
    <r>
      <rPr>
        <rFont val="Arial"/>
        <color rgb="FF000000"/>
        <sz val="10.0"/>
      </rPr>
      <t xml:space="preserve"> SMS,  DST,  Scheduled-bell,  Self-sevice Qquery,  Automatic Status Switch,  T9 input,  Photo ID,  Camera,  Multi-verification,  RS232 Printer,  3rd party electric lock,  Exit Button,  Alarm.
</t>
    </r>
    <r>
      <rPr>
        <rFont val="Arial"/>
        <color rgb="FF000000"/>
        <sz val="10.0"/>
      </rPr>
      <t xml:space="preserve">Optional: </t>
    </r>
    <r>
      <rPr>
        <rFont val="Arial"/>
        <color rgb="FF000000"/>
        <sz val="10.0"/>
      </rPr>
      <t>ID/Mifare Cards,  Work Code,  ADMS
(</t>
    </r>
    <r>
      <rPr>
        <rFont val="Arial"/>
        <color rgb="FF000000"/>
        <sz val="10.0"/>
      </rPr>
      <t>Optional Wi-Fi:</t>
    </r>
    <r>
      <rPr>
        <rFont val="Arial"/>
        <color rgb="FF000000"/>
        <sz val="10.0"/>
      </rPr>
      <t xml:space="preserve"> +15 USD)</t>
    </r>
  </si>
  <si>
    <t>KF460</t>
  </si>
  <si>
    <r>
      <rPr>
        <rFont val="Arial"/>
        <color rgb="FF000000"/>
        <sz val="10.0"/>
      </rPr>
      <t xml:space="preserve">Face Capacity: </t>
    </r>
    <r>
      <rPr>
        <rFont val="Arial"/>
        <color rgb="FFFF0000"/>
        <sz val="10.0"/>
      </rPr>
      <t>1500</t>
    </r>
    <r>
      <rPr>
        <rFont val="Arial"/>
        <color rgb="FF000000"/>
        <sz val="10.0"/>
      </rPr>
      <t xml:space="preserve">
</t>
    </r>
    <r>
      <rPr>
        <rFont val="Arial"/>
        <color rgb="FF000000"/>
        <sz val="10.0"/>
      </rPr>
      <t xml:space="preserve">Card Capacity(Optional): </t>
    </r>
    <r>
      <rPr>
        <rFont val="Arial"/>
        <color rgb="FFFF0000"/>
        <sz val="10.0"/>
      </rPr>
      <t xml:space="preserve">2000 </t>
    </r>
    <r>
      <rPr>
        <rFont val="Arial"/>
        <color rgb="FF000000"/>
        <sz val="10.0"/>
      </rPr>
      <t xml:space="preserve"> (Optional)
</t>
    </r>
    <r>
      <rPr>
        <rFont val="Arial"/>
        <color rgb="FF000000"/>
        <sz val="10.0"/>
      </rPr>
      <t xml:space="preserve">Record Capacity: </t>
    </r>
    <r>
      <rPr>
        <rFont val="Arial"/>
        <color rgb="FF000000"/>
        <sz val="10.0"/>
      </rPr>
      <t xml:space="preserve">100,000
</t>
    </r>
    <r>
      <rPr>
        <rFont val="Arial"/>
        <color rgb="FF000000"/>
        <sz val="10.0"/>
      </rPr>
      <t>Communication:</t>
    </r>
    <r>
      <rPr>
        <rFont val="Arial"/>
        <color rgb="FF000000"/>
        <sz val="10.0"/>
      </rPr>
      <t xml:space="preserve"> TCP/IP,  USB-host
</t>
    </r>
    <r>
      <rPr>
        <rFont val="Arial"/>
        <color rgb="FF000000"/>
        <sz val="10.0"/>
      </rPr>
      <t xml:space="preserve">Standard Functions: </t>
    </r>
    <r>
      <rPr>
        <rFont val="Arial"/>
        <color rgb="FF000000"/>
        <sz val="10.0"/>
      </rPr>
      <t xml:space="preserve">SMS,  DST,  Scheduled-bell,  Self-sevice Qquery,  Automatic Status Switch,  T9 input,  Photo ID,  Camera,  Multi-verification,  RS232 Printer,  3rd party electric lock,  Exit Button,  Alarm.
</t>
    </r>
    <r>
      <rPr>
        <rFont val="Arial"/>
        <color rgb="FF000000"/>
        <sz val="10.0"/>
      </rPr>
      <t>Optional:</t>
    </r>
    <r>
      <rPr>
        <rFont val="Arial"/>
        <color rgb="FF000000"/>
        <sz val="10.0"/>
      </rPr>
      <t xml:space="preserve"> ID/Mifare Cards,  Work Code,  ADMS
(</t>
    </r>
    <r>
      <rPr>
        <rFont val="Arial"/>
        <color rgb="FF000000"/>
        <sz val="10.0"/>
      </rPr>
      <t>Optional Wi-Fi:</t>
    </r>
    <r>
      <rPr>
        <rFont val="Arial"/>
        <color rgb="FF000000"/>
        <sz val="10.0"/>
      </rPr>
      <t xml:space="preserve"> +15 USD)</t>
    </r>
  </si>
  <si>
    <t>2.4-inch TFT Display</t>
  </si>
  <si>
    <t>LFace10</t>
  </si>
  <si>
    <r>
      <rPr>
        <rFont val="Arial"/>
        <color rgb="FF000000"/>
        <sz val="10.0"/>
      </rPr>
      <t xml:space="preserve">OS: Linux
Memory: 256MB RAM/256MB Flash
</t>
    </r>
    <r>
      <rPr>
        <rFont val="Arial"/>
        <color rgb="FFFF0000"/>
        <sz val="10.0"/>
      </rPr>
      <t>Communication:USB Host</t>
    </r>
    <r>
      <rPr>
        <rFont val="Arial"/>
        <color rgb="FF000000"/>
        <sz val="10.0"/>
      </rPr>
      <t xml:space="preserve">
Face Capacity: 100
Transaction Capacity: 50,000
AC Adapter: 5V, 2A
Operating Temperature: 0°C- 45°C
Operating Humidity: 20%-80%
Standard Functions</t>
    </r>
    <r>
      <rPr>
        <rFont val="Arial"/>
        <color rgb="FF000000"/>
        <sz val="10.0"/>
      </rPr>
      <t>：</t>
    </r>
    <r>
      <rPr>
        <rFont val="Arial"/>
        <color rgb="FF000000"/>
        <sz val="10.0"/>
      </rPr>
      <t>DST, Self-service Query, Automatic Status Switch, T9 Input, Camera, 9-digit User ID, Bell Scheduling,</t>
    </r>
    <r>
      <rPr>
        <rFont val="Arial"/>
        <color rgb="FFFF0000"/>
        <sz val="10.0"/>
      </rPr>
      <t xml:space="preserve"> SSR</t>
    </r>
    <r>
      <rPr>
        <rFont val="Arial"/>
        <color rgb="FF000000"/>
        <sz val="10.0"/>
      </rPr>
      <t xml:space="preserve">
Dimensions(W*H*D)</t>
    </r>
    <r>
      <rPr>
        <rFont val="Arial"/>
        <color rgb="FF000000"/>
        <sz val="10.0"/>
      </rPr>
      <t>：</t>
    </r>
    <r>
      <rPr>
        <rFont val="Arial"/>
        <color rgb="FF000000"/>
        <sz val="10.0"/>
      </rPr>
      <t>98 *160 * 27.72 (mm)
Installation:
Wall mounted</t>
    </r>
  </si>
  <si>
    <t>4.3-inch TFT Display</t>
  </si>
  <si>
    <t>EFACE10/I
D/WIFI</t>
  </si>
  <si>
    <t>OS: Linux
Memory: 256MB RAM/512MB Flash
Communication: TCP/IP, Wi-Fi (Optional),
USB Host
Face Capacity: 500
User/Card Capacity: 1,000
Transaction Capacity: 150,000
AC Adapter: 12V 1.5A
Operating Temperature: 0°C- 45°C
Operating Humidity: 20%-80%
Standard Functions: ADMS, Work Code,
DST, Self-service Query, Automatic Status
Switch, T9 Input, Camera, 9-digit User ID,
Multiple Verification Methods, Bell Scheduling
Access Control Interface: 3rd Party Electric
Lock, Door Sensor, Exit Button
Compatibility: ZKBioAccess IVS (T&amp;A)</t>
  </si>
  <si>
    <t>2.8-inch TFT Display</t>
  </si>
  <si>
    <t>MB10-VL</t>
  </si>
  <si>
    <t>OS: Linux
Memory: 256MB RAM/256MB Flash
Communication: TCP/IP, USB Host, Wi-Fi
(optional)
Face Capacity: 100
Fingerprint Capacity：500
Transaction Capacity: 50,000
AC Adapter: 5V, 2A
Operating Temperature: 0°C- 45°C
Operating Humidity: 20%-80%
Standard Functions：ADMS, DST,
Self-service Query, Automatic Status Switch,
T9 Input, Camera, 9-digit User ID, Multiple
Verification Methods, Bell Scheduling, SSR
Access Control Interface: 3rd Party Electric
Lock, Door Sensor, Exit Button
Compatibility: ZKBioAccess IVS (T&amp;A)</t>
  </si>
  <si>
    <t>MB20-VL</t>
  </si>
  <si>
    <r>
      <rPr>
        <rFont val="Arial"/>
        <color rgb="FF000000"/>
        <sz val="10.0"/>
      </rPr>
      <t xml:space="preserve">OS: Linux
Memory: 256MB RAM/256MB Flash
</t>
    </r>
    <r>
      <rPr>
        <rFont val="Arial"/>
        <color rgb="FFFF0000"/>
        <sz val="10.0"/>
      </rPr>
      <t>Communication: TCP/IP, USB Host, Wi-Fi (optional)</t>
    </r>
    <r>
      <rPr>
        <rFont val="Arial"/>
        <color rgb="FF000000"/>
        <sz val="10.0"/>
      </rPr>
      <t xml:space="preserve">
Face Capacity: 100
</t>
    </r>
    <r>
      <rPr>
        <rFont val="Arial"/>
        <color rgb="FFFF0000"/>
        <sz val="10.0"/>
      </rPr>
      <t>Fingerprint Capacity</t>
    </r>
    <r>
      <rPr>
        <rFont val="Arial"/>
        <color rgb="FFFF0000"/>
        <sz val="10.0"/>
      </rPr>
      <t>：</t>
    </r>
    <r>
      <rPr>
        <rFont val="Arial"/>
        <color rgb="FFFF0000"/>
        <sz val="10.0"/>
      </rPr>
      <t>500</t>
    </r>
    <r>
      <rPr>
        <rFont val="Arial"/>
        <color rgb="FF000000"/>
        <sz val="10.0"/>
      </rPr>
      <t xml:space="preserve">
Transaction Capacity: 50,000
AC Adapter: 5V, 2A
Operating Temperature: 0°C- 45°C
Operating Humidity: 20%-80%
Standard Functions</t>
    </r>
    <r>
      <rPr>
        <rFont val="Arial"/>
        <color rgb="FF000000"/>
        <sz val="10.0"/>
      </rPr>
      <t>：</t>
    </r>
    <r>
      <rPr>
        <rFont val="Arial"/>
        <color rgb="FFFF0000"/>
        <sz val="10.0"/>
      </rPr>
      <t>ADMS</t>
    </r>
    <r>
      <rPr>
        <rFont val="Arial"/>
        <color rgb="FF000000"/>
        <sz val="10.0"/>
      </rPr>
      <t xml:space="preserve">, DST, Self-service Query, Automatic Status Switch, T9 Input, Camera, 9-digit User ID, Multiple Verification Methods, Bell Scheduling, </t>
    </r>
    <r>
      <rPr>
        <rFont val="Arial"/>
        <color rgb="FFFF0000"/>
        <sz val="10.0"/>
      </rPr>
      <t>SSR</t>
    </r>
    <r>
      <rPr>
        <rFont val="Arial"/>
        <color rgb="FF000000"/>
        <sz val="10.0"/>
      </rPr>
      <t xml:space="preserve">
</t>
    </r>
    <r>
      <rPr>
        <rFont val="Arial"/>
        <color rgb="FFFF0000"/>
        <sz val="10.0"/>
      </rPr>
      <t>Access Control Interface: 3rd Party Electric Lock, Door Sensor, Exit Button
Optional Functions: Wi-Fi (+5USD), ID Card (+5USD), MF Card (+12USD)</t>
    </r>
    <r>
      <rPr>
        <rFont val="Arial"/>
        <color rgb="FF000000"/>
        <sz val="10.0"/>
      </rPr>
      <t xml:space="preserve">
</t>
    </r>
    <r>
      <rPr>
        <rFont val="Arial"/>
        <color rgb="FFFF0000"/>
        <sz val="10.0"/>
      </rPr>
      <t>Compatibility: ZKBioAccess IVS (T&amp;A)</t>
    </r>
    <r>
      <rPr>
        <rFont val="Arial"/>
        <color rgb="FF000000"/>
        <sz val="10.0"/>
      </rPr>
      <t xml:space="preserve">
Dimensions(W*H*D)</t>
    </r>
    <r>
      <rPr>
        <rFont val="Arial"/>
        <color rgb="FF000000"/>
        <sz val="10.0"/>
      </rPr>
      <t>：</t>
    </r>
    <r>
      <rPr>
        <rFont val="Arial"/>
        <color rgb="FF000000"/>
        <sz val="10.0"/>
      </rPr>
      <t>161.93*152.93*31.50 (mm)
Installation</t>
    </r>
    <r>
      <rPr>
        <rFont val="Arial"/>
        <color rgb="FF000000"/>
        <sz val="10.0"/>
      </rPr>
      <t>：</t>
    </r>
    <r>
      <rPr>
        <rFont val="Arial"/>
        <color rgb="FF000000"/>
        <sz val="10.0"/>
      </rPr>
      <t xml:space="preserve">
Wall mounted </t>
    </r>
  </si>
  <si>
    <t>2.8" Touch Display</t>
  </si>
  <si>
    <t>Horus TL1</t>
  </si>
  <si>
    <t>OS: Linux
Memory: 512MB RAM / 512MB ROM
Communication: Wi-Fi
Face Capacity: 800
Transaction Capacity: 150,000
AC Adapter: 5V, 2A
Operating Temperature: 0°C- 45°C
Operating Humidity: 10%-90%
Standard Functions：ADMS, T9 Input, DST, Camera, 9 digit user ID, Work Code, Self-service Query, Schedule Bell, Automatic Status Switch
Installation：
Wall mounted 
Desktop mounted with desktop bracket 
Software: BioTime8.0</t>
  </si>
  <si>
    <t>5" Touch Display</t>
  </si>
  <si>
    <t>Horus E1</t>
  </si>
  <si>
    <r>
      <rPr>
        <rFont val="Arial"/>
        <color theme="1"/>
        <sz val="10.0"/>
      </rPr>
      <t>OS: Android 8.1
Memory: 2G RAM / 16G ROM
Communication: Wi-Fi, blue tooth, 4G, USB, GPS/A-GPS
Face Capacity: 6,000(1:N)(10,000 Optional+5USD)
Transaction Capacity: 200,000
AC Adapter: 12V, 2A
Operating Temperature: -10°C- 50°C
Operating Humidity: 20%-80%RH
Standard Functions</t>
    </r>
    <r>
      <rPr>
        <rFont val="Arial"/>
        <color theme="1"/>
        <sz val="10.0"/>
      </rPr>
      <t>：</t>
    </r>
    <r>
      <rPr>
        <rFont val="Arial"/>
        <color theme="1"/>
        <sz val="10.0"/>
      </rPr>
      <t>Time attendance firmware,USB update, bell, time status, data management
SDK: TA PUSH SDK
Installation</t>
    </r>
    <r>
      <rPr>
        <rFont val="Arial"/>
        <color theme="1"/>
        <sz val="10.0"/>
      </rPr>
      <t>：</t>
    </r>
    <r>
      <rPr>
        <rFont val="Arial"/>
        <color theme="1"/>
        <sz val="10.0"/>
      </rPr>
      <t xml:space="preserve">
Wall mounted 
(optional desktop bracket +1.5USD)
(Optional Singlegang or 86 box adaptor board +1.5USD)
Software: ZKBioSecurity(T&amp;A moduel)</t>
    </r>
    <r>
      <rPr>
        <rFont val="Arial"/>
        <color theme="1"/>
        <sz val="10.0"/>
      </rPr>
      <t>，</t>
    </r>
    <r>
      <rPr>
        <rFont val="Arial"/>
        <color theme="1"/>
        <sz val="10.0"/>
      </rPr>
      <t>BioTime8.0</t>
    </r>
  </si>
  <si>
    <r>
      <rPr>
        <rFont val="Arial"/>
        <color rgb="FFFF0000"/>
        <sz val="10.0"/>
      </rPr>
      <t>With Backup battery</t>
    </r>
    <r>
      <rPr>
        <rFont val="Arial"/>
        <color theme="1"/>
        <sz val="10.0"/>
      </rPr>
      <t>(Optional +30 USD) It can stand by</t>
    </r>
    <r>
      <rPr>
        <rFont val="Arial"/>
        <color rgb="FFFF0000"/>
        <sz val="10.0"/>
      </rPr>
      <t xml:space="preserve"> </t>
    </r>
    <r>
      <rPr>
        <rFont val="Arial"/>
        <color rgb="FFFF0000"/>
        <sz val="10.0"/>
      </rPr>
      <t xml:space="preserve">for more than 8 hours with </t>
    </r>
    <r>
      <rPr>
        <rFont val="Arial"/>
        <color theme="1"/>
        <sz val="10.0"/>
      </rPr>
      <t xml:space="preserve">
a full battery (turn off Wi-Fi, 3G, 4G, Bluetooth), </t>
    </r>
    <r>
      <rPr>
        <rFont val="Arial"/>
        <color rgb="FFFF0000"/>
        <sz val="10.0"/>
      </rPr>
      <t>full charge in 5-6 hours</t>
    </r>
    <r>
      <rPr>
        <rFont val="Arial"/>
        <color theme="1"/>
        <sz val="10.0"/>
      </rPr>
      <t xml:space="preserve">
OS: Android 8.1
Memory: 2G RAM / 16G ROM
Communication: Wi-Fi, blue tooth, 4G, USB, GPS/A-GPS
Face Capacity: 6,000(1:N)(10,000 Optional+5USD)
Transaction Capacity: 200,000
AC Adapter: 12V, 2A
Operating Temperature: -10°C- 50°C
Operating Humidity: 20%-80%RH
Standard Functions</t>
    </r>
    <r>
      <rPr>
        <rFont val="Arial"/>
        <color theme="1"/>
        <sz val="10.0"/>
      </rPr>
      <t>：</t>
    </r>
    <r>
      <rPr>
        <rFont val="Arial"/>
        <color theme="1"/>
        <sz val="10.0"/>
      </rPr>
      <t>Time attendance firmware,USB update, bell, time status, data management
SDK: TA PUSH SDK
Installation</t>
    </r>
    <r>
      <rPr>
        <rFont val="Arial"/>
        <color theme="1"/>
        <sz val="10.0"/>
      </rPr>
      <t>：</t>
    </r>
    <r>
      <rPr>
        <rFont val="Arial"/>
        <color theme="1"/>
        <sz val="10.0"/>
      </rPr>
      <t xml:space="preserve">
Wall mounted 
(optional desktop bracket +1.5USD)
(Optional Singlegang or 86 box adaptor board +1.5USD)
Software: ZKBioSecurity(T&amp;A moduel)</t>
    </r>
    <r>
      <rPr>
        <rFont val="Arial"/>
        <color theme="1"/>
        <sz val="10.0"/>
      </rPr>
      <t>，</t>
    </r>
    <r>
      <rPr>
        <rFont val="Arial"/>
        <color theme="1"/>
        <sz val="10.0"/>
      </rPr>
      <t>BioTime8.0</t>
    </r>
  </si>
  <si>
    <t>Horus E1-RFID</t>
  </si>
  <si>
    <r>
      <rPr>
        <rFont val="Arial"/>
        <color rgb="FF000000"/>
        <sz val="10.0"/>
      </rPr>
      <t>Base On Horus E1 Adding following function:
RFID</t>
    </r>
    <r>
      <rPr>
        <rFont val="Arial"/>
        <color rgb="FF000000"/>
        <sz val="10.0"/>
      </rPr>
      <t>：</t>
    </r>
    <r>
      <rPr>
        <rFont val="Arial"/>
        <color rgb="FF000000"/>
        <sz val="10.0"/>
      </rPr>
      <t xml:space="preserve"> 10,000 ID standard (MF Optional + 7USD)
Communication</t>
    </r>
    <r>
      <rPr>
        <rFont val="Arial"/>
        <color rgb="FF000000"/>
        <sz val="10.0"/>
      </rPr>
      <t>：</t>
    </r>
    <r>
      <rPr>
        <rFont val="Arial"/>
        <color rgb="FF000000"/>
        <sz val="10.0"/>
      </rPr>
      <t xml:space="preserve">TCP/IP, </t>
    </r>
    <r>
      <rPr>
        <rFont val="Arial"/>
        <color rgb="FFFF0000"/>
        <sz val="10.0"/>
      </rPr>
      <t>RS485</t>
    </r>
    <r>
      <rPr>
        <rFont val="Arial"/>
        <color rgb="FF000000"/>
        <sz val="10.0"/>
      </rPr>
      <t xml:space="preserve">
</t>
    </r>
    <r>
      <rPr>
        <rFont val="Arial"/>
        <color rgb="FFFF0000"/>
        <sz val="10.0"/>
      </rPr>
      <t>Optional</t>
    </r>
    <r>
      <rPr>
        <rFont val="Arial"/>
        <color rgb="FFFF0000"/>
        <sz val="10.0"/>
      </rPr>
      <t>：</t>
    </r>
    <r>
      <rPr>
        <rFont val="Arial"/>
        <color rgb="FFFF0000"/>
        <sz val="10.0"/>
      </rPr>
      <t>Access control module DM10</t>
    </r>
    <r>
      <rPr>
        <rFont val="Arial"/>
        <color rgb="FF000000"/>
        <sz val="10.0"/>
      </rPr>
      <t>（</t>
    </r>
    <r>
      <rPr>
        <rFont val="Arial"/>
        <color rgb="FFFF0000"/>
        <sz val="10.0"/>
      </rPr>
      <t>+13USD</t>
    </r>
    <r>
      <rPr>
        <rFont val="Arial"/>
        <color rgb="FF000000"/>
        <sz val="10.0"/>
      </rPr>
      <t>）</t>
    </r>
  </si>
  <si>
    <t>Horus E1-FP</t>
  </si>
  <si>
    <r>
      <rPr>
        <rFont val="Arial"/>
        <color rgb="FF000000"/>
        <sz val="10.0"/>
      </rPr>
      <t>Base On Horus E1 Adding following function:
FP: 6,000/10,000 Optional
RFID</t>
    </r>
    <r>
      <rPr>
        <rFont val="Arial"/>
        <color rgb="FF000000"/>
        <sz val="10.0"/>
      </rPr>
      <t>：</t>
    </r>
    <r>
      <rPr>
        <rFont val="Arial"/>
        <color rgb="FF000000"/>
        <sz val="10.0"/>
      </rPr>
      <t xml:space="preserve"> 10,000 ID standard (MF Optional+7USD)
Communication</t>
    </r>
    <r>
      <rPr>
        <rFont val="Arial"/>
        <color rgb="FF000000"/>
        <sz val="10.0"/>
      </rPr>
      <t>：</t>
    </r>
    <r>
      <rPr>
        <rFont val="Arial"/>
        <color rgb="FF000000"/>
        <sz val="10.0"/>
      </rPr>
      <t>TCP/IP</t>
    </r>
    <r>
      <rPr>
        <rFont val="Arial"/>
        <color rgb="FF000000"/>
        <sz val="10.0"/>
      </rPr>
      <t>，</t>
    </r>
    <r>
      <rPr>
        <rFont val="Arial"/>
        <color rgb="FFFF0000"/>
        <sz val="10.0"/>
      </rPr>
      <t>RS485
Optional</t>
    </r>
    <r>
      <rPr>
        <rFont val="Arial"/>
        <color rgb="FFFF0000"/>
        <sz val="10.0"/>
      </rPr>
      <t>：</t>
    </r>
    <r>
      <rPr>
        <rFont val="Arial"/>
        <color rgb="FFFF0000"/>
        <sz val="10.0"/>
      </rPr>
      <t>Access control module DM10</t>
    </r>
    <r>
      <rPr>
        <rFont val="Arial"/>
        <color rgb="FF000000"/>
        <sz val="10.0"/>
      </rPr>
      <t xml:space="preserve"> </t>
    </r>
    <r>
      <rPr>
        <rFont val="Arial"/>
        <color rgb="FF000000"/>
        <sz val="10.0"/>
      </rPr>
      <t>（</t>
    </r>
    <r>
      <rPr>
        <rFont val="Arial"/>
        <color rgb="FFFF0000"/>
        <sz val="10.0"/>
      </rPr>
      <t>+13USD</t>
    </r>
    <r>
      <rPr>
        <rFont val="Arial"/>
        <color rgb="FF000000"/>
        <sz val="10.0"/>
      </rPr>
      <t>）</t>
    </r>
  </si>
  <si>
    <t>Finger T&amp;A Device</t>
  </si>
  <si>
    <t>7" Touch Display</t>
  </si>
  <si>
    <t>Zpad Plus</t>
  </si>
  <si>
    <r>
      <rPr>
        <rFont val="Arial"/>
        <color rgb="FF000000"/>
        <sz val="10.0"/>
      </rPr>
      <t xml:space="preserve">OS: Android 6.0.1
</t>
    </r>
    <r>
      <rPr>
        <rFont val="Arial"/>
        <color rgb="FFFF0000"/>
        <sz val="10.0"/>
      </rPr>
      <t>Fingerprint Capacity: 3,000
ID Card Capacity: 10,000 (Mifare &amp; Desfire optional)
Record Capacity: 1,000,000</t>
    </r>
    <r>
      <rPr>
        <rFont val="Arial"/>
        <color rgb="FF000000"/>
        <sz val="10.0"/>
      </rPr>
      <t xml:space="preserve">
Communication: Ethernet, WiFi, Bluetooth, USB-host
ROM: 8GB, RAM: 1GB
Standard Functions: 7-inch 1024x600, SilkID, Back up Battery,Multi-point Data Collection, Work code, Short Message, DST, webserver</t>
    </r>
    <r>
      <rPr>
        <rFont val="Arial"/>
        <color rgb="FF000000"/>
        <sz val="10.0"/>
      </rPr>
      <t>，</t>
    </r>
    <r>
      <rPr>
        <rFont val="Arial"/>
        <color rgb="FF000000"/>
        <sz val="10.0"/>
      </rPr>
      <t>Photo ID, PUSH communication
Software</t>
    </r>
    <r>
      <rPr>
        <rFont val="Arial"/>
        <color rgb="FF000000"/>
        <sz val="10.0"/>
      </rPr>
      <t>：</t>
    </r>
    <r>
      <rPr>
        <rFont val="Arial"/>
        <color rgb="FF000000"/>
        <sz val="10.0"/>
      </rPr>
      <t xml:space="preserve">
  1. BioTime Web</t>
    </r>
    <r>
      <rPr>
        <rFont val="Arial"/>
        <color rgb="FF000000"/>
        <sz val="10.0"/>
      </rPr>
      <t>（</t>
    </r>
    <r>
      <rPr>
        <rFont val="Arial"/>
        <color rgb="FF000000"/>
        <sz val="10.0"/>
      </rPr>
      <t>Max 50users</t>
    </r>
    <r>
      <rPr>
        <rFont val="Arial"/>
        <color rgb="FF000000"/>
        <sz val="10.0"/>
      </rPr>
      <t>，</t>
    </r>
    <r>
      <rPr>
        <rFont val="Arial"/>
        <color rgb="FF000000"/>
        <sz val="10.0"/>
      </rPr>
      <t xml:space="preserve"> Built in webserver</t>
    </r>
    <r>
      <rPr>
        <rFont val="Arial"/>
        <color rgb="FF000000"/>
        <sz val="10.0"/>
      </rPr>
      <t>），</t>
    </r>
    <r>
      <rPr>
        <rFont val="Arial"/>
        <color rgb="FF000000"/>
        <sz val="10.0"/>
      </rPr>
      <t xml:space="preserve"> 
  2. GoTimeCloud(EU cloud solution)
  3. BioTime8.0
Optional:
  ID/MF/Desfire (B133, 3in1 card moduel)</t>
    </r>
  </si>
  <si>
    <t>Zpad Plus-RFID</t>
  </si>
  <si>
    <r>
      <rPr>
        <rFont val="Arial"/>
        <color rgb="FF000000"/>
        <sz val="10.0"/>
      </rPr>
      <t>Based on Zpad Plus</t>
    </r>
    <r>
      <rPr>
        <rFont val="Arial"/>
        <color rgb="FF000000"/>
        <sz val="10.0"/>
      </rPr>
      <t>，</t>
    </r>
    <r>
      <rPr>
        <rFont val="Arial"/>
        <color rgb="FF000000"/>
        <sz val="10.0"/>
      </rPr>
      <t>remove FP
ID standard
ID/MF/Desfire (B133, 3in1 card module) optional</t>
    </r>
  </si>
  <si>
    <r>
      <rPr>
        <rFont val="Arial"/>
        <color theme="1"/>
        <sz val="10.0"/>
      </rPr>
      <t xml:space="preserve">Zpad Plus
</t>
    </r>
    <r>
      <rPr>
        <rFont val="Arial"/>
        <color theme="1"/>
        <sz val="10.0"/>
      </rPr>
      <t>for 3rd part development</t>
    </r>
  </si>
  <si>
    <r>
      <rPr>
        <rFont val="Arial"/>
        <color rgb="FF000000"/>
        <sz val="10.0"/>
      </rPr>
      <t xml:space="preserve">OS: Android 6.0.1
Communication: Ethernet, WiFi, Bluetooth, USB-host
</t>
    </r>
    <r>
      <rPr>
        <rFont val="Arial"/>
        <color rgb="FFFF0000"/>
        <sz val="10.0"/>
      </rPr>
      <t>ROM: 8GB, RAM: 1GB</t>
    </r>
    <r>
      <rPr>
        <rFont val="Arial"/>
        <color rgb="FF000000"/>
        <sz val="10.0"/>
      </rPr>
      <t xml:space="preserve">
Standard Functions: 7-inch 1024x600, SilkID,  Multi-point Data Collection, Core Service, Backup Battery.
With ZKEU SDK System Image</t>
    </r>
  </si>
  <si>
    <t>Standalone Device</t>
  </si>
  <si>
    <t>2.8inch TFT</t>
  </si>
  <si>
    <t>MB560-VL</t>
  </si>
  <si>
    <t>Display: 2.8-inch TFT Screen
Face capacity: 3000
Fingerprint Capacity: 3000
Card Capacity: 10,000 (Optional)
Transactions: 100,000
Communication: TCP/IP, WIFI（Optional）USB-Host,  
Standard functions: ADMS, Automatic Status Switch, T9 input, 9 Digit User ID,  Work Code, DST, Self Service Query, Schedule-bell, Multilpe Vertify Mode
Access Control Interface: 3rd Party Electric Lock, Door Sensor, Exit Button
Optional functions: Wi-Fi (+5USD) ID Card (+5USD), MF Card (+12USD)
Compatibility: BioTime8.0
AC Adapter: 12V / 1.5A</t>
  </si>
  <si>
    <t>Fingerprint T&amp;A Device</t>
  </si>
  <si>
    <t>3.5" Color Display</t>
  </si>
  <si>
    <t>S922</t>
  </si>
  <si>
    <r>
      <rPr>
        <rFont val="Arial"/>
        <color rgb="FFFF0000"/>
        <sz val="10.0"/>
      </rPr>
      <t xml:space="preserve">Fingerprint Capacity: 50, 000
ID Card  Capacity:50, 000 
Record Capacity: 800, 000 </t>
    </r>
    <r>
      <rPr>
        <rFont val="Arial"/>
        <color rgb="FFFF0000"/>
        <sz val="10.0"/>
      </rPr>
      <t xml:space="preserve">
Communication: TCP/IP, USB Host
Standard Functions: Work Code, DST, Short Message, Self Service Query,  9 Digit User ID, T9 Iuput, Automatic Status Switch, Photo ID, ADMS, Backup Battery
</t>
    </r>
    <r>
      <rPr>
        <rFont val="Arial"/>
        <color rgb="FFFF0000"/>
        <sz val="10.0"/>
      </rPr>
      <t>Optional: HID Card</t>
    </r>
    <r>
      <rPr>
        <rFont val="Arial"/>
        <color rgb="FFFF0000"/>
        <sz val="10.0"/>
      </rPr>
      <t>，</t>
    </r>
    <r>
      <rPr>
        <rFont val="Arial"/>
        <color rgb="FFFF0000"/>
        <sz val="10.0"/>
      </rPr>
      <t>MF Card, Wi-Fi, GPS, 3G</t>
    </r>
    <r>
      <rPr>
        <rFont val="Arial"/>
        <color rgb="FFFF0000"/>
        <sz val="10.0"/>
      </rPr>
      <t xml:space="preserve">
* IP65 rated waterproof and dustproof protection    grade
* Shockproof (0.5m above the ground) 
* Rubber coated protection</t>
    </r>
  </si>
  <si>
    <t>iClock260</t>
  </si>
  <si>
    <t>Fingerprint Capacity: 8000
ID Card  Capacity:10, 000 (Optional)       
Record Capacity: 200, 000 
Communication: TCP/IP, RS232/485, USB (host&amp;client) 
Standard Functions: Work Code, DST, Short Message, Self Service Query,  9 Digit User ID, Schedule-bell, T9 Input, Automatic Status Switch, Photo ID
Optional: MF Card, Websever, ADMS, Multilpe Vertify Mode, External Bell and Printer</t>
  </si>
  <si>
    <t>iClock360</t>
  </si>
  <si>
    <t>Fingerprint Capacity: 8000
ID Card  Capacity:10, 000 (Optional)       
Record Capacity: 200, 000 
Communication: TCP/IP, RS232/485, USB (host&amp;client) 
Standard Functions: Work Code, DST, Short Message,  Self Service Query,  9 Digit User ID, Schedule-bell, T9 Input,  Automatic Status Switch, Photo ID
Optional: MF Card, Wi-Fi, Websever, ADMS, Multilpe Vertify Mode, External Bell and Printer</t>
  </si>
  <si>
    <t>iClock580</t>
  </si>
  <si>
    <t>Fingerprint Capacity:8000
ID Card  Capacity:10, 000 (Optional)       
Record Capacity: 200, 000 
Communication: TCP/IP, RS232/485, USB (host&amp;client),  Wiegand Out&amp;In, 
Standard Functions: Work Code, DST, Short Message, Self Service Query,  9 Digit User ID, T9 Iuput, Schedule-bell, Automatic Status Switch, Photo ID, Anti-passback
Access Control Interface for Third Party Electric Lock,  Door Sensor and Eixt Button, Alarm
Optional: MF/HID, Wi-Fi, Webserve, ADMS, Multilpe Vertify Mode, External Printer</t>
  </si>
  <si>
    <t>iClock660</t>
  </si>
  <si>
    <t>Fingerprint Capacity: 8000
ID Card  Capacity:10, 000 (Optional)       
Record Capacity: 200, 000 
Communication: TCP/IP, RS232/485, USB (host&amp;client) 
Standard Functions: Work Code, DST, Short Message, Self Service Query,  9 Digit User ID, Schedule-bell, T9 Input,  Automatic Status Switch, Photo ID, Camera
Optional: MF Card, Wi-Fi, GPRS, 3G, Websever, ADMS, Multilpe Vertify Mode, External Bell and Printer</t>
  </si>
  <si>
    <t>iClock680</t>
  </si>
  <si>
    <t>Fingerprint Capacity: 8000
ID Card Capacity:10, 000 (Optional)       
Record Capacity: 200, 000 
Communication: TCP/IP, RS232/485, USB Host,  Wiegand Out&amp;In, 
Standard Functions: Work Code, DST, Short Message, Self Service Query,  9 Digit User ID, T9 Iuput, Schedule-bell, Automatic Status Switch, Photo ID, Multilpe Vertify Mode, Anti-passback, Camera
Access Control Interface for Third Party Electric Lock,  Door Sensor and Eixt Button, Alarm
Optional: MF Card, Wi-Fi,  GPRS,  3G,  Webserve,  ADMS,  External Printer</t>
  </si>
  <si>
    <t>iClock700</t>
  </si>
  <si>
    <t>Fingerprint Capacity:8000
ID Card Capacity:10, 000 (Optional)       
Record Capacity: 200, 000 
Communication: TCP/IP, RS232/485, USB (host&amp;client),  Wiegand Out&amp;In, 
Standard Functions: Webserve, Work Code, DST, Short Message, Self Service Query,  9 Digit User ID, T9 Iuput, Schedule-bell, Automatic Status Switch, Photo ID, Anti-passback, Camera, Backup Battery
Access Control Interface for Third Party Electric Lock,  Door Sensor and Eixt Button, Alarm
Optional: MF Card, Wi-Fi, GPRS, 3G, ADMS, Multilpe Vertify Mode, External Printer</t>
  </si>
  <si>
    <t>iClock880</t>
  </si>
  <si>
    <t>Fingerprint Capacity: 8000
ID Card Capacity:10, 000 (Optional)       
Record Capacity: 200, 000 
Communication: TCP/IP, RS232/485, USB Host, Wiegand Out&amp;In, 
Standard Functions: Webserve,  Work Code,  DST,  Short Message,  Self Service Query,  9 Digit User ID, T9 Iuput,  Schedule-bell,  Automatic Status Switch,  Photo ID,  Anti-passback,  Multilpe Vertify Mode,  Camera,  Backup Battery
Access Control Interface for Third Party Electric Lock,  Door Sensor and Eixt Button,  Alarm.
Optional: ID/MF Card,  Wi-Fi,  GPRS,  3G,  ADMS,  External Printer</t>
  </si>
  <si>
    <t>Iclock990</t>
  </si>
  <si>
    <t>Fingerprint Capacity: 8000
ID Card Capacity:10, 000  
Record Capacity: 200, 000 
Communication: TCP/IP, RS232/485, USB (host&amp;client),  Wiegand Out&amp;In, 
Standard Functions: Webserve, Work Code, DST, Short Message, Self Service Query,  9 Digit User ID, T9 Iuput, Schedule-bell, Automatic Status Switch, Photo ID, Anti-passback, Backup Battery
Access Control Interface for Third Party Electric Lock,  Door Sensor and Eixt Button, Door Bell
Optional: MF Card, Wi-Fi, GPRS, ADMS, External Printer, Camera, Multilpe Vertify Mode</t>
  </si>
  <si>
    <t>RFID T&amp;A Device</t>
  </si>
  <si>
    <t>S500</t>
  </si>
  <si>
    <t>ID Card Capacity:10, 000  
Record Capacity: 50, 000 
Communication: TCP/IP, RS232/485, USB (host&amp;client)
Standard Functions: Work Code, DST, Short Message, Self Service Query, 9 Digit User ID, T9 Input, Schedule-bell, Automatic Status Switch, Photo ID
Optional: MFCard, ADMS, Webserve, External Printer and Belll, Multilpe Vertify Mode</t>
  </si>
  <si>
    <t>RFID T&amp;A and A&amp;C Device</t>
  </si>
  <si>
    <t>US900R
(Old Name: S680)</t>
  </si>
  <si>
    <t>ID Card Capacity:10, 000  
Record Capacity: 50, 000 
Communication:TCP/IP, RS232/485, USB (host&amp;client),  Wiegand Out&amp;In
Standard Functions: Work Code, DST, Short Message, Self Service Query, 9 Digit User ID, T9 Input, Schedule-bell, Automatic Status Switch, Photo ID, Anti-passback
Access Control Interface for Third Party Electric Lock,  Door Sensor and Eixt Button, Alarm 
Optional: MFCard, Wi-Fi, GPRS, 3G, ADMS, Webserve, External Printer , Multilpe Vertify Mode</t>
  </si>
  <si>
    <t>S880</t>
  </si>
  <si>
    <t>ID Card Capacity: 50, 000  
Record Capacity: 150, 000 
Communication: TCP/IP, RS232/485, USB Host,  Wiegand Out&amp;In
Standard Functions: Work Code, DST, Short Message, Self Service Query, 9 Digit User ID, T9 Input, Schedule-bell, Automatic Status Switch, Photo ID, Anti-passback, Camera
Access Control Interface for Third Party Electric Lock,  Door Sensor and Eixt Button, Alarm 
Optional: MFCard, GPRS, 3G, ADMS, Webserve, External Printer , Multilpe Vertify Mode</t>
  </si>
  <si>
    <t>S900</t>
  </si>
  <si>
    <t>Fingerprint Capacity: 8000
ID Card Capacity:10, 000 (Optional)       
Record Capacity: 200, 000 
Communication: TCP/IP, RS232/485, Wiegand Out&amp;In, USB Host
Standard Functions: Work Code, DST, Short Message, Self Service Query,  9 Digit User ID, Schedule-bell, Automatic Status Switch, Photo ID
Access Control Interface for Third Party Electric Lock,  Door Sensor and Eixt Button, Alarm
Optional: MF Card, Wi-Fi,  GPRS,  3G,  Webserve,  ADMS,  Multilpe Vertify Mode, Anti-passback, External Printer</t>
  </si>
  <si>
    <t>S920</t>
  </si>
  <si>
    <t>Fingerprint Capacity: 5000 (Mercury )
ID Card Capacity: 30, 000 (Optional)       
Record Capacity: 200, 000 
Communication: TCP/IP, RS232/485, Wiegand Out&amp;In, USB Host
Standard Functions: Work Code, DST, Short Message, Self Service Query, 9 Digit User ID, T9 Input, Schedule-bell, Automatic Status Switch, Multilpe Vertify Mode
Access Control Interface for Third Party Electric Lock, Door Sensor and Eixt Button, Alarm
Optional: MF Card, ADMS, Photo ID, Anti-passback,  External Printer</t>
  </si>
  <si>
    <t>LP400</t>
  </si>
  <si>
    <t>Fingerprint Capacity: 3000 
ID Card  Capacity:10, 000 (Optional)       
Record Capacity:100, 000 
Communication: TCP/IP, USB Host
Standard Functions: Work Code, DST, Self Service Query,  9 Digit User ID,  Schedule-bell,  Automatic Status Switch, Printer
Optional: MF Card, ADMS, Built-in Battery</t>
  </si>
  <si>
    <t>IN05</t>
  </si>
  <si>
    <r>
      <rPr>
        <rFont val="Arial"/>
        <color rgb="FF000000"/>
        <sz val="10.0"/>
      </rPr>
      <t xml:space="preserve">Fingerprint Capacity: </t>
    </r>
    <r>
      <rPr>
        <rFont val="Arial"/>
        <color rgb="FF000000"/>
        <sz val="10.0"/>
      </rPr>
      <t xml:space="preserve">3000 
</t>
    </r>
    <r>
      <rPr>
        <rFont val="Arial"/>
        <color rgb="FF000000"/>
        <sz val="10.0"/>
      </rPr>
      <t xml:space="preserve">ID Card  Capacity: </t>
    </r>
    <r>
      <rPr>
        <rFont val="Arial"/>
        <color rgb="FF000000"/>
        <sz val="10.0"/>
      </rPr>
      <t xml:space="preserve">10,000 (Optional)       
</t>
    </r>
    <r>
      <rPr>
        <rFont val="Arial"/>
        <color rgb="FF000000"/>
        <sz val="10.0"/>
      </rPr>
      <t xml:space="preserve">Record Capacity: </t>
    </r>
    <r>
      <rPr>
        <rFont val="Arial"/>
        <color rgb="FF000000"/>
        <sz val="10.0"/>
      </rPr>
      <t xml:space="preserve">100,000 
</t>
    </r>
    <r>
      <rPr>
        <rFont val="Arial"/>
        <color rgb="FF000000"/>
        <sz val="10.0"/>
      </rPr>
      <t xml:space="preserve">Communication: </t>
    </r>
    <r>
      <rPr>
        <rFont val="Arial"/>
        <color rgb="FF000000"/>
        <sz val="10.0"/>
      </rPr>
      <t xml:space="preserve">TCP/IP, USB host, RS232
</t>
    </r>
    <r>
      <rPr>
        <rFont val="Arial"/>
        <color rgb="FF000000"/>
        <sz val="10.0"/>
      </rPr>
      <t xml:space="preserve">Standard Functions: </t>
    </r>
    <r>
      <rPr>
        <rFont val="Arial"/>
        <color rgb="FF000000"/>
        <sz val="10.0"/>
      </rPr>
      <t xml:space="preserve">Wi-Fi, Work Code, DST, Self Service Query, 9 Digit User ID, Schedule-bell, Multiple Vertify Mode, Automatic Status Switch, Built-in Battery
</t>
    </r>
    <r>
      <rPr>
        <rFont val="Arial"/>
        <color rgb="FF000000"/>
        <sz val="10.0"/>
      </rPr>
      <t>Optional:</t>
    </r>
    <r>
      <rPr>
        <rFont val="Arial"/>
        <color rgb="FF000000"/>
        <sz val="10.0"/>
      </rPr>
      <t xml:space="preserve"> ID/MF/HID, Webserver, ADMS, 3G, External Bell, POE</t>
    </r>
  </si>
  <si>
    <t xml:space="preserve">Palm and Fingerprint and T&amp;A and A&amp;C Device </t>
  </si>
  <si>
    <t>P260</t>
  </si>
  <si>
    <r>
      <rPr>
        <rFont val="Arial"/>
        <color rgb="FF000000"/>
        <sz val="10.0"/>
      </rPr>
      <t xml:space="preserve">Fingerprint Capacity: </t>
    </r>
    <r>
      <rPr>
        <rFont val="Arial"/>
        <color rgb="FF000000"/>
        <sz val="10.0"/>
      </rPr>
      <t xml:space="preserve">3000
</t>
    </r>
    <r>
      <rPr>
        <rFont val="Arial"/>
        <color rgb="FFFF0000"/>
        <sz val="10.0"/>
      </rPr>
      <t xml:space="preserve">Palm: </t>
    </r>
    <r>
      <rPr>
        <rFont val="Arial"/>
        <color rgb="FFFF0000"/>
        <sz val="10.0"/>
      </rPr>
      <t>600</t>
    </r>
    <r>
      <rPr>
        <rFont val="Arial"/>
        <color rgb="FF000000"/>
        <sz val="10.0"/>
      </rPr>
      <t xml:space="preserve">
</t>
    </r>
    <r>
      <rPr>
        <rFont val="Arial"/>
        <color rgb="FF000000"/>
        <sz val="10.0"/>
      </rPr>
      <t xml:space="preserve">ID Card Capacity: </t>
    </r>
    <r>
      <rPr>
        <rFont val="Arial"/>
        <color rgb="FF000000"/>
        <sz val="10.0"/>
      </rPr>
      <t xml:space="preserve">10,000 (Optional)       
</t>
    </r>
    <r>
      <rPr>
        <rFont val="Arial"/>
        <color rgb="FF000000"/>
        <sz val="10.0"/>
      </rPr>
      <t xml:space="preserve">Record Capacity: </t>
    </r>
    <r>
      <rPr>
        <rFont val="Arial"/>
        <color rgb="FF000000"/>
        <sz val="10.0"/>
      </rPr>
      <t xml:space="preserve">100,000 
</t>
    </r>
    <r>
      <rPr>
        <rFont val="Arial"/>
        <color rgb="FF000000"/>
        <sz val="10.0"/>
      </rPr>
      <t xml:space="preserve">Communication: </t>
    </r>
    <r>
      <rPr>
        <rFont val="Arial"/>
        <color rgb="FF000000"/>
        <sz val="10.0"/>
      </rPr>
      <t xml:space="preserve">TCP/IP, USB host, RS232 for external printer, RS485 for external FP reader.
</t>
    </r>
    <r>
      <rPr>
        <rFont val="Arial"/>
        <color rgb="FF000000"/>
        <sz val="10.0"/>
      </rPr>
      <t>Standard Functions:</t>
    </r>
    <r>
      <rPr>
        <rFont val="Arial"/>
        <color rgb="FF000000"/>
        <sz val="10.0"/>
      </rPr>
      <t xml:space="preserve"> Wi-Fi, Work Code, DST, Short Message, Self Service Query, 5 Digit User ID, Multiple Vertify Mode, T9 Input, Automatic Status Switch, Backup Battery, Wiegand In&amp;Out, Anti-passback.
</t>
    </r>
    <r>
      <rPr>
        <rFont val="Arial"/>
        <color rgb="FF000000"/>
        <sz val="10.0"/>
      </rPr>
      <t xml:space="preserve">Optional: </t>
    </r>
    <r>
      <rPr>
        <rFont val="Arial"/>
        <color rgb="FF000000"/>
        <sz val="10.0"/>
      </rPr>
      <t>ID/MF/HID, 3G, Webserver, ADMS, Photo ID, External Bell, Schedule-bell, POE, SRB.</t>
    </r>
  </si>
  <si>
    <t>IN05-A</t>
  </si>
  <si>
    <r>
      <rPr>
        <rFont val="Arial"/>
        <color rgb="FF000000"/>
        <sz val="10.0"/>
      </rPr>
      <t>Fingerprint Capacity:</t>
    </r>
    <r>
      <rPr>
        <rFont val="Arial"/>
        <color rgb="FF000000"/>
        <sz val="10.0"/>
      </rPr>
      <t xml:space="preserve"> 3000
</t>
    </r>
    <r>
      <rPr>
        <rFont val="Arial"/>
        <color rgb="FF000000"/>
        <sz val="10.0"/>
      </rPr>
      <t xml:space="preserve">ID Card Capacity: </t>
    </r>
    <r>
      <rPr>
        <rFont val="Arial"/>
        <color rgb="FF000000"/>
        <sz val="10.0"/>
      </rPr>
      <t xml:space="preserve">10,000 (Optional)       
</t>
    </r>
    <r>
      <rPr>
        <rFont val="Arial"/>
        <color rgb="FF000000"/>
        <sz val="10.0"/>
      </rPr>
      <t xml:space="preserve">Record Capacity: </t>
    </r>
    <r>
      <rPr>
        <rFont val="Arial"/>
        <color rgb="FF000000"/>
        <sz val="10.0"/>
      </rPr>
      <t xml:space="preserve">100,000 
</t>
    </r>
    <r>
      <rPr>
        <rFont val="Arial"/>
        <color rgb="FF000000"/>
        <sz val="10.0"/>
      </rPr>
      <t xml:space="preserve">Communication: </t>
    </r>
    <r>
      <rPr>
        <rFont val="Arial"/>
        <color rgb="FF000000"/>
        <sz val="10.0"/>
      </rPr>
      <t xml:space="preserve">TCP/IP, USB host,  RS232 for external printer, RS485 for external FP reader.
</t>
    </r>
    <r>
      <rPr>
        <rFont val="Arial"/>
        <color rgb="FF000000"/>
        <sz val="10.0"/>
      </rPr>
      <t xml:space="preserve">Standard Functions: </t>
    </r>
    <r>
      <rPr>
        <rFont val="Arial"/>
        <color rgb="FF000000"/>
        <sz val="10.0"/>
      </rPr>
      <t xml:space="preserve">Wi-Fi, Work Code, DST, Short Message, Self Service Query, 5 Digit User ID, Multiple Vertify Mode, T9 Input, Automatic Status Switch, Backup Battery, Wiegand In&amp;Out, Anti-passback.
</t>
    </r>
    <r>
      <rPr>
        <rFont val="Arial"/>
        <color rgb="FF000000"/>
        <sz val="10.0"/>
      </rPr>
      <t>Optional:</t>
    </r>
    <r>
      <rPr>
        <rFont val="Arial"/>
        <color rgb="FF000000"/>
        <sz val="10.0"/>
      </rPr>
      <t xml:space="preserve"> ID/MF/HID, 3G, Webserver, ADMS, Photo ID, External Bell, Schedule-bell, POE, SRB.</t>
    </r>
  </si>
  <si>
    <t>IN01</t>
  </si>
  <si>
    <t>Fingerprint Capacity: 3000 
ID Card  Capacity:10, 000 (Optional)       
Record Capacity: 100, 000 
Communication: TCP/IP, USB( host &amp;client)
Standard Functions: Work Code, DST, Self Service Query,  9 Digit User ID,  Schedule-bell, Multilpe Vertify Mode, Automatic Status Switch, Built-in Battery
Optional: MF Card, Webserver,  ADMS, Wi-Fi,  GPRS,  3G,  External Bell</t>
  </si>
  <si>
    <t>IN01-A</t>
  </si>
  <si>
    <t xml:space="preserve">Fingerprint Capacity: 3000
ID Card Capacity:10, 000 (Optional)       
Record Capacity: 100, 000 
Communication: TCP/IP,  USB(host&amp;Client),  RS232/485
Standard Functions: Work Code,  DST,  Short Message,  Self Service Query,  5 Digit User ID,  Multiple Vertify Mode,  T9 Input,  Automatic Status Switch,  Backup Battery,  Wiegand In&amp;Out,  Anti-passback
Optional: ID/MF/HID Card,  Wi-Fi,  GPRS,  3G,  Webserver,  ADMS,  Photo ID,  External Bell,  Schedule-bell, </t>
  </si>
  <si>
    <t>IN02</t>
  </si>
  <si>
    <t>IN02-A</t>
  </si>
  <si>
    <t>U990-C</t>
  </si>
  <si>
    <t>Fingerprint Capacity: 3000
ID Card Capacity:10, 000 (Optional)       
Record Capacity:100, 000 
Communication: TCP/IP, RS232/485, Wiegand Out&amp;In,  USB(host&amp;Client)
Standard Functions: Webserve, Work Code, DST, Short Message, Self Service Query,  5 Digit User ID, Schedule-bell, Automatic Status Switch,  Anti-passback, Backup Battery
Access Control Interface for Third Party Electric Lock,  Door Sensor and Eixt Button, Door Bell
Optional: MF Card, Wi-Fi, GPRS, ADMS, Photo ID, Multilpe Vertify Mode, External Bell and Printer</t>
  </si>
  <si>
    <t>IN03</t>
  </si>
  <si>
    <t>Fingerprint Capacity: 3000 
ID Card Capacity:10, 000 (Optional)       
Record Capacity: 100, 000 
Communication: TCP/IP,  RS232/485, USB Host
Standard Functions: Work Code,  DST,  Self Service Query,  9 Digit User ID,  T9 Input,  Schedule-bell,  Automatic Status Switch,  Simple Access Control,  Built-in Battery
Optional: MF Card, Webserver,  ADMS,  Photo ID, Multilpe Vertify Mode,  External Bell and Printer</t>
  </si>
  <si>
    <t>IN04</t>
  </si>
  <si>
    <t>Fingerprint Capacity: 3000 
ID Card Capacity:10, 000 (Optional)       
Record Capacity: 100, 000 
Communication: TCP/IP, RS232/485, USB Host 
Standard Functions: Work Code, DST, Self Service Query,  9 Digit User ID, T9 Input,  Schedule-bell, Automatic Status Switch, Built-in Battery, Simple Access Control
Optional: MF Card,  Webserver, ADMS, Photo ID, Multilpe Vertify Mode, External Bell and Printer</t>
  </si>
  <si>
    <t>Palm&amp;Fingerprint T&amp;A and A&amp;C Terminal</t>
  </si>
  <si>
    <t>2.8" TFT Display</t>
  </si>
  <si>
    <t>P160
(ZMM720)</t>
  </si>
  <si>
    <t>Palm Capacity: 1000
Fingerprint Capacity: 3000 
ID Card Capacity: 10,000 (Optional)
Record Capacity: 500,000
Communication: TCP/IP, USB Host, Wi-Fi(Optional)
Standard Functions: BioID, Work Code, SMS, DTS, Scheduled-bell,  Self-Service Query,  Automatic Status Switch,  T9 Input,  Photo ID,  Multi-Verification,   RS232 Printer,  AC1:Exit Button+12V AC Adapter Out+ 2*Relay + 1*AUX IN.
Optional:  ID/MF,  Backup Battery,  3G,  POE
AC Adapter: 12V 1.5A</t>
  </si>
  <si>
    <t>SilkFP-101TA</t>
  </si>
  <si>
    <r>
      <rPr>
        <rFont val="Arial"/>
        <color rgb="FF000000"/>
        <sz val="10.0"/>
      </rPr>
      <t xml:space="preserve">Fingerprint Capacity: </t>
    </r>
    <r>
      <rPr>
        <rFont val="Arial"/>
        <color rgb="FF000000"/>
        <sz val="10.0"/>
      </rPr>
      <t xml:space="preserve">3000
</t>
    </r>
    <r>
      <rPr>
        <rFont val="Arial"/>
        <color rgb="FF000000"/>
        <sz val="10.0"/>
      </rPr>
      <t>ID Card  Capacity:</t>
    </r>
    <r>
      <rPr>
        <rFont val="Arial"/>
        <color rgb="FF000000"/>
        <sz val="10.0"/>
      </rPr>
      <t xml:space="preserve"> 10, 000 (Optional)       
</t>
    </r>
    <r>
      <rPr>
        <rFont val="Arial"/>
        <color rgb="FF000000"/>
        <sz val="10.0"/>
      </rPr>
      <t xml:space="preserve">Record Capacity: </t>
    </r>
    <r>
      <rPr>
        <rFont val="Arial"/>
        <color rgb="FF000000"/>
        <sz val="10.0"/>
      </rPr>
      <t xml:space="preserve">100,000 
</t>
    </r>
    <r>
      <rPr>
        <rFont val="Arial"/>
        <color rgb="FF000000"/>
        <sz val="10.0"/>
      </rPr>
      <t>Communication:</t>
    </r>
    <r>
      <rPr>
        <rFont val="Arial"/>
        <color rgb="FF000000"/>
        <sz val="10.0"/>
      </rPr>
      <t xml:space="preserve"> TCP/IP,  USB(Host and Client)
</t>
    </r>
    <r>
      <rPr>
        <rFont val="Arial"/>
        <color rgb="FF000000"/>
        <sz val="10.0"/>
      </rPr>
      <t xml:space="preserve">Standard Functions: </t>
    </r>
    <r>
      <rPr>
        <rFont val="Arial"/>
        <color rgb="FF000000"/>
        <sz val="10.0"/>
      </rPr>
      <t xml:space="preserve">Webserver,  Work Code,  SMS,  DST,  Scheduled-bell,  Self-Service Query, Automatic Status Switch,  T9 Input,  9 digit user ID,  Photo ID
</t>
    </r>
    <r>
      <rPr>
        <rFont val="Arial"/>
        <color rgb="FF000000"/>
        <sz val="10.0"/>
      </rPr>
      <t>Optional:</t>
    </r>
    <r>
      <rPr>
        <rFont val="Arial"/>
        <color rgb="FF000000"/>
        <sz val="10.0"/>
      </rPr>
      <t xml:space="preserve"> ID/Mifare,  Wi-Fi,  External Bell,  ADMS</t>
    </r>
  </si>
  <si>
    <t>A11-C</t>
  </si>
  <si>
    <t>Fingerprint Capacity: 3000 
ID Card Capacity:10, 000 (Optional)       
Record Capacity: 100, 000 
Communication: TCP/IP, RS232/485, USB Host 
Standard Functions: Webserver, Work Code, DST, Short Message, Self Service Query,  9 Digit User ID, Schedule-bell, Automatic Status Switch
Optional: MF Card, ADMS, Photo ID, Multilpe Vertify Mode, Simple Access Control, External Bell and Printer</t>
  </si>
  <si>
    <t>B3-C</t>
  </si>
  <si>
    <t>Fingerprint Capacity: 3000 
ID Card  Capacity:10, 000 (Optional)       
Record Capacity: 100, 000 
Communication: TCP/IP, RS232/485
Standard Functions: Work Code, DST, Short Message, Self Service Query,  5 Digit User ID, Schedule-bell, Automatic Status Switch
Optional: MF Card, USB Host, Webserver, ADMS, Photo ID, Multilpe Vertify Mode, Simple Access Control, External Bell and Printer</t>
  </si>
  <si>
    <t>X628-C</t>
  </si>
  <si>
    <t>Fingerprint Capacity: 3000 
ID Card Capacity:10, 000 (Optional)       
Record Capacity: 100, 000 
Communication: TCP/IP, RS232/485, USB Host
Standard Functions: Work Code, DST, Short Message, Self Service Query, 5 Digit User ID, Schedule-bell, Automatic Status Switch
Optional: MF Card, Webserver, ADMS, Photo ID, Multilpe Vertify Mode, Simple Access Control, External Bell and Printer</t>
  </si>
  <si>
    <t>U160-C</t>
  </si>
  <si>
    <t>Fingerprint Capacity: 3000 
ID Card  Capacity:10, 000 (Optional)       
Record Capacity: 100, 000 
Communication: TCP/IP, RS232/485, USB (host&amp;client)
Standard Functions: Work Code, DST, Short Message, Self Service Query, 5 Digit User ID, Schedule-bell, Automatic Status Switch
Optional: MF Card, Wi-Fi, Webserver, ADMS, Photo ID, Multilpe Vertify Mode, External Bell and Printer</t>
  </si>
  <si>
    <t>U260-C</t>
  </si>
  <si>
    <t>Fingerprint Capacity: 3000 
ID Card Capacity:10, 000 (Optional)       
Record Capacity: 100, 000 
Communication: TCP/IP, RS232/485, USB (host&amp;client)
Standard Functions: Webserver, Work Code, DST, Short Message, Self Service Query, 5 Digit User ID, T9 Input,  Schedule-bell, Automatic Status Switch
Optional: MF Card, ADMS, Photo ID, Multilpe Vertify Mode, External Bell and Printer</t>
  </si>
  <si>
    <t>U300-C</t>
  </si>
  <si>
    <t>Fingerprint Capacity: 3000 
ID Card Capacity:10, 000 (Optional)       
Record Capacity: 100, 000 
Communication: TCP/IP, RS232/485, USB (host&amp;client)
Standard Functions: Work Code, DST, Short Message, Self Service Query, 5 Digit User ID, Schedule-bell, Automatic Status Switch
Optional: MF Card, Webserver, ADMS, Photo ID, Multilpe Vertify Mode, External Bell and Printer</t>
  </si>
  <si>
    <t>UA100</t>
  </si>
  <si>
    <t>Fingerprint Capacity: 3000 
ID Card Capacity: 30, 000 (Optional)       
Record Capacity: 100, 000 
Communication: TCP/IP, RS232/485, USB( host &amp;client)
Standard Functions:Webserver, Work Code, DST, Self Service Query,  9 Digit User ID,  T9 Input,  Schedule-bell, Automatic Status Switch
Optional: MF Card, ADMS, Photo ID, External Bell and Printer</t>
  </si>
  <si>
    <t>UA200</t>
  </si>
  <si>
    <t>Fingerprint Capacity: 3000 
ID Card  Capacity: 30, 000 (Optional)       
Record Capacity: 100, 000 
Communication: TCP/IP, RS232/485, USB( host &amp;client)
Standard Functions: Webserver, Work Code, DST, Self Service Query,  9 Digit User ID,  T9 Input,  Schedule-bell, Automatic Status Switch
Optional: MF Card, ADMS, Photo ID, External Bell and Printer</t>
  </si>
  <si>
    <t>UA300</t>
  </si>
  <si>
    <t>Fingerprint Capacity: 3000 
ID Card Capacity:10, 000 (Optional)       
Record Capacity: 100, 000 
Communication: TCP/IP, RS232/485, USB( host &amp;client)
Standard Functions: Webserver, Work Code, DST, Self Service Query,  9 Digit User ID, T9 Input,   Schedule-bell, Automatic Status Switch
Optional: MF Card, ADMS, Photo ID, External Bell and Printer</t>
  </si>
  <si>
    <t>UA400</t>
  </si>
  <si>
    <t>Fingerprint Capacity: 3000 
ID Card Capacity:10, 000 (Optional)       
Record Capacity: 100, 000 
Communication: TCP/IP, RS232/485, USB( host &amp;client)
Standard Functions: Webserver, Work Code, DST, Self Service Query, 9 Digit User ID, T9 Input,  Schedule-bell, Automatic Status Switch
Optional: MF Card, ADMS, Multilpe Vertify Mode, External Printer</t>
  </si>
  <si>
    <t>US10C-B
(Bar code)</t>
  </si>
  <si>
    <t>Card Capacity:10, 000    
Record Capacity: 100, 000 
Communication: TCP/IP, RS232, USB Host
Standard Functions: Work Code, DST, Short Message, Self Service Query, 5 Digit User ID, Schedule-bell, Automatic Status Switch, 
Optional: Wi-Fi, ADMS, External Bell and Printer</t>
  </si>
  <si>
    <t>US15C-B
(Bar code)</t>
  </si>
  <si>
    <t>US10C-M
(Stripe card)</t>
  </si>
  <si>
    <t>Card Capacity:10, 000 
Record Capacity: 100, 000 
Communication: TCP/IP, RS232, USB Host
Standard Functions: Work Code, DST, Short Message, Self Service Query, 5 Digit User ID, Schedule-bell, Automatic Status Switch
Optional: Webserve, Wi-Fi, Multilpe Vertify Mode, External Bell and Printer</t>
  </si>
  <si>
    <t>US15C-M
(Stripe card)</t>
  </si>
  <si>
    <t>US10C</t>
  </si>
  <si>
    <t>Fingerprint Capacity: 3000 
ID Card Capacity:10, 000        
Record Capacity: 50, 000 
Communication: TCP/IP, RS232, USB Host
Standard Functions: Work Code, DST, Short Message, Self Service Query, 9 Digit User ID, Photo ID, Schedule-bell, Automatic Status Switch, External Printer
Optional: MF Card, Wi-Fi, ADMS, External Bell</t>
  </si>
  <si>
    <t>US15C-ID</t>
  </si>
  <si>
    <t>3" B&amp;W Display</t>
  </si>
  <si>
    <t>US10-M(Stripe card)</t>
  </si>
  <si>
    <t>Card Capacity:10, 000     
Record Capacity:100, 000 
Communication: TCP/IP, RS232,  USB Host
Standard Functions: Work Code, DST, Short Message,  5 Digit User ID, Schedule-bell, Multilpe Vertify Mode, Self Service Query,  Automatic Status Switch
Optional: Wi-Fi, External Printer and Bell</t>
  </si>
  <si>
    <t>US10-B(Bar code)</t>
  </si>
  <si>
    <t>Card Capacity:10, 000      
Record Capacity:100, 000 
Communication: TCP/IP, RS232, USB Host
Standard Functions: Work Code, DST, Short Message,  5 Digit User ID, Schedule-bell, Multilpe Vertify Mode, Self Service Query,  Automatic Status Switch
Optional: ADMS, Wi-Fi, External Printer and Bell</t>
  </si>
  <si>
    <t>S160-C</t>
  </si>
  <si>
    <t>ID Card Capacity: 3, 000  
Record Capacity: 100, 000 
Communication: TCP/IP, RS232/485, USB (host&amp;client)
Standard Functions: Work Code, DST, Short Message, Self Service Query, 5 Digit User ID, Schedule-bell, Automatic Status Switch
Optional: MFCard, Wi-Fi, Webserve, ADMS, Photo ID, , External Printer and Belll, Multilpe Vertify Mode</t>
  </si>
  <si>
    <t>Fingerprint T&amp;A and A&amp;C Terminal</t>
  </si>
  <si>
    <t>UA760</t>
  </si>
  <si>
    <t>User Capacity: 3000
Fingerprint Capacity: 3000 
Record Capacity: 50,000 
Communication: Wi-Fi, TCP/IP, USB Host 
Standard Functions: BioID, Wi-Fi, DST, Self Service Query, 9 Digit User ID,  Automatic Status Switch, Schedule-bell, T9 Input, RS232 Print.                                                      Access Control Interface: 3rd Party Electric Lock, Exict Button.
Optional:  ID/MF, PUSH
Certification: CE/FCC
AC Adapter: 12V 1.5A</t>
  </si>
  <si>
    <t>UA860</t>
  </si>
  <si>
    <t>User Capacity: 3000
Fingerprint Capacity: 3000
Record Capacity: 50,000
Communication: Wi-Fi, TCP/IP, USB Host
Standard Functions: BioID, Wi-Fi, DST, Self
Service Query,
9 Digit User ID, Automatic Status Switch,
Schedule-bell, T9 Input,
RS232 Print Access Control Interface: 3rd
Party Electric Lock,
Exit Button.
Optional: ID/MF, PUSH
Certification: CE/FCC
Power: 12V 1.5A</t>
  </si>
  <si>
    <t>Fingerptint T&amp;A Device</t>
  </si>
  <si>
    <t>D1S</t>
  </si>
  <si>
    <r>
      <rPr>
        <rFont val="Arial"/>
        <color rgb="FF000000"/>
        <sz val="10.0"/>
      </rPr>
      <t>Fingerprint Capacity: 400</t>
    </r>
    <r>
      <rPr>
        <rFont val="Arial"/>
        <color rgb="FF000000"/>
        <sz val="10.0"/>
      </rPr>
      <t xml:space="preserve">
</t>
    </r>
    <r>
      <rPr>
        <rFont val="Arial"/>
        <color rgb="FF000000"/>
        <sz val="10.0"/>
      </rPr>
      <t>Record Capacity: 10</t>
    </r>
    <r>
      <rPr>
        <rFont val="Arial"/>
        <color rgb="FF000000"/>
        <sz val="10.0"/>
      </rPr>
      <t xml:space="preserve">,000 
</t>
    </r>
    <r>
      <rPr>
        <rFont val="Arial"/>
        <color rgb="FF000000"/>
        <sz val="10.0"/>
      </rPr>
      <t xml:space="preserve">Communication: </t>
    </r>
    <r>
      <rPr>
        <rFont val="Arial"/>
        <color rgb="FF000000"/>
        <sz val="10.0"/>
      </rPr>
      <t xml:space="preserve"> USB 2.0 (Host )
</t>
    </r>
    <r>
      <rPr>
        <rFont val="Arial"/>
        <color rgb="FF000000"/>
        <sz val="10.0"/>
      </rPr>
      <t>Standard Functions:  Automatic Status Switch,Self Service Query</t>
    </r>
    <r>
      <rPr>
        <rFont val="Arial"/>
        <color rgb="FF000000"/>
        <sz val="10.0"/>
      </rPr>
      <t>,</t>
    </r>
    <r>
      <rPr>
        <rFont val="Arial"/>
        <color rgb="FF000000"/>
        <sz val="10.0"/>
      </rPr>
      <t xml:space="preserve"> 9 input, 9 Digit User ID,daynight saving time</t>
    </r>
    <r>
      <rPr>
        <rFont val="Arial"/>
        <color rgb="FF000000"/>
        <sz val="10.0"/>
      </rPr>
      <t xml:space="preserve">
</t>
    </r>
    <r>
      <rPr>
        <rFont val="Arial"/>
        <color rgb="FF000000"/>
        <sz val="10.0"/>
      </rPr>
      <t xml:space="preserve">Optional: </t>
    </r>
    <r>
      <rPr>
        <rFont val="Arial"/>
        <color rgb="FF000000"/>
        <sz val="10.0"/>
      </rPr>
      <t xml:space="preserve">None
</t>
    </r>
    <r>
      <rPr>
        <rFont val="Arial"/>
        <color rgb="FF000000"/>
        <sz val="10.0"/>
      </rPr>
      <t xml:space="preserve">Capatibility: </t>
    </r>
    <r>
      <rPr>
        <rFont val="Arial"/>
        <color rgb="FF000000"/>
        <sz val="10.0"/>
      </rPr>
      <t xml:space="preserve">zktime.net 3.0
</t>
    </r>
  </si>
  <si>
    <t>D2S</t>
  </si>
  <si>
    <r>
      <rPr>
        <rFont val="Arial"/>
        <color rgb="FF000000"/>
        <sz val="10.0"/>
      </rPr>
      <t>Fingerprint Capacity: 400</t>
    </r>
    <r>
      <rPr>
        <rFont val="Arial"/>
        <color rgb="FF000000"/>
        <sz val="10.0"/>
      </rPr>
      <t xml:space="preserve">
</t>
    </r>
    <r>
      <rPr>
        <rFont val="Arial"/>
        <color rgb="FF000000"/>
        <sz val="10.0"/>
      </rPr>
      <t>Record Capacity: 10</t>
    </r>
    <r>
      <rPr>
        <rFont val="Arial"/>
        <color rgb="FF000000"/>
        <sz val="10.0"/>
      </rPr>
      <t xml:space="preserve">,000 
</t>
    </r>
    <r>
      <rPr>
        <rFont val="Arial"/>
        <color rgb="FF000000"/>
        <sz val="10.0"/>
      </rPr>
      <t xml:space="preserve">Communication: </t>
    </r>
    <r>
      <rPr>
        <rFont val="Arial"/>
        <color rgb="FF000000"/>
        <sz val="10.0"/>
      </rPr>
      <t xml:space="preserve"> USB 2.0 (Host )
</t>
    </r>
    <r>
      <rPr>
        <rFont val="Arial"/>
        <color rgb="FF000000"/>
        <sz val="10.0"/>
      </rPr>
      <t>Standard Functions:  Automatic Status Switch,Self Service Query</t>
    </r>
    <r>
      <rPr>
        <rFont val="Arial"/>
        <color rgb="FF000000"/>
        <sz val="10.0"/>
      </rPr>
      <t>,</t>
    </r>
    <r>
      <rPr>
        <rFont val="Arial"/>
        <color rgb="FF000000"/>
        <sz val="10.0"/>
      </rPr>
      <t xml:space="preserve"> 9 input, 9 Digit User ID,daynight saving time</t>
    </r>
    <r>
      <rPr>
        <rFont val="Arial"/>
        <color rgb="FF000000"/>
        <sz val="10.0"/>
      </rPr>
      <t xml:space="preserve">
</t>
    </r>
    <r>
      <rPr>
        <rFont val="Arial"/>
        <color rgb="FF000000"/>
        <sz val="10.0"/>
      </rPr>
      <t xml:space="preserve">Optional: </t>
    </r>
    <r>
      <rPr>
        <rFont val="Arial"/>
        <color rgb="FF000000"/>
        <sz val="10.0"/>
      </rPr>
      <t xml:space="preserve">None
</t>
    </r>
    <r>
      <rPr>
        <rFont val="Arial"/>
        <color rgb="FF000000"/>
        <sz val="10.0"/>
      </rPr>
      <t xml:space="preserve">Capatibility: </t>
    </r>
    <r>
      <rPr>
        <rFont val="Arial"/>
        <color rgb="FF000000"/>
        <sz val="10.0"/>
      </rPr>
      <t xml:space="preserve">zktime.net 3.0
</t>
    </r>
  </si>
  <si>
    <t>D1</t>
  </si>
  <si>
    <r>
      <rPr>
        <rFont val="Arial"/>
        <color rgb="FF000000"/>
        <sz val="10.0"/>
      </rPr>
      <t xml:space="preserve">Fingerprint Capacity: </t>
    </r>
    <r>
      <rPr>
        <rFont val="Arial"/>
        <color rgb="FF000000"/>
        <sz val="10.0"/>
      </rPr>
      <t xml:space="preserve">1000
</t>
    </r>
    <r>
      <rPr>
        <rFont val="Arial"/>
        <color rgb="FF000000"/>
        <sz val="10.0"/>
      </rPr>
      <t xml:space="preserve">Record Capacity: </t>
    </r>
    <r>
      <rPr>
        <rFont val="Arial"/>
        <color rgb="FF000000"/>
        <sz val="10.0"/>
      </rPr>
      <t xml:space="preserve">50,000 
</t>
    </r>
    <r>
      <rPr>
        <rFont val="Arial"/>
        <color rgb="FF000000"/>
        <sz val="10.0"/>
      </rPr>
      <t xml:space="preserve">Communication: </t>
    </r>
    <r>
      <rPr>
        <rFont val="Arial"/>
        <color rgb="FF000000"/>
        <sz val="10.0"/>
      </rPr>
      <t xml:space="preserve">WiFi(WLAN, USB host), USB Host 
</t>
    </r>
    <r>
      <rPr>
        <rFont val="Arial"/>
        <color rgb="FF000000"/>
        <sz val="10.0"/>
      </rPr>
      <t xml:space="preserve">Standard Functions: </t>
    </r>
    <r>
      <rPr>
        <rFont val="Arial"/>
        <color rgb="FF000000"/>
        <sz val="10.0"/>
      </rPr>
      <t xml:space="preserve">BioID, DST, Self Service Query, 9 Digit User ID, Automatic Status Switch,  Schedule-bell, T9 Input, SSR Report,  Backup Battery.
</t>
    </r>
    <r>
      <rPr>
        <rFont val="Arial"/>
        <color rgb="FF000000"/>
        <sz val="10.0"/>
      </rPr>
      <t xml:space="preserve">Optional: </t>
    </r>
    <r>
      <rPr>
        <rFont val="Arial"/>
        <color rgb="FF000000"/>
        <sz val="10.0"/>
      </rPr>
      <t xml:space="preserve">None
</t>
    </r>
    <r>
      <rPr>
        <rFont val="Arial"/>
        <color rgb="FF000000"/>
        <sz val="10.0"/>
      </rPr>
      <t xml:space="preserve">Capatibility: </t>
    </r>
    <r>
      <rPr>
        <rFont val="Arial"/>
        <color rgb="FF000000"/>
        <sz val="10.0"/>
      </rPr>
      <t xml:space="preserve">zktime.net, zktime 5.0, zkaccess3.5
</t>
    </r>
    <r>
      <rPr>
        <rFont val="Arial"/>
        <color rgb="FF000000"/>
        <sz val="10.0"/>
      </rPr>
      <t xml:space="preserve">Note: </t>
    </r>
    <r>
      <rPr>
        <rFont val="Arial"/>
        <color rgb="FF000000"/>
        <sz val="10.0"/>
      </rPr>
      <t>Hotspot of WiFi work with TA Assistant APP.</t>
    </r>
  </si>
  <si>
    <t>D2</t>
  </si>
  <si>
    <r>
      <rPr>
        <rFont val="Arial"/>
        <color rgb="FF000000"/>
        <sz val="10.0"/>
      </rPr>
      <t>Fingerprint Capacity:</t>
    </r>
    <r>
      <rPr>
        <rFont val="Arial"/>
        <color rgb="FF000000"/>
        <sz val="10.0"/>
      </rPr>
      <t xml:space="preserve"> 1000
</t>
    </r>
    <r>
      <rPr>
        <rFont val="Arial"/>
        <color rgb="FF000000"/>
        <sz val="10.0"/>
      </rPr>
      <t>Record Capacity:</t>
    </r>
    <r>
      <rPr>
        <rFont val="Arial"/>
        <color rgb="FF000000"/>
        <sz val="10.0"/>
      </rPr>
      <t xml:space="preserve"> 50,000 
</t>
    </r>
    <r>
      <rPr>
        <rFont val="Arial"/>
        <color rgb="FF000000"/>
        <sz val="10.0"/>
      </rPr>
      <t xml:space="preserve">Communication: </t>
    </r>
    <r>
      <rPr>
        <rFont val="Arial"/>
        <color rgb="FF000000"/>
        <sz val="10.0"/>
      </rPr>
      <t xml:space="preserve">WiFi(WLAN, USB host), USB Host 
</t>
    </r>
    <r>
      <rPr>
        <rFont val="Arial"/>
        <color rgb="FF000000"/>
        <sz val="10.0"/>
      </rPr>
      <t>Standard Functions:</t>
    </r>
    <r>
      <rPr>
        <rFont val="Arial"/>
        <color rgb="FF000000"/>
        <sz val="10.0"/>
      </rPr>
      <t xml:space="preserve"> BioID, DST, Self Service Query, 9 Digit User ID, Automatic Status Switch,  Schedule-bell, T9 Input, SSR Report, Backup Battery.
</t>
    </r>
    <r>
      <rPr>
        <rFont val="Arial"/>
        <color rgb="FF000000"/>
        <sz val="10.0"/>
      </rPr>
      <t xml:space="preserve">Optional: </t>
    </r>
    <r>
      <rPr>
        <rFont val="Arial"/>
        <color rgb="FF000000"/>
        <sz val="10.0"/>
      </rPr>
      <t xml:space="preserve">None
</t>
    </r>
    <r>
      <rPr>
        <rFont val="Arial"/>
        <color rgb="FF000000"/>
        <sz val="10.0"/>
      </rPr>
      <t xml:space="preserve">Capatibility: </t>
    </r>
    <r>
      <rPr>
        <rFont val="Arial"/>
        <color rgb="FF000000"/>
        <sz val="10.0"/>
      </rPr>
      <t xml:space="preserve">zktime.net, zktime 5.0, zkaccess3.5
</t>
    </r>
    <r>
      <rPr>
        <rFont val="Arial"/>
        <color rgb="FF000000"/>
        <sz val="10.0"/>
      </rPr>
      <t xml:space="preserve">Note: </t>
    </r>
    <r>
      <rPr>
        <rFont val="Arial"/>
        <color rgb="FF000000"/>
        <sz val="10.0"/>
      </rPr>
      <t>Hotspot of WiFi work with TA Assistant APP.</t>
    </r>
  </si>
  <si>
    <t>Fingerptint
  T&amp;A Device</t>
  </si>
  <si>
    <t>WL10</t>
  </si>
  <si>
    <r>
      <rPr>
        <rFont val="Arial"/>
        <color rgb="FF000000"/>
        <sz val="10.0"/>
      </rPr>
      <t>Fingerprint Capacity:</t>
    </r>
    <r>
      <rPr>
        <rFont val="Arial"/>
        <color rgb="FF000000"/>
        <sz val="10.0"/>
      </rPr>
      <t xml:space="preserve"> 1000/1500(without SSR) 
</t>
    </r>
    <r>
      <rPr>
        <rFont val="Arial"/>
        <color rgb="FF000000"/>
        <sz val="10.0"/>
      </rPr>
      <t xml:space="preserve">Record Capacity: </t>
    </r>
    <r>
      <rPr>
        <rFont val="Arial"/>
        <color rgb="FF000000"/>
        <sz val="10.0"/>
      </rPr>
      <t xml:space="preserve">50,000 
</t>
    </r>
    <r>
      <rPr>
        <rFont val="Arial"/>
        <color rgb="FF000000"/>
        <sz val="10.0"/>
      </rPr>
      <t xml:space="preserve">Communication: </t>
    </r>
    <r>
      <rPr>
        <rFont val="Arial"/>
        <color rgb="FF000000"/>
        <sz val="10.0"/>
      </rPr>
      <t xml:space="preserve">WiFi(WLAN, USB host),  USB Host 
</t>
    </r>
    <r>
      <rPr>
        <rFont val="Arial"/>
        <color rgb="FF000000"/>
        <sz val="10.0"/>
      </rPr>
      <t>Standard Functions:</t>
    </r>
    <r>
      <rPr>
        <rFont val="Arial"/>
        <color rgb="FF000000"/>
        <sz val="10.0"/>
      </rPr>
      <t xml:space="preserve"> BioID,  DST,  Self Service Query,  9 Digit User ID,  Automatic Status Switch,  Schedule-bell,  T9 Input,  SSR Report
</t>
    </r>
    <r>
      <rPr>
        <rFont val="Arial"/>
        <color rgb="FF000000"/>
        <sz val="10.0"/>
      </rPr>
      <t xml:space="preserve">Optional: </t>
    </r>
    <r>
      <rPr>
        <rFont val="Arial"/>
        <color rgb="FF000000"/>
        <sz val="10.0"/>
      </rPr>
      <t xml:space="preserve">None
</t>
    </r>
    <r>
      <rPr>
        <rFont val="Arial"/>
        <color rgb="FF000000"/>
        <sz val="10.0"/>
      </rPr>
      <t>Note:</t>
    </r>
    <r>
      <rPr>
        <rFont val="Arial"/>
        <color rgb="FF000000"/>
        <sz val="10.0"/>
      </rPr>
      <t xml:space="preserve"> Hotspot of WiFi work with TA Assistant APP and Time Cube Cloud APP,  right now,  it's useless.</t>
    </r>
  </si>
  <si>
    <t>WL20</t>
  </si>
  <si>
    <r>
      <rPr>
        <rFont val="Arial"/>
        <color rgb="FF000000"/>
        <sz val="10.0"/>
      </rPr>
      <t>Fingerprint Capacity:</t>
    </r>
    <r>
      <rPr>
        <rFont val="Arial"/>
        <color rgb="FF000000"/>
        <sz val="10.0"/>
      </rPr>
      <t xml:space="preserve"> 1000/1500 (without SSR) 
</t>
    </r>
    <r>
      <rPr>
        <rFont val="Arial"/>
        <color rgb="FF000000"/>
        <sz val="10.0"/>
      </rPr>
      <t xml:space="preserve">Record Capacity: </t>
    </r>
    <r>
      <rPr>
        <rFont val="Arial"/>
        <color rgb="FF000000"/>
        <sz val="10.0"/>
      </rPr>
      <t xml:space="preserve">50,000 
</t>
    </r>
    <r>
      <rPr>
        <rFont val="Arial"/>
        <color rgb="FF000000"/>
        <sz val="10.0"/>
      </rPr>
      <t xml:space="preserve">Communication: </t>
    </r>
    <r>
      <rPr>
        <rFont val="Arial"/>
        <color rgb="FF000000"/>
        <sz val="10.0"/>
      </rPr>
      <t xml:space="preserve">WiFi(WLAN,  USB host),  USB Host 
</t>
    </r>
    <r>
      <rPr>
        <rFont val="Arial"/>
        <color rgb="FF000000"/>
        <sz val="10.0"/>
      </rPr>
      <t>Standard Functions:</t>
    </r>
    <r>
      <rPr>
        <rFont val="Arial"/>
        <color rgb="FF000000"/>
        <sz val="10.0"/>
      </rPr>
      <t xml:space="preserve"> BioID,  DST,  Self Service Query,  9 Digit User ID,  Automatic Status Switch,  Schedule-bell,  T9 Input,  SSR Report
</t>
    </r>
    <r>
      <rPr>
        <rFont val="Arial"/>
        <color rgb="FF000000"/>
        <sz val="10.0"/>
      </rPr>
      <t xml:space="preserve">Optional: </t>
    </r>
    <r>
      <rPr>
        <rFont val="Arial"/>
        <color rgb="FF000000"/>
        <sz val="10.0"/>
      </rPr>
      <t xml:space="preserve">None
</t>
    </r>
    <r>
      <rPr>
        <rFont val="Arial"/>
        <color rgb="FF000000"/>
        <sz val="10.0"/>
      </rPr>
      <t xml:space="preserve">Note: </t>
    </r>
    <r>
      <rPr>
        <rFont val="Arial"/>
        <color rgb="FF000000"/>
        <sz val="10.0"/>
      </rPr>
      <t>Hotspot of WiFi work with TA Assistant APP and Time Cube Cloud APP,  right now,  it's useless.</t>
    </r>
  </si>
  <si>
    <t>WL30</t>
  </si>
  <si>
    <r>
      <rPr>
        <rFont val="Arial"/>
        <color rgb="FF000000"/>
        <sz val="10.0"/>
      </rPr>
      <t>Fingerprint Capacity:</t>
    </r>
    <r>
      <rPr>
        <rFont val="Arial"/>
        <color rgb="FF000000"/>
        <sz val="10.0"/>
      </rPr>
      <t xml:space="preserve"> 1000/1500 (without SSR) 
</t>
    </r>
    <r>
      <rPr>
        <rFont val="Arial"/>
        <color rgb="FF000000"/>
        <sz val="10.0"/>
      </rPr>
      <t>Record Capacity:</t>
    </r>
    <r>
      <rPr>
        <rFont val="Arial"/>
        <color rgb="FF000000"/>
        <sz val="10.0"/>
      </rPr>
      <t xml:space="preserve"> 50,000 
</t>
    </r>
    <r>
      <rPr>
        <rFont val="Arial"/>
        <color rgb="FF000000"/>
        <sz val="10.0"/>
      </rPr>
      <t xml:space="preserve">Communication: </t>
    </r>
    <r>
      <rPr>
        <rFont val="Arial"/>
        <color rgb="FF000000"/>
        <sz val="10.0"/>
      </rPr>
      <t xml:space="preserve">WiFi(WLAN, USB host),  USB Host 
</t>
    </r>
    <r>
      <rPr>
        <rFont val="Arial"/>
        <color rgb="FF000000"/>
        <sz val="10.0"/>
      </rPr>
      <t>Standard Functions:</t>
    </r>
    <r>
      <rPr>
        <rFont val="Arial"/>
        <color rgb="FF000000"/>
        <sz val="10.0"/>
      </rPr>
      <t xml:space="preserve"> BioID,  DST,  Self Service Query,  9 Digit User ID,  Automatic Status Switch,  Schedule-bell,  T9 Input,  SSR Report
</t>
    </r>
    <r>
      <rPr>
        <rFont val="Arial"/>
        <color rgb="FF000000"/>
        <sz val="10.0"/>
      </rPr>
      <t xml:space="preserve">Optional: </t>
    </r>
    <r>
      <rPr>
        <rFont val="Arial"/>
        <color rgb="FF000000"/>
        <sz val="10.0"/>
      </rPr>
      <t xml:space="preserve">None
</t>
    </r>
    <r>
      <rPr>
        <rFont val="Arial"/>
        <color rgb="FF000000"/>
        <sz val="10.0"/>
      </rPr>
      <t xml:space="preserve">Note: </t>
    </r>
    <r>
      <rPr>
        <rFont val="Arial"/>
        <color rgb="FF000000"/>
        <sz val="10.0"/>
      </rPr>
      <t>Hotspot of WiFi work with TA Assistant APP and Time Cube Cloud APP,  right now,  it's useless.</t>
    </r>
  </si>
  <si>
    <t>k40</t>
  </si>
  <si>
    <r>
      <rPr>
        <rFont val="Arial"/>
        <color rgb="FFFF0000"/>
        <sz val="10.0"/>
      </rPr>
      <t xml:space="preserve">Fingerprint Capacity: 3,000/1,000(SSR function on) </t>
    </r>
    <r>
      <rPr>
        <rFont val="Arial"/>
        <color rgb="FF000000"/>
        <sz val="10.0"/>
      </rPr>
      <t xml:space="preserve">
ID Card Capacity: 1000(Optional)
Communication:  TCP/IP, USB-host
Standard Functions:  Work Code,  SMS,  DST,  Self-Service Query,  Automatic Status Switch,  Scheduled-bell,  T9 Input, 9 Digit User ID,  Built-in Battery, Simple Access Control or External Bell</t>
    </r>
  </si>
  <si>
    <t>K14</t>
  </si>
  <si>
    <r>
      <rPr>
        <rFont val="Arial"/>
        <color theme="1"/>
        <sz val="10.0"/>
      </rPr>
      <t xml:space="preserve">Fingerprint Capacity: </t>
    </r>
    <r>
      <rPr>
        <rFont val="Arial"/>
        <color rgb="FFFF0000"/>
        <sz val="10.0"/>
      </rPr>
      <t>3,000/1,000(SSR function on)</t>
    </r>
    <r>
      <rPr>
        <rFont val="Arial"/>
        <color theme="1"/>
        <sz val="10.0"/>
      </rPr>
      <t xml:space="preserve"> 
ID Card Capacity: 1000  
Record Capacity: </t>
    </r>
    <r>
      <rPr>
        <rFont val="Arial"/>
        <color rgb="FFFF0000"/>
        <sz val="10.0"/>
      </rPr>
      <t xml:space="preserve">100, 000 </t>
    </r>
    <r>
      <rPr>
        <rFont val="Arial"/>
        <color theme="1"/>
        <sz val="10.0"/>
      </rPr>
      <t xml:space="preserve">
Communication: TCP/IP, USB Host 
Standard Functions: Work Code, Short Message, DST, Self Service Query, 9 Digit User ID,  Automatic Status Switch,  Schedule-bell, T9 Input, SSR Report
Optional: MF Card</t>
    </r>
  </si>
  <si>
    <t>K20</t>
  </si>
  <si>
    <r>
      <rPr>
        <rFont val="Arial"/>
        <color rgb="FF000000"/>
        <sz val="10.0"/>
      </rPr>
      <t xml:space="preserve">Fingerprint Capacity: </t>
    </r>
    <r>
      <rPr>
        <rFont val="Arial"/>
        <color rgb="FFFF0000"/>
        <sz val="10.0"/>
      </rPr>
      <t xml:space="preserve">3,000/1,000(SSR function on) </t>
    </r>
    <r>
      <rPr>
        <rFont val="Arial"/>
        <color rgb="FF000000"/>
        <sz val="10.0"/>
      </rPr>
      <t xml:space="preserve">
ID Card Capacity: 500    
Record Capacity: </t>
    </r>
    <r>
      <rPr>
        <rFont val="Arial"/>
        <color rgb="FFFF0000"/>
        <sz val="10.0"/>
      </rPr>
      <t xml:space="preserve">100, 000 </t>
    </r>
    <r>
      <rPr>
        <rFont val="Arial"/>
        <color rgb="FF000000"/>
        <sz val="10.0"/>
      </rPr>
      <t xml:space="preserve">
Communication: TCP/IP, USB Host 
Standard Functions: Work Code, Short Message, DST, Self Service Query, 9 Digit User ID,  Automatic Status Switch,  Schedule-bell, T9 Input, SSR Report, Multilpe Vertify Mode, Simple Access Control, Backup Battery
Optional: MF Card or External Bell </t>
    </r>
  </si>
  <si>
    <t>LX50</t>
  </si>
  <si>
    <t>Fingerprint Capacity: 500 
User Capacity: 500    
Record Capacity: 50, 000 
Communication: USB Host and Client 
Standard Functions: DST, Self Service Query, 9 Digit User ID,  Automatic Status Switch, Schedule-bell, T9 Input, SSR Report</t>
  </si>
  <si>
    <t>LX14</t>
  </si>
  <si>
    <t>LX15</t>
  </si>
  <si>
    <t>LX16</t>
  </si>
  <si>
    <t>LX17</t>
  </si>
  <si>
    <t>SDK</t>
  </si>
  <si>
    <t>Push SDK</t>
  </si>
  <si>
    <t>T&amp;A Push SDK</t>
  </si>
  <si>
    <t>AI T&amp;A PUSH SDK(include facial recognication api)
 (Does not include support).
One year free protocol upgrade.
Supported Hardware: FaceKiosk-V43, FaceKiosk-V32, FaceKiosk-H32, FaceKiosk-H21
Remarks: This package do not include any technical support
This package includes one year free warranty and upgrade</t>
  </si>
  <si>
    <t>SDK Annual Upgrade Fee 
 (Does not include support).
Remarks: All SDK will come with one year free warranty, so the SDK upgrade service will begin in second years since puchased.</t>
  </si>
  <si>
    <t>SDK  Technical Support 3 man-days Package
Note:
1. This package will come with 3 man-days technical support 
2. If end user needs more technical support man-days, they should purchase the support as package
3. For the SDK, ZKTeco do not offer any free online technical support. 
4. This package does not contain SDK, merely providing technical support.</t>
  </si>
  <si>
    <t>AC Push SDK</t>
  </si>
  <si>
    <r>
      <rPr>
        <rFont val="Arial"/>
        <color rgb="FF000000"/>
        <sz val="10.0"/>
      </rPr>
      <t>AI AC PUSH SDK(include facial recognication api)
 (Does not include support).
One year free protocol upgrade.
Supported Hardware: FaceDepot-7A, FaceDepot-7B</t>
    </r>
    <r>
      <rPr>
        <rFont val="Arial"/>
        <color rgb="FF000000"/>
        <sz val="10.0"/>
      </rPr>
      <t>，</t>
    </r>
    <r>
      <rPr>
        <rFont val="Arial"/>
        <color rgb="FF000000"/>
        <sz val="10.0"/>
      </rPr>
      <t xml:space="preserve"> SpeedFace-V5, SpeedFace-H5
Remarks: This package do not include any technical support
This package includes one year free warranty and upgrade</t>
    </r>
  </si>
  <si>
    <t>None</t>
  </si>
  <si>
    <t>Standalone SDK
PULL SDK</t>
  </si>
  <si>
    <t>The Standalone SDK and PULL SDK are packed together.
User could download it from www.zkteco.com website, including following content:
1. user manual for development;
2. Demo and source code.</t>
  </si>
  <si>
    <t>TIME ATTENDANCE ACCESSORY</t>
  </si>
  <si>
    <t xml:space="preserve">T&amp;A Accessory </t>
  </si>
  <si>
    <t>8G USB Disk</t>
  </si>
  <si>
    <t xml:space="preserve">Color: 
    Standard: Red
    Optional (MOQ: 2000 pcs): White,  Black,  Silver. 
Logo:
    Standard: ZKTeco
    Support customize Logo (MOQ: 500 pcs,  Free)
    </t>
  </si>
  <si>
    <t>ZK8500R ID/IC card sender moudle</t>
  </si>
  <si>
    <t>ZK7600 Fingerprint Sensor</t>
  </si>
  <si>
    <t>Use for ZK8500</t>
  </si>
  <si>
    <t>iclock1000 main board/ID(A02)</t>
  </si>
  <si>
    <t>Use for iclock3000</t>
  </si>
  <si>
    <t>iclock1000 Keypad silicone</t>
  </si>
  <si>
    <t>iclock1000 Plastic keypad (13083)</t>
  </si>
  <si>
    <t>iclock660 GPRS Gland (140103)</t>
  </si>
  <si>
    <t>ICLOCK660_CAM2 Camera Module</t>
  </si>
  <si>
    <t>ICLOCK660 interface board</t>
  </si>
  <si>
    <t>FINGER LITE main board</t>
  </si>
  <si>
    <t>FINGER LITE-V1.6-151112</t>
  </si>
  <si>
    <t>X50 Keypad silicone</t>
  </si>
  <si>
    <t>Use for K40</t>
  </si>
  <si>
    <t>X50 Plastic keypad (13100)</t>
  </si>
  <si>
    <t>S60 Acrylic lens</t>
  </si>
  <si>
    <t>U100 main board (5V)/ID (A27)</t>
  </si>
  <si>
    <t>Use for UA200 (U100-V4.2-120320)</t>
  </si>
  <si>
    <t>UA200 Keypad silicone</t>
  </si>
  <si>
    <t>UA200 Acrylic lens</t>
  </si>
  <si>
    <t>3" TFT Acrylic lens</t>
  </si>
  <si>
    <t>UA200 Plastic keypad</t>
  </si>
  <si>
    <t>Use for UA200</t>
  </si>
  <si>
    <t>3" TFT Screen</t>
  </si>
  <si>
    <t>K68 light panel</t>
  </si>
  <si>
    <t>K88 Keyboard</t>
  </si>
  <si>
    <t>U900-C TFT Backplane</t>
  </si>
  <si>
    <t>iclock580 lens</t>
  </si>
  <si>
    <t>iclock880 camera panel</t>
  </si>
  <si>
    <t>iclock880 camera lens</t>
  </si>
  <si>
    <t>Other</t>
  </si>
  <si>
    <t>Thermal printer rollers</t>
  </si>
  <si>
    <t>MiFare Antenna</t>
  </si>
  <si>
    <t>All terminal</t>
  </si>
  <si>
    <t>ID Antenna</t>
  </si>
  <si>
    <t xml:space="preserve">TF1700 Mainboard /ID(A09)-VIP </t>
  </si>
  <si>
    <t>TF1700-V1.1-130410</t>
  </si>
  <si>
    <t>3" Touch Screen</t>
  </si>
  <si>
    <t>D37-S2929A-ABB (Resistance-type)
Dimension: 83.91*57.68*1.6mm</t>
  </si>
  <si>
    <t>ZEM800 Core-board</t>
  </si>
  <si>
    <t>ZEM800-V3.4-120829</t>
  </si>
  <si>
    <t>TFT600</t>
  </si>
  <si>
    <t>Black HG69504</t>
  </si>
  <si>
    <t>F10 Fingerprint sensor iron clip</t>
  </si>
  <si>
    <t>Cable</t>
  </si>
  <si>
    <t>FFC</t>
  </si>
  <si>
    <t>Flat cable - The cable for connect fingerprint sensor and core-board.</t>
  </si>
  <si>
    <t>Keypad board</t>
  </si>
  <si>
    <t>BZ600 Keypad board</t>
  </si>
  <si>
    <t>Keypad board - for BZ701/600</t>
  </si>
  <si>
    <t>Cover</t>
  </si>
  <si>
    <t>KP1510 back casing (ZKSM-10036)</t>
  </si>
  <si>
    <t>BZ701 back casing - for BZ701</t>
  </si>
  <si>
    <t>Panel</t>
  </si>
  <si>
    <t>KP1510 acrylic panel</t>
  </si>
  <si>
    <t>Front panel</t>
  </si>
  <si>
    <t>Paper cutting steel tooth</t>
  </si>
  <si>
    <t>Pressure paper roll with metalic support for printer door</t>
  </si>
  <si>
    <t>BZ600 print bar fulcrum (ZKSM-10042)</t>
  </si>
  <si>
    <t>Print bar fulcrum</t>
  </si>
  <si>
    <t>BZ400-USB board</t>
  </si>
  <si>
    <t>USB board</t>
  </si>
  <si>
    <t>Termianl Post</t>
  </si>
  <si>
    <t>Termianl Post for ZPAD</t>
  </si>
  <si>
    <t>Support</t>
  </si>
  <si>
    <t>Desk-top support for LX/K Series products (14096)</t>
  </si>
  <si>
    <t>ZK Optical Sensor</t>
  </si>
  <si>
    <t>SilkID Fingerprint Sensor</t>
  </si>
  <si>
    <t>ZK fingerprint for new firmware products(ZK2000EMC)</t>
  </si>
  <si>
    <t>ZK fingerprint for LX and K Series  products (ZK2650)</t>
  </si>
  <si>
    <t>ZK fingerprint for MB200 and MB300(ZK2651U)</t>
  </si>
  <si>
    <t>ZK fingerprint data collection sensor(0303EMC_B)</t>
  </si>
  <si>
    <t>BioID Fingerprint Sensor</t>
  </si>
  <si>
    <r>
      <rPr>
        <rFont val="Arial"/>
        <color rgb="FF000000"/>
        <sz val="10.0"/>
      </rPr>
      <t>ZK FingerPrint for most of T&amp;A Terminal</t>
    </r>
    <r>
      <rPr>
        <rFont val="Arial"/>
        <color rgb="FF000000"/>
        <sz val="10.0"/>
      </rPr>
      <t>（</t>
    </r>
    <r>
      <rPr>
        <rFont val="Arial"/>
        <color rgb="FF000000"/>
        <sz val="10.0"/>
      </rPr>
      <t>2750P</t>
    </r>
    <r>
      <rPr>
        <rFont val="Arial"/>
        <color rgb="FF000000"/>
        <sz val="10.0"/>
      </rPr>
      <t>）</t>
    </r>
  </si>
  <si>
    <t>Secugen Optical Sensor</t>
  </si>
  <si>
    <t>Secugen Optical Fingerprint Sensor(SDU03P)</t>
  </si>
  <si>
    <t xml:space="preserve">Display </t>
  </si>
  <si>
    <t>LCD</t>
  </si>
  <si>
    <t>Black &amp; White 4 lines Small LCD</t>
  </si>
  <si>
    <t>Black &amp; White 4 lines Big LCD</t>
  </si>
  <si>
    <t>Black &amp; White 2 lines Small LCD</t>
  </si>
  <si>
    <t>2.4” TFT Screen</t>
  </si>
  <si>
    <t>2.8” TFT Screen</t>
  </si>
  <si>
    <t>2.8” Touch Screen</t>
  </si>
  <si>
    <t>2.8”  for FV350 Serie</t>
  </si>
  <si>
    <t>3 inches Touch</t>
  </si>
  <si>
    <t>3 inches TFT</t>
  </si>
  <si>
    <t>3” TFT Screen</t>
  </si>
  <si>
    <t>3 inches Touch and TFT</t>
  </si>
  <si>
    <t>3”  for VF Series</t>
  </si>
  <si>
    <t>3.5 inches TFT</t>
  </si>
  <si>
    <t>3.5” TFT for iClock Series</t>
  </si>
  <si>
    <t>4.3 inches TFT</t>
  </si>
  <si>
    <t>4.3” TFT for iFace/uFace Series</t>
  </si>
  <si>
    <t>4.3 inches Touch</t>
  </si>
  <si>
    <t>4.3” Touch for iFace/uFace Series</t>
  </si>
  <si>
    <t>Touch Panel</t>
  </si>
  <si>
    <t>7inch touch panel(capacitive)</t>
  </si>
  <si>
    <t xml:space="preserve"> 7“ touch panel for biopad-CE</t>
  </si>
  <si>
    <t>Core Board</t>
  </si>
  <si>
    <t>ZMM228
Core Board</t>
  </si>
  <si>
    <r>
      <rPr>
        <rFont val="Arial"/>
        <color rgb="FF000000"/>
        <sz val="10.0"/>
      </rPr>
      <t>Used for b</t>
    </r>
    <r>
      <rPr>
        <rFont val="Arial"/>
        <color rgb="FF000000"/>
        <sz val="10.0"/>
      </rPr>
      <t>ig capacity device, 1G RAM</t>
    </r>
    <r>
      <rPr>
        <rFont val="Arial"/>
        <color rgb="FF000000"/>
        <sz val="10.0"/>
      </rPr>
      <t>，</t>
    </r>
    <r>
      <rPr>
        <rFont val="Arial"/>
        <color rgb="FF000000"/>
        <sz val="10.0"/>
      </rPr>
      <t>1G flash</t>
    </r>
  </si>
  <si>
    <t>ZEM500
Core Board</t>
  </si>
  <si>
    <t>ZK6001 CPU, 
4 M Flash,  16M SDRAM</t>
  </si>
  <si>
    <t>ZK6001 CPU, 
8M Flash,  32M SDRAM</t>
  </si>
  <si>
    <t>ZEM510
Core Board</t>
  </si>
  <si>
    <t>ZK6001 CPU, 
256M Flash,  32M SDRAM</t>
  </si>
  <si>
    <t>ZEM565                   Core Board</t>
  </si>
  <si>
    <t>ZEM600
Core Board</t>
  </si>
  <si>
    <t>Multi-Bio CPU, 
256M Flash,  64M SDRAM</t>
  </si>
  <si>
    <t>ZEM720(MA300)  Core Board</t>
  </si>
  <si>
    <t>Use for MA300/F18/F19</t>
  </si>
  <si>
    <t>ZEM800 Core Board</t>
  </si>
  <si>
    <t>64M</t>
  </si>
  <si>
    <t xml:space="preserve">128M </t>
  </si>
  <si>
    <t>ZEM810 Core Board</t>
  </si>
  <si>
    <t>128M</t>
  </si>
  <si>
    <t>ZMM100                  Core Board</t>
  </si>
  <si>
    <t>Use for new firmware device</t>
  </si>
  <si>
    <t>ZMM200 Core Board</t>
  </si>
  <si>
    <t>Use for new firmware device, 128M</t>
  </si>
  <si>
    <t>ZMM210                  Core Board</t>
  </si>
  <si>
    <t>Use for new firmware device, 64M</t>
  </si>
  <si>
    <t xml:space="preserve"> ZMM220 Core Board</t>
  </si>
  <si>
    <t>ZMM220 Core Board</t>
  </si>
  <si>
    <t>ZMM350 Core Board</t>
  </si>
  <si>
    <t>Use for Android device, 128M</t>
  </si>
  <si>
    <t>Main Board</t>
  </si>
  <si>
    <t>Used for H5/H6/H7/H8/H9</t>
  </si>
  <si>
    <t>Main Board  (X638)</t>
  </si>
  <si>
    <t>Used for
X628/X638/X628-T/T4/TK100/A7-C/A11-C/B3-C</t>
  </si>
  <si>
    <t>Main Board (U100)</t>
  </si>
  <si>
    <t>Used for U160/260/360, US100
iClock260/360/460/560/660, UA Series</t>
  </si>
  <si>
    <t>Main Board (iclock200)</t>
  </si>
  <si>
    <t>For iClock 480/580/680</t>
  </si>
  <si>
    <t>Main Board (iClock700)</t>
  </si>
  <si>
    <t>Used for iClock700</t>
  </si>
  <si>
    <t>Main Board (iClock880)</t>
  </si>
  <si>
    <t>Used for iClock880/iClock880-H</t>
  </si>
  <si>
    <t>Main Board (iClock990)</t>
  </si>
  <si>
    <t>Used for iClock990(include ID Card Moudle)</t>
  </si>
  <si>
    <t>Main Board (U990)</t>
  </si>
  <si>
    <t>Used for IN01/IN01-A/U990-C</t>
  </si>
  <si>
    <t>For iClock2000/3000 series</t>
  </si>
  <si>
    <t>Used for F7/707/708</t>
  </si>
  <si>
    <t>Used for SC series/
F702-S/F702-MS/FU702-S/F8/F8-T/FU-8</t>
  </si>
  <si>
    <t>Used for Biopad100</t>
  </si>
  <si>
    <t>Used for  S922</t>
  </si>
  <si>
    <t>Used for F16</t>
  </si>
  <si>
    <t>Used for MA300-IP65</t>
  </si>
  <si>
    <t>Main Board(US10)</t>
  </si>
  <si>
    <t>Used for US10C</t>
  </si>
  <si>
    <t>Used for US10   With Magnetic stripe cards</t>
  </si>
  <si>
    <t>Used for X7(ID)</t>
  </si>
  <si>
    <t xml:space="preserve">Used for LX series(with 2.8 inches TFT Screen) </t>
  </si>
  <si>
    <t>sed for H3</t>
  </si>
  <si>
    <r>
      <rPr>
        <rFont val="Arial"/>
        <color rgb="FF000000"/>
        <sz val="10.0"/>
      </rPr>
      <t xml:space="preserve">Used for K series </t>
    </r>
    <r>
      <rPr>
        <rFont val="Arial"/>
        <color rgb="FF000000"/>
        <sz val="10.0"/>
      </rPr>
      <t>（</t>
    </r>
    <r>
      <rPr>
        <rFont val="Arial"/>
        <color rgb="FF000000"/>
        <sz val="10.0"/>
      </rPr>
      <t>with 2.8 inch TFT Screen</t>
    </r>
    <r>
      <rPr>
        <rFont val="Arial"/>
        <color rgb="FF000000"/>
        <sz val="10.0"/>
      </rPr>
      <t>）</t>
    </r>
  </si>
  <si>
    <t>Used for KF100/KF200</t>
  </si>
  <si>
    <t>Used for MB200/MB300</t>
  </si>
  <si>
    <t>Used for new product MB500 /KF500</t>
  </si>
  <si>
    <t>Used for Zpad Series</t>
  </si>
  <si>
    <t>Used for SF100</t>
  </si>
  <si>
    <t>Used for SF200</t>
  </si>
  <si>
    <t>Used for SF300</t>
  </si>
  <si>
    <t>Used for TFT1600(ID)</t>
  </si>
  <si>
    <t>Used for MT100/PT100</t>
  </si>
  <si>
    <t>Used for MultiBIO700/FAC700</t>
  </si>
  <si>
    <t>Used for MA500</t>
  </si>
  <si>
    <t>Used for SC103/403/503</t>
  </si>
  <si>
    <t>Used for SCR100</t>
  </si>
  <si>
    <t>Used for SC700/SC700-T</t>
  </si>
  <si>
    <t>Used for FR1200</t>
  </si>
  <si>
    <t>Used for F18/F19</t>
  </si>
  <si>
    <t>PCB Board</t>
  </si>
  <si>
    <t>PCB  Board</t>
  </si>
  <si>
    <t>Fingerprint Sensor PCB Board</t>
  </si>
  <si>
    <t>0303EMC_B PCB Board</t>
  </si>
  <si>
    <t>ZK3300_C5515 PCB Board</t>
  </si>
  <si>
    <t>ZK2000EMC PCB Board</t>
  </si>
  <si>
    <t>Interface Board</t>
  </si>
  <si>
    <t>Keypad Board</t>
  </si>
  <si>
    <t>Keypad PCB Board</t>
  </si>
  <si>
    <t>Keypad PCB Board  for S922</t>
  </si>
  <si>
    <t>MultiBio 700 TFT Back Board</t>
  </si>
  <si>
    <t xml:space="preserve">Back Board  for MultiBio 700 </t>
  </si>
  <si>
    <t>Light  Board</t>
  </si>
  <si>
    <t>Light Board</t>
  </si>
  <si>
    <t>Board for light</t>
  </si>
  <si>
    <t>Keypad Buttons</t>
  </si>
  <si>
    <t xml:space="preserve">Plastic Keypad Buttons </t>
  </si>
  <si>
    <t>Module</t>
  </si>
  <si>
    <t>ZEM10 Fingerprint Module</t>
  </si>
  <si>
    <t>ID card Module
and Antenna</t>
  </si>
  <si>
    <t>125 KHz ID Card Reader</t>
  </si>
  <si>
    <t>Mifare card Module and Antenna</t>
  </si>
  <si>
    <t>13.56 MHz Mifare One Card
Reader</t>
  </si>
  <si>
    <t>HID Proximity Module and Antenna</t>
  </si>
  <si>
    <t>WiFi Module</t>
  </si>
  <si>
    <t>USB Wi-Fi Module</t>
  </si>
  <si>
    <t>iClock/U/S/X series
IN01/02</t>
  </si>
  <si>
    <t>Wi-Fi Module IC</t>
  </si>
  <si>
    <t>uFace/SpeedFace/FaceDepot/Palm series,
IN05, F22</t>
  </si>
  <si>
    <t>D / WL series</t>
  </si>
  <si>
    <t>3G  Module</t>
  </si>
  <si>
    <t>HUAWEI (MU709s-6)</t>
  </si>
  <si>
    <t>Antenna</t>
  </si>
  <si>
    <t>Antenna for GPRS  Module</t>
  </si>
  <si>
    <t>Antenna for WiFi Module</t>
  </si>
  <si>
    <t>Antenna for3G Module</t>
  </si>
  <si>
    <t>Camera Module</t>
  </si>
  <si>
    <t>For fingerprint device like iClock series</t>
  </si>
  <si>
    <t>Camera module for MultiBio 700</t>
  </si>
  <si>
    <t>For Face device like KF100/200, MB200/300</t>
  </si>
  <si>
    <t>Flexible Flat Cable</t>
  </si>
  <si>
    <t>RS485 Serial Port</t>
  </si>
  <si>
    <t>RS485 Communication for
fingerprint product &amp; PC</t>
  </si>
  <si>
    <t>RS485 Convertor</t>
  </si>
  <si>
    <t>PC Port Convertor when applying RS485 Communication</t>
  </si>
  <si>
    <t>RS232
Communication
Line</t>
  </si>
  <si>
    <t>COM port for fingerprint product &amp; PC</t>
  </si>
  <si>
    <t>Modem Communication line</t>
  </si>
  <si>
    <t>Connection Line for fingerprint
product &amp; Modem</t>
  </si>
  <si>
    <t xml:space="preserve">Printer </t>
  </si>
  <si>
    <t>Use for LP400</t>
  </si>
  <si>
    <t>Printer Communication line</t>
  </si>
  <si>
    <t>Connection line for fingerprint
product &amp; printer</t>
  </si>
  <si>
    <t>FFC Line</t>
  </si>
  <si>
    <t>Lines in the machines</t>
  </si>
  <si>
    <t>Lines in the  machines, with new GPRS, 3G main board</t>
  </si>
  <si>
    <t>two plug wires</t>
  </si>
  <si>
    <t>Light</t>
  </si>
  <si>
    <t>LED</t>
  </si>
  <si>
    <t>LED Indicator for Single-Color, 
Double-Color,  or Three-Color</t>
  </si>
  <si>
    <t>Lamp</t>
  </si>
  <si>
    <t>Lamps for iFace KF100/200, MB200/300 Series</t>
  </si>
  <si>
    <t>Lamps for uFace Series.4.3" Touch Screen</t>
  </si>
  <si>
    <t>Lamps for VF Series</t>
  </si>
  <si>
    <t>Line</t>
  </si>
  <si>
    <t>Access control</t>
  </si>
  <si>
    <t>Line for Access Control, 1P to 5P</t>
  </si>
  <si>
    <t>Line for Access Control, 6P to 13P</t>
  </si>
  <si>
    <t>USB Cable</t>
  </si>
  <si>
    <t>Mini USB Cable</t>
  </si>
  <si>
    <t xml:space="preserve"> USB Cable for Time Attendance device(1.5M)</t>
  </si>
  <si>
    <t>Network Line</t>
  </si>
  <si>
    <t>1.5M Network Parallel Line</t>
  </si>
  <si>
    <t xml:space="preserve">8P connector to Network </t>
  </si>
  <si>
    <t>AC Adapter Line</t>
  </si>
  <si>
    <t>Screws</t>
  </si>
  <si>
    <t>Screws for Install</t>
  </si>
  <si>
    <t>Rubber Caps</t>
  </si>
  <si>
    <t>for Screws holders</t>
  </si>
  <si>
    <t>Screw Driver</t>
  </si>
  <si>
    <t>Star-shape Screw Driver</t>
  </si>
  <si>
    <t>Interface</t>
  </si>
  <si>
    <t>Entrance guard terminal</t>
  </si>
  <si>
    <t>AC Adapter</t>
  </si>
  <si>
    <t>ZK-POE(5V)</t>
  </si>
  <si>
    <t>POE Converter,  5V</t>
  </si>
  <si>
    <t>ZK-POE(12V)</t>
  </si>
  <si>
    <t>POE Converter,  12V</t>
  </si>
  <si>
    <t>Internal Battery</t>
  </si>
  <si>
    <t>Back-up Battery</t>
  </si>
  <si>
    <t>Mini UPS(5V/12V)</t>
  </si>
  <si>
    <t>AC Adapter in case of current-cut</t>
  </si>
  <si>
    <t>CR1220 Battery</t>
  </si>
  <si>
    <t>Battery</t>
  </si>
  <si>
    <t>Used for H3</t>
  </si>
  <si>
    <t>Used for K20/30/40</t>
  </si>
  <si>
    <t>Internal Battery For S922</t>
  </si>
  <si>
    <t>Back-up Battery for S922</t>
  </si>
  <si>
    <t>5V/12V DC
AC Adapter</t>
  </si>
  <si>
    <t>5V 2A or 12V 1.5A for
Fingerprint Device</t>
  </si>
  <si>
    <t>12V DC AC Adapter</t>
  </si>
  <si>
    <t>Directly supply 12V 3A AC Adapter to
the fingerprint machine</t>
  </si>
  <si>
    <t>U.K. Plug</t>
  </si>
  <si>
    <t>Only one type</t>
  </si>
  <si>
    <t>U.S.A. Plug</t>
  </si>
  <si>
    <t>Others</t>
  </si>
  <si>
    <t>MCU</t>
  </si>
  <si>
    <t>Micro controller unit</t>
  </si>
  <si>
    <t>Speaker</t>
  </si>
  <si>
    <t>Voice Prompt Speaker for Device</t>
  </si>
  <si>
    <t>Wireless Doorbell</t>
  </si>
  <si>
    <t>No need of place lines &amp;
excavate holes in wall,  you can
use after installing</t>
  </si>
  <si>
    <t>SD Card</t>
  </si>
  <si>
    <t>2G SD Card</t>
  </si>
  <si>
    <t>labels</t>
  </si>
  <si>
    <t>Use for all Products</t>
  </si>
  <si>
    <t>Thermal Printing Paper
(57*50)</t>
  </si>
  <si>
    <t>Printing paper use for LP400</t>
  </si>
  <si>
    <t>Mounting Plate</t>
  </si>
  <si>
    <t>Metallic or Plastic Mount Plate
for All of Time Attendance Products</t>
  </si>
  <si>
    <t>Metallic Mount Plate for All of
Access Control Products</t>
  </si>
  <si>
    <t>Protection Cover for device</t>
  </si>
  <si>
    <t>TABox 01
(Old Name: Z618U100)</t>
  </si>
  <si>
    <t>Metallic Cover for X618,  X628,  X638,  U160,  iclock360</t>
  </si>
  <si>
    <t>TABox 02
(Old Name: ZU260)</t>
  </si>
  <si>
    <t>Metallic Cover for U260,  iClock260</t>
  </si>
  <si>
    <t>Acbox01
(Old Name: MF7)</t>
  </si>
  <si>
    <t>Metallic Cover for F7,  F708</t>
  </si>
  <si>
    <t>Acbox03
(Old Name: MF2)</t>
  </si>
  <si>
    <t>Metallic Cover for F703-S,  F702-S</t>
  </si>
  <si>
    <t>Acbox02
(Old Name: ZF8)</t>
  </si>
  <si>
    <t>Metallic Cover for F8</t>
  </si>
  <si>
    <t>TABox 03
(Old Name: uFace302 Metallic Cover)</t>
  </si>
  <si>
    <t>Metallic Cover for uFace302</t>
  </si>
  <si>
    <t>TABox 28</t>
  </si>
  <si>
    <t>Metallic Cover for SFace900</t>
  </si>
  <si>
    <t>X628 Acrylic Cover</t>
  </si>
  <si>
    <t>Plastic Cover for X628</t>
  </si>
  <si>
    <t>TABox 10
(Old Naem: UA200 Acrylic Cover)</t>
  </si>
  <si>
    <t>Plastic Cover for UA200</t>
  </si>
  <si>
    <t>TABox 09
(Old Name: UA100 Acrylic Cover)</t>
  </si>
  <si>
    <t>Plastic Cover for UA100</t>
  </si>
  <si>
    <t>TABox 07
(Old Name: IN01-A Acrylic Cover)</t>
  </si>
  <si>
    <t>Plastic Cover for IN01-A</t>
  </si>
  <si>
    <t>T4  Acrylic Cover</t>
  </si>
  <si>
    <t>Plastic Cover for T4</t>
  </si>
  <si>
    <t>IN01 Metallic Cover</t>
  </si>
  <si>
    <t>Metallic Cover for IN01-A.IN01</t>
  </si>
  <si>
    <t>TABox 13
(Old Name: VF700 Metallic Cover)</t>
  </si>
  <si>
    <t>Metallic Cover for VF700</t>
  </si>
  <si>
    <t>TABox 14
(Old Name: Biopad100 Metallic Cover)</t>
  </si>
  <si>
    <t>Metallic Cover for Biopad100</t>
  </si>
  <si>
    <t>TABox 16
(Old Name: iClock660 Metallic Cover (Water-proof))</t>
  </si>
  <si>
    <t>Metallic Cover for iClock660</t>
  </si>
  <si>
    <t>TABox 17
(Old Name: uFace302 Acrylic Cover)</t>
  </si>
  <si>
    <t>Plastic Cover for uFace302</t>
  </si>
  <si>
    <t>TABox 18
(Old Name: Biopad100 Acrylic Cover)</t>
  </si>
  <si>
    <t>Plastic Cover for Biopad100</t>
  </si>
  <si>
    <t>TABox 15
(Old Name: iClock660 Metallic Cover)</t>
  </si>
  <si>
    <t>TABox 19
(Old Name: iClock680 Acrylic Cover)</t>
  </si>
  <si>
    <t>Plastic Cover for iClock680</t>
  </si>
  <si>
    <t>TABox 04</t>
  </si>
  <si>
    <t>Metallic Cover for IN04</t>
  </si>
  <si>
    <t>TABox 05</t>
  </si>
  <si>
    <t>Metallic Cover foriClock360(have keypad hold for F1-F8)</t>
  </si>
  <si>
    <t>TABox 06</t>
  </si>
  <si>
    <t>Plastic Cover for T5</t>
  </si>
  <si>
    <t>TABox 08</t>
  </si>
  <si>
    <t>Plastic Cover for iClock880</t>
  </si>
  <si>
    <t>TABox 11</t>
  </si>
  <si>
    <t>Plastic Cover for K14</t>
  </si>
  <si>
    <t>TABox 12</t>
  </si>
  <si>
    <t>Plastic Cover for iclock680</t>
  </si>
  <si>
    <t>TABox 20</t>
  </si>
  <si>
    <t>Metallic Cover for IN01</t>
  </si>
  <si>
    <t>Acbox04</t>
  </si>
  <si>
    <t>Plastic Cover for CS700</t>
  </si>
  <si>
    <t>T&amp;A Accessory</t>
  </si>
  <si>
    <t>TABox 24</t>
  </si>
  <si>
    <t>Metallic Cover for G3</t>
  </si>
  <si>
    <t>TABox 25</t>
  </si>
  <si>
    <t>Metallic Cover for uFace402/602/800</t>
  </si>
  <si>
    <t>A&amp;C DEVICE</t>
  </si>
  <si>
    <t>Extension Board</t>
  </si>
  <si>
    <t>none</t>
  </si>
  <si>
    <t>EX0808</t>
  </si>
  <si>
    <t>Aux Input: 8
Aux Output Relay: 8
Communication: RS485 and OSDP
Baud Rate for RS-485/OSDP: 9600 bps
RS485/OSDP address: Set by DIP switch
Dimension (LxH): 6.29 in. x 4.17 in.
Net Weight: 0.44 lbs.
Consumption: 3.6W @ 12V DC 300mA 
AC Adapter: 12V DC 300mA
Operating Temperature: 32-113F
Operating Humidity: 20% to 80%
Output Relay: 3Form-C Relays-SPDT 5A@ 30V DC or 10A @ 30V AC</t>
  </si>
  <si>
    <t>Visible Light Face Device</t>
  </si>
  <si>
    <t>SpeedFace-V4L</t>
  </si>
  <si>
    <t>"Display: 4"" LCD Color Touch Screen
Face Capacity:1,000(Optional:2,000)
Palm Capacity: 1,000
Card Capacity: 1,000(Optional:2,000)
Transaction Capacity: 150, 000
Memory: 512MB RAM / 512MB Flash
Communication: TCP/IP, WiFi（optional)
Wiegand input / output, RS485
AC Adapter: DC12V 3A
Operating Temperature: 0 °C- 45 °C
Operating Humidity: 10%-90%
Standard Functions：ADMS, T9 Input, DST,
Camera, 9-digit User ID, Access Levels,
Groups, Holidays, Anti-passback, Record
Query, Tamper Switch Alarm, Multiple Verify
Modes
Access Control Interface: 3rd Party Electric
Lock, Door Sensor, Exit Button, Alarm output,
Auxiliary Input
Optional：ID, MF, Video intercom; WiFi;
Cable box; HID;Felica
SDK: Access Control PUSH SDK
Software: ZKBio CVAccess"</t>
  </si>
  <si>
    <t>4 inch Touch TFT</t>
  </si>
  <si>
    <t>SpeedFace-V4LM1</t>
  </si>
  <si>
    <t>Display: 4" LCD Color Touch Screen
Face Capacity: 800
Palm Capacity: 800
Card Capacity: 1,000
Transaction Capacity: 150, 000
Memory: 512MB RAM / 512MB Flash
Communication: TCP/IP,WIFI, Wiegand input / output, RS485
AC Adapter: DC12V 3A
Operating Temperature: 0 °C- 45 °C
Operating Humidity: 10%-90%
Standard Functions：ID Card, ADMS, T9 Input, DST, Camera, 9-digit User ID, Access Levels, Groups, Holidays, Anti-passback, Record Query, Tamper Switch Alarm, Multiple Verify Modes,Palm Recognition, Wired doorbell, RS485 card reader
Access Control Interface: 3rd Party Electric Lock, Door Sensor, Exit Button, Alarm output, Auxiliary Input
Optional：QR code(Free),Mask detection(Free),
MF（+12USD),HID(50USD),Fellica(40USD),WIFI(5USD),
Video intercom(5USD)
SDK: Access Control PUSH SDK
Software: ZKBioAccess</t>
  </si>
  <si>
    <t>SpeedFace-V5L[QR]</t>
  </si>
  <si>
    <t>Display: 5" LCD Color Touch Screen
Face Capacity: 6,000(1:N)
Palm Capacity: 3,000
Card Capacity(Optional): 10,000
Transaction Capacity: 200, 000
Memory: 1G RAM / 8G ROM
QR Sensor:QR Code, PDF417,Data  Matrix,MicroPDF417,Aztec
Communication: TCP/IP, WIFI(Optional), RS485
AC Adapter: 12V DC,  3A
Operating Temperature: 0 °C- 45 °C
Operating Humidity: 10%-90%
Standard Functions：ID Card, ADMS, T9 Input, DST, Camera, 9 Digit user ID, Record Query, Holiday, Access Levels, Groups, Anti-Passback, Holidays, Tamper Switch Alarm, Multiple Verify Mode
Access Control Interface: Lock，Sensor，Alarm，Exit Button，Aux Input/Output
Optional： WIFI（+5USD），MF（+12USD）
SDK: Access Control PUSH SDK
Software: ZKBioAccess/ZKBioSecurity</t>
  </si>
  <si>
    <t>5 inch Touch TFT</t>
  </si>
  <si>
    <t>SpeedFace-V5L</t>
  </si>
  <si>
    <t>Display: 5" LCD Color Touch Screen
Face Capacity: 6,000(1:N)
FingerPrint Capacity:6,000 (10,000optional)
Card Capacity(Optional): 10,000
Transaction Capacity: 200, 000
Memory: 512M RAM / 8G ROM
Communication: TCP/IP, WIFI(Optional), RS485
AC Adapter: 12V DC,  3A
Operating Temperature: 0 °C- 45 °C
Operating Humidity: 10%-90%
Standard Functions: ID Card, ADMS, T9 Input, DST, Camera, 9 Digit user ID, Record Query, Holiday, Access Levels, Groups, Anti-Passback, Holidays, Tamper Switch Alarm, Multiple Verify Mode
Access Control Interface: Lock，Sensor，Alarm，Exit Button，Aux Input/Output
Optional： WIFI（+5USD），MF（+12USD）, Video intercom（+5USD）
SDK: Access Control PUSH SDK
Software: ZKBioAccess/ZKBioSecurity</t>
  </si>
  <si>
    <t>Visible Light Face/Palm Device</t>
  </si>
  <si>
    <t>SpeedFace-V5L[P]</t>
  </si>
  <si>
    <t>Display: 5" LCD Color Touch Screen
Face Capacity: 6,000(1:N)
Palm Capacity: 3,000
FingerPrint Capacity:6,000 (10,000optional)
Card Capacity(Optional): 10,000
Transaction Capacity: 200, 000
Memory: 512M RAM / 8G ROM
Communication: TCP/IP, WIFI(Optional), RS485
AC Adapter: 12V DC,  3A
Operating Temperature: 0 °C- 45 °C
Operating Humidity: 10%-90%
Standard Functions：ID Card, ADMS, T9 Input, DST, Camera, 9 Digit user ID, Record Query, Holiday, Access Levels, Groups, Anti-Passback, Holidays, Tamper Switch Alarm, Multiple Verify Mode
Access Control Interface: Lock，Sensor，Alarm，Exit Button，Aux Input/Output
Optional： WIFI（+5USD），MF（+12USD）
SDK: Access Control PUSH SDK
Software: ZKBioAccess/ZKBioSecurity</t>
  </si>
  <si>
    <t>Visible Light Face/Palm/Card Device</t>
  </si>
  <si>
    <t>SpeedFace-V5L-RFID</t>
  </si>
  <si>
    <t>Visible Light Face/Card/Palm Terminal
Face Capacity: 6,000(1:N)
Palm Capacity: 3,000(1:N)
Card Capacity:10,000（ID Standard）
Transaction Capacity: 200, 000
Memory: 512M RAM / 8G ROM
Communication: TCP/IP, WIFI(Optional), RS485
Standard Functions：ADMS, T9 Input, DST, Camera, 9 Digit user ID, Record Query, Holiday, Access Levels, Groups, Anti-Passback, Holidays, Tamper Switch Alarm, Multiple Verify Mode
Access Control Interface: Lock，Sensor，Alarm，Exit Button，Aux Input/Output
Optional： WIFI（+5USD）/MF(+10USB)
ZKTeco Logo Standard
Blank  Logo Optional</t>
  </si>
  <si>
    <t>SpeedFace M1</t>
  </si>
  <si>
    <t>Display: 5" LCD Color Touch Screen
Face Capacity: 6,000(1:N)
Palm Capacity: 3,000
Card Capacity: 10,000
Transaction Capacity: 200, 000
Memory: 512M RAM / 8G ROM
Communication: TCP/IP, WIFI(Optional), RS485, Wiegand input/output
AC Adapter: 12V DC,  3A
Operating Temperature: 0 °C- 45 °C
Operating Humidity: 20%-80%
Standard Functions：ID Card ,ADMS, T9 Input, DST, Camera, 9-digit User ID, Acess Levels, Groups, Anti- passback, Record Query, Tamper Switch, Alarm, Multiple Verify Modes
Access Control Interface: 3rd Party Electric Lock, Door Sensor,Exit Button, Alarm output, Auxiliary Input
Optional： WIFI（+5USD），IC Card（+12USD）
SDK: Access Control PUSH SDK
Software: ZKBioAccess/ZKBioSecurity</t>
  </si>
  <si>
    <t>5inch Touch TFT</t>
  </si>
  <si>
    <t>SpeedFace M2</t>
  </si>
  <si>
    <t>SpeedFace M3</t>
  </si>
  <si>
    <t>Display: 5" LCD Color Touch Screen
Face Capacity: 6,000(1:N)
Card Capacity: 10,000(Optional 30,000)
Palm：N/A
Waterproof：IP65
Transaction Capacity: 1,000, 000
Memory: 512M RAM / 8G ROM
Communication: TCP/IP, WIFI, RS485,RS232, Wiegand input/output
AC Adapter: 12V DC, 3A
Operating Temperature: -10°C ~ 45°C
Operating Humidity: 10% ~ 90%
Standard Functions：ID Card, ADMS, T9 Input, DST, Camera, 9-digit User ID, Access Levels, Groups, 
Holidays, Anti-passback, Record Query, Tamper Switch Alarm, Multiple Verification Methods, External Print
Access Control Interface:3rd-party Electric Lock, Door Sensor, Exit Button, Alarm Output, Aux Input 
Optional：IC Card（+12USD）, HID Card（+45USD）
SDK: Access Control PUSH SDK
Software: ZKBioAccess IVS</t>
  </si>
  <si>
    <t>SpeedFace M4</t>
  </si>
  <si>
    <t>Display:5" Touch Screen
Face Capacity:6,000
Palm Capacity:3,000
User Capacity: 10,000
Transaction Capacity: 200, 000
Memory: 1GB RAM / 8GB Flash
Communication: TCP/IP, Wiegand Input / Output, Wi-Fi(Optional), RS485
Power Supply: DC 12V 3A
Operating Temperature: -30°C to 60°C
Operating Humidity:10% to 90%
Standard Functions: ID Card, ADMS, DNS, T9 Input, DST, Camera, 9-digit User ID, Advance Access Control, Groups, Holidays, Anti-passback, Record Query, Tamper Switch Alarm, Bell Scheduling
Optional Function:IC / HID / iClass / Felica / Desfire EV1 / EV2/ Legic, POE
Access Control Interface: 3rd-party Electric Lock, Door Sensor, Exit Button, Alarm Output, Aux. Input 
SDK: AC PUSH SDK
Protection Level：IP66
Software: ZKBioAccess IVS
ZK Logo Standard</t>
  </si>
  <si>
    <t>SpeedFace-H5L</t>
  </si>
  <si>
    <t>Display: 5" LCD Color Touch Screen
Face Capacity: 6,000(1:N)
FingerPrint Capacity:6,000 (10,000optional)
Card Capacity (ID standard）: 10,000
Transaction Capacity: 200, 000
Memory: 512M RAM / 8G ROM
Communication: TCP/IP, WIFI(Optional), RS485
AC Adapter: 12V DC,  3A
Operating Temperature: 0 °C- 45 °C
Operating Humidity: 10%-90%
Standard Functions：ID,ADMS, T9 Input, DST, Camera, 9 Digit user ID, Record Query, Holiday, Access Levels, Groups, Anti-Passback, Holidays, Tamper Switch Alarm, Multiple Verify Mode
Access Control Interface: Lock，Sensor，Alarm，Exit Button，Aux Input/Output
Optional： WIFI (+5USD)，MF (+12USD)
SDK: Access Control PUSH SDK
Software: ZKBioAccess/ZKBioSecurity</t>
  </si>
  <si>
    <t>SpeedFace-H5L[P]</t>
  </si>
  <si>
    <t>Display: 5" LCD Color Touch Screen
Face Capacity: 6,000(1:N)
Palm Capacity: 3,000
FingerPrint Capacity:6,000 (10,000optional)
Card Capacity (ID standard）: 10,000
Transaction Capacity: 200, 000
Memory: 512M RAM / 8G ROM
Communication: TCP/IP, WIFI(Optional), RS485
AC Adapter: 12V DC,  3A
Operating Temperature: 0 °C- 45 °C
Operating Humidity: 10%-90%
Standard Functions：ID,ADMS, T9 Input, DST, Camera, 9 Digit user ID, Record Query, Holiday, Access Levels, Groups, Anti-Passback, Holidays, Tamper Switch Alarm, Multiple Verify Mode
Access Control Interface: Lock，Sensor，Alarm，Exit Button，Aux Input/Output
Optional： WIFI (+5USD)，MF (+12USD)
SDK: Access Control PUSH SDK
Software: ZKBioAccess/ZKBioSecurity</t>
  </si>
  <si>
    <t>SpeedFace-H5</t>
  </si>
  <si>
    <t>Display: 5" LCD Color Touch Screen
Face Capacity: 6,000(1:N)
FingerPrint Capacity:10,000
RFID Capacity:10,000
Transaction Capacity: 200, 000 Transactions
Memory: 2G RAM / 16G ROM
Communication: RS485, RS232, TCP/IP
AC Adapter: 12V DC,  3A
Operating Temperature: 0 °C- 45 °C
Operating Humidity: 10%-90%
Standard Functions：Advance access controll，Lock，Sensor，Alarm，Exit Button，Aux Input
Optional： WIFI（5USD），MF（20USD）
SDK: AI PUSH SDK
Software: ZKBioAccess</t>
  </si>
  <si>
    <t>5" Color Touch Screen</t>
  </si>
  <si>
    <t>SpeedFace-V5</t>
  </si>
  <si>
    <t>Display: 5" LCD Color Touch Screen
Face Capacity: 6,000(1:N)
FingerPrint Capacity:10,000
RFID Capacity(Optional):10,000
Transaction Capacity: 200, 000 Transactions
Memory: 2G RAM / 16G ROM
Communication: RS485, RS232, TCP/IP
AC Adapter: 12V DC,  3A
Operating Temperature: 0 °C- 45 °C
Operating Humidity: 10%-90%
Standard Functions：Advance access controll，Lock，Sensor，Alarm，Exit Button，Aux Input
Optional： WIFI（5USD），MF（20USD）,ID(6USD)
SDK: AI PUSH SDK
Software: ZKBioAccess</t>
  </si>
  <si>
    <t>FaceDepot-7B</t>
  </si>
  <si>
    <t>Display: 7" LCD Color Touch Screen
Face Capacity: 10,000(1:N)
FingerPrint Capacity(Optional):10,000
RFID Capacity(Optional):10,000
Transaction Capacity: 200, 000 Transactions
Memory: 2G RAM / 16G ROM
Communication: RS485, RS232, TCP/IP
AC Adapter: 12V DC,  3A
Operating Temperature: 0 °C- 45 °C
Operating Humidity: 10%-90%
Standard Functions：Advance access controll，Lock，Sensor，Alarm，Exit Button，Aux Input
Optional： WIFI（5USD），MF, EM, FingerPrint
SDK: AI PUSH SDK
Wall mounting installation 
Software: ZKBioAccess,ZKBioSecurity</t>
  </si>
  <si>
    <t>7" Color Touch Screen</t>
  </si>
  <si>
    <t>FaceDepot-7B(CH)</t>
  </si>
  <si>
    <t>Display: 7" LCD Color Touch Screen
Face Capacity: 10,000(1:N)
Transaction Capacity: 200, 000 Transactions
Memory: 2G RAM / 16G ROM
Communication: RS485, RS232, TCP/IP
AC Adapter: 12V DC,  3A
Operating Temperature: 0 °C- 45 °C
Operating Humidity: 10%-90%
Standard Functions：Advance access controll，Lock，Sensor，Alarm，Exit Button，Aux Input
Optional： WIFI（5USD）
SDK: AI PUSH SDK
Barrier/stand installation 
Software: ZKBioAccess,ZKBioSecurity</t>
  </si>
  <si>
    <t>FaceDepot-7B(WP)</t>
  </si>
  <si>
    <t>Base on FaceDepot-7B(CH), IP65 waterproof version
Including barrier bracket</t>
  </si>
  <si>
    <t>FaceDepot-7BL</t>
  </si>
  <si>
    <t>Display: 7" LCD Color Touch Screen
Face Capacity: 10,000(1:N)
FingerPrint Capacity(Optional):10,000
RFID Capacity(Optional):10,000
Transaction Capacity: 200, 000 Transactions
Memory: 512MB RAM / 8G Flash;
Communication:TCP/IP WiFi (Optional), Wiegand input / output, RS485
AC Adapter: 12V DC,  3A
Operating Temperature: 0 °C- 45 °C
Operating Humidity: 20%-80%
Standard Functions：Advance access controll，Lock，Sensor，Alarm，Exit Button，Aux Input
Optional： WIFI（5USD），MF, EM, FingerPrint
SDK: PUSH SDK
Wall mounting installation 
Software: ZKBioAccess,ZKBioSecurity</t>
  </si>
  <si>
    <t>FaceDepot-7BL(CH)</t>
  </si>
  <si>
    <t>Display: 7" LCD Color Touch Screen
Face Capacity: 10,000(1:N)
Transaction Capacity: 200, 000 Transactions
Memory: 512MB RAM / 8G Flash;
Communication:TCP/IP WiFi (Optional), Wiegand input / output, RS485
AC Adapter: 12V DC,  3A
Operating Temperature: 0 °C- 45 °C
Operating Humidity: 20%-80%
Standard Functions：Advance access controll，Lock，Sensor，Alarm，Exit Button，Aux Input
Optional： WIFI（5USD）
SDK: PUSH SDK
Barrier/stand installation 
Software: ZKBioAccess,ZKBioSecurity</t>
  </si>
  <si>
    <t>FaceDepot-7BL(WP)</t>
  </si>
  <si>
    <t>Base on FaceDepot-7BL(CH), IP65 waterproof version
Including barrier bracket</t>
  </si>
  <si>
    <t>LockPad-7B</t>
  </si>
  <si>
    <t>Display: 7" LCD Color Touch Screen
Face Capacity: 10,000(1:N)
RFID Capacity(Optional):10,000
Transaction Capacity: 200, 000 Transactions
Memory: 2G RAM / 16G ROM
Communication: RS485 USB
AC Adapter: 12V DC,  3A
Operating Temperature: 0 °C- 45 °C
Operating Humidity: 10%-90%
Work with max 8 lock control boards to mananage 96 locks</t>
  </si>
  <si>
    <t>FaceDepot-7A</t>
  </si>
  <si>
    <t>Display: 7" LCD Color Screen(1024*600 Pixel) 
Face Capacity: 10,000(1:N)
RFID Capacity:10,000(Optional EM &amp; MF)
Transaction Capacity: 100, 000 Transactions
Memory: 2G RAM / 16G ROM
Communication: RS485, RS232, TCP/IP,  2ch USB, Wiegand Input/Output
Access Control Interface: 2ch Relay
AC Adapter: 12V DC,  3A
Operating Temperature: 0 °C- 45 °C
Operating Humidity: 10%-90%
Standard Functions：Advance access controll，Lock，Sensor，Alarm，Exit Button，Aux Input
Optional: WIFI, EM, MF
SDK: AI PUSH SDK
Software: ZKBioSecurity3.0/ZKBioAccess
Distance Sensor</t>
  </si>
  <si>
    <t xml:space="preserve">7" Color Screen </t>
  </si>
  <si>
    <t>AC</t>
  </si>
  <si>
    <t>RevFace15</t>
  </si>
  <si>
    <t>Display:7" Touch Screen
Face Capacity: 10,000
User Capacity: 10,000
Transaction Capacity: 200, 000
Memory: 1GB RAM / 8GB Flash
Communication: TCP/IP, Wiegand Input / Output, Wi-Fi, RS485 / RS232
Power Supply: DC 12V 3A
Operating Temperature: -20°C- 45 °C
Operating Humidity: 0%-90%
Standard Functions: WebServer, ADMS, T9 Input, DST, Camera, 9-digit User ID, Access Levels, Groups, Holidays, 
Anti-passback, Record Query, Tamper Switch Alarm
Access Control Interface: 3rd-Party Electric Lock, Door Sensor, Exit Button, Alarm output, Auxiliary Input
Specia Functions:IP65 / Multi-face Verification / Mask Detection
SDK: AC PUSH SDK
Software: ZKBioAccess IVS
ZK Logo Standard</t>
  </si>
  <si>
    <t>7" Touch Screen</t>
  </si>
  <si>
    <t>Face A&amp;C Device</t>
  </si>
  <si>
    <t>MultiBio 800-H</t>
  </si>
  <si>
    <t>Display: 2.8 inch TFT LCD Color Screen (keypad)
Face Capacity: 1500(1:N) 4000(1:1)
Fingerprint Capacity: 4000 Templates
Card Capacity: 10, 000(Optional) ID/Mifare or HID card
Transaction Capacity: 100, 000 Transactions
Algorithm Version: ZKFinger VX10.0 &amp; ZKFace VX7.0
Communication: RS485,  TCP/IP,  USB-host
Access Control Interface: 3rd Party Electric Lock,  Door Sensor,  Exit Button,  Alarm,  Doorbell,  Wiegand In/Out
Aux. Input:1ea for linkage function
Standard Function: DST,  Automatic Status Switch,  Anti-passback,  Scheduled-Bell
AC Adapter: 12V DC,  3A
Operating Temperature: 0 °C- 45 °C
Operating Humidity: 20%-80%
SDK: Standalone SDK
Software: ZKAccess3.5</t>
  </si>
  <si>
    <t>2.8-inch TFT</t>
  </si>
  <si>
    <t>MultiBio 800</t>
  </si>
  <si>
    <t>Display: 2.8 inch TFT LCD Color Screen (keypad)
Face Capacity: 400 Face
Fingerprint Capacity:1000 Templates
Transaction Capacity: 100, 000 Transactions
Algorithm Version: ZKFinger VX10.0 &amp; ZKFace VX7.0
Communication: RS485,  TCP/IP,  USB-host
Access Control Interface: 3rd Party Electric Lock,  Door Sensor,  Exit Button,  Alarm,  Doorbell,  Wiegand In/Out
Aux. Input:1ea for linkage function
Standard Function: DST,  Automatic Status Switch,  Anti-passback,  Scheduled-Bell,  PhotoID
AC Adapter: 12V DC,  3A
Operating Temperature: 0 °C- 45 °C
Operating Humidity: 20%-80%
SDK: Standalone SDK
Software: ZKAccess3.5</t>
  </si>
  <si>
    <t>MultiBio 800[ID]</t>
  </si>
  <si>
    <t>~3000 fingerprint templatates capacity
~1500 face capacity
~10,000 card capacity
~100,000 transaction logs capacity
~bulit-in Em card reader
~network/USB flash disk download
~support magnetic contact (door left open
alarm)
~embedded door bell button
~Weigand support</t>
  </si>
  <si>
    <t>MultiBio 800[MF]</t>
  </si>
  <si>
    <t>Display: 2.8 inch TFT LCD Color Screen (keypad)
Face Capacity: 400 Face
Fingerprint Capacity:1000 Templates
Card Capacity: 1000 Mifare card
Transaction Capacity: 100, 000 Transactions
Algorithm Version: ZKFinger VX10.0 &amp; ZKFace VX7.0
Communication: RS485,  TCP/IP,  USB-host
Access Control Interface: 3rd Party Electric Lock,  Door Sensor,  Exit Button,  Alarm,  Doorbell,  Wiegand In/Out
Aux. Input:1ea for linkage function
Standard Function: DST,  Automatic Status Switch,  Anti-passback,  Scheduled-Bell,  PhotoID
AC Adapter: 12V DC,  3A
Operating Temperature: 0 °C- 45 °C
Operating Humidity: 20%-80%
SDK: Standalone SDK
Software: ZKAccess3.5</t>
  </si>
  <si>
    <t>Multi-Biometric</t>
  </si>
  <si>
    <t>MultiBIO 700</t>
  </si>
  <si>
    <t>Multi-Biometric Identification
Face Capacity: 1, 500 (1:N)
Fingerprint Capacity: 2, 000
Log Capacity: 100, 000
Communication:TCP/IP, RS232/485, USB Host
Access Control Interface for electric lock, door sensor, alarm, exit button and door bell.
Wiegand input&amp;output</t>
  </si>
  <si>
    <t>MultiBIO 600</t>
  </si>
  <si>
    <t>Display: 2.8 inch TFT LCD Color Screen (keypad)
Face Capacity: 800 Face
Fingerprint Capacity:3000 Templates
Transaction Capacity: 100, 000 Transactions
Communication: TCP/IP,  USB-host, Wi-Fi
Access Control Interface: 3rd Party Electric Lock,  Door Sensor,  Exit Button
Standard Function: DST, Self-Service Query, Photo ID, Scheduled-bell, T9 Input, Multiple Verification Modes
Optional Function: ID /MF Card
AC Adapter: 12V DC,  1.5A
SDK:AC Push SDK
Software: ZKBioAccess</t>
  </si>
  <si>
    <t>Palm &amp; Fingerptint
  TA&amp;AC Device</t>
  </si>
  <si>
    <t>PA10</t>
  </si>
  <si>
    <t>Fingerprint Capacity: 3,000
Palm: 800
Card Capacity(Optional): 3,000
Record Capacity: 150,000 
Communication: TCP/IP, USB host, RS485, WIFI(Optional) 
Standard Functions: BioID,  DST,  Require Query, Automatic Status Switch,  Schedule-bell,  T9 Input, Advance access control function,  Anti-passback, External RS485 fingerprint reader , Touch Keypad
Optional: Printer,  ADMS,  ID,  Mifare card,HID Proximity card, POE</t>
  </si>
  <si>
    <t>2.4" Color Display</t>
  </si>
  <si>
    <t>Fingerprint and finger vein</t>
  </si>
  <si>
    <t>FV18</t>
  </si>
  <si>
    <t>2.4-inch color screen
Fingerprint Capacity: 1, 000
Finger Vein Capacity: 1, 000
Card Capacity(Optional): 5, 000 (optional)
Log Capacity: 100, 000 
Communication: TCP/IP, USB Host,  WIFI(Optional)     
Access Control Interface for electric lock,  door sensor, alarm, exit button and door bell.
Wiegand input&amp;output , SRB
1 ea Aux. input for linkage function
Optional Function: ID,  Mifare,  HID,  iclass,  Printer,  Wireless doorbell.</t>
  </si>
  <si>
    <t>2.4" color screen</t>
  </si>
  <si>
    <t>FV350</t>
  </si>
  <si>
    <t>2.8-inch touch screen                
Fingerprint Capacity: 1, 000
Finger Vein Capacity:1, 000
Card Capacity(Optional):2, 000                                        
Log Capacity: 100, 000 
Communication:TCP/IP, RS485, USB Host       
Access Control Interface for electric lock,  door sensor, alarm, exit button and door bell.                                                                                                                       Wiegand input&amp;output                                                                                                                                  1 ea Aux. input for linkage function
The AC Adapter included,  DC 12V 3A.</t>
  </si>
  <si>
    <t>2.8" touch screen</t>
  </si>
  <si>
    <t>Access Control Products</t>
  </si>
  <si>
    <t>Fingerpirnt A&amp;C Device</t>
  </si>
  <si>
    <t>BR1200[FBE]</t>
  </si>
  <si>
    <t>2.8-inch touch screen                
Fingerprint Capacity: 10,000 (50,000 optional)
User &amp; Card &amp; Barcode Capacity: 10,000 (50,000 optional)                                    
Log Capacity: 150, 000 
Communication:TCP/IP, RS232    
Access Control: 2ch relays
Standard Functions: Self-service Query, DST, T9 Input, 9 Digital User ID, ADMS, DNS
Software: ZKBioSecurity, Access push SDK
Card：ID card</t>
  </si>
  <si>
    <t>BR1200[FBM]</t>
  </si>
  <si>
    <t>Card：MF card</t>
  </si>
  <si>
    <t>Palm A&amp;C Device</t>
  </si>
  <si>
    <t>BR1200[PBE]</t>
  </si>
  <si>
    <t>2.8-inch touch screen                
Palm Capacity: 1,000
User &amp; Card Capacity: 10,000 (50,000 optional)                                    
Log Capacity: 150, 000 
Communication:TCP/IP, RS232    
Access Control: 2ch relays
Standard Functions: Self-service Query, DST, T9 Input, 9 Digital User ID, ADMS, DNS
Software: ZKBioSecurity, Access push SDK
Card：ID card</t>
  </si>
  <si>
    <t>BR1200[PBM]</t>
  </si>
  <si>
    <t>Fingerprint A&amp;C Device</t>
  </si>
  <si>
    <t>F21 Lite</t>
  </si>
  <si>
    <t>2.4-inch TFT color screen,  keypad,  3000FP, 100000 record,  ZMM220 coreboard
BioID fingerprint reader
Multiple Verification Modes: Multi-verification methods (card is optional) providing user various choices
Full Access Control Features: Anti-passback,  access control interface for 3rd party electric lock,  door sensor,  exit button,  alarm and doorbell
 photo ID (optional)
Built-in auxiliary input with enhanced flexibility to link with wired detector or emergency switch</t>
  </si>
  <si>
    <t>2.4-inch TFT color screen</t>
  </si>
  <si>
    <t>F21</t>
  </si>
  <si>
    <t>2.4-inch TFT color screen,  keypad,  3000FP, 100000 record,  ZMM220 coreboard
SilkID fingerprint reader with living object detecting function
Multiple Verification Modes: Multi-verification methods (card is optional) providing user various choices
Full Access Control Features: Anti-passback,  access control interface for 3rd party electric lock,  door sensor,  exit button,  alarm and doorbell
Camera Function: record photo,  photo ID (optional)
Built-in auxiliary input with enhanced flexibility to link with wired detector or emergency switch</t>
  </si>
  <si>
    <t>F21[ID]</t>
  </si>
  <si>
    <t>2.4-inch TFT color screen,  keypad,  3000FP,  5000 Card,  100000 record,  ZMM220 coreboard
SilkID fingerprint reader with living object detecting function
Multiple Verification Modes: Multi-verification methods (card is optional) providing user various choices
Full Access Control Features: Anti-passback,  access control interface for 3rd party electric lock,  door sensor,  exit button,  alarm and doorbell
Camera Function: record photo,  photo ID (optional)
Built-in auxiliary input with enhanced flexibility to link with wired detector or emergency switch</t>
  </si>
  <si>
    <t>F21[MF]</t>
  </si>
  <si>
    <t>2.4-inch TFT color screen,  keypad,  3000FP,  5000 Card,  100000 record,  ZMM220 coreboard
SilkID fingerprint reader with living object detecting function
Multiple Verification Modes: Multi-verification methods (card is optional) providing user various choices
Full Access Control Features: Anti-passback,  access control interface for 3rd party electric lock,  door sensor,  exit button,  alarm and doorbell
Camera Function: record photo,  photo ID (optional)
Built-in auxiliary input with enhanced flexibility to link with wired detector or emergency switch.</t>
  </si>
  <si>
    <t>Fingerprint</t>
  </si>
  <si>
    <t>TF1700</t>
  </si>
  <si>
    <t xml:space="preserve">1.54" OLED Screen
IP65 waterproof and dustproof
Fingerprint and RFID Identification
Fingerprint Capacity: 3, 000
ID card Capacity: 10, 000
Log Capacity: 30, 000
Communication:TCP/IP, RS485, USB Host
Access Control Interface for electric lock, door sensor, alarm, exit button and door bell.
Wiegand input&amp;output 
Optional 8000 FP (PULL SDK firmware)  </t>
  </si>
  <si>
    <t>1.54" OLED</t>
  </si>
  <si>
    <t>F19</t>
  </si>
  <si>
    <t xml:space="preserve">2.4 inch TFT-LCD screen
Fingerprint Identification
Fingerprint Capacity: 3, 000
User/Card Capacity (Optional): 30, 000
Log Capacity: 100, 000
Communication:TCP/IP, RS232/485, USB Host
Access Control Interface for electric lock, door sensor, alarm, exit button and door bell.
Wiegand input&amp;output  </t>
  </si>
  <si>
    <t xml:space="preserve"> 2.4" Color Display</t>
  </si>
  <si>
    <t>F18-S</t>
  </si>
  <si>
    <t>2.4 inch TFT-LCD screen
Fingerprint Identification
Fingerprint Capacity: 3, 000
Card Capacity(Optional): 5000
Log Capacity: 30, 000
Communication:TCP/IP, RS232/485, USB Host,WIFI(Optional)
Access Control Interface for electric lock, door sensor, alarm, exit button and door bell.
Wiegand input&amp;output
AC push / HTTPS(Optional)</t>
  </si>
  <si>
    <t>Fingerptint
  TA&amp;AC Device</t>
  </si>
  <si>
    <t>F22</t>
  </si>
  <si>
    <t>Fingerprint Capacity: 3000
Card Capacity(Optional): 5000
Record Capacity: 30, 000 
Communication: Wi-Fi,  TCP/IP, USB host, RS232/485 
Standard Functions: BioID,  DST,  Require Query,  14 Digit User ID,  Automatic Status Switch,  Schedule-bell,  T9 Input, Advance access control function,  Anti-passback, External RS485 fingerprint reader , Touch Keypad
Optional: Printer,  ADMS,  ID,  Mifare card.</t>
  </si>
  <si>
    <t>SF100</t>
  </si>
  <si>
    <t>2.4-inch TFT-LCD screen                
Fingerprint Capacity: 1, 500                                        
Log Capacity: 80, 000 
Communication:TCP/IP, RS485, USB Host       
Access Control Interface for electric lock,  door sensor, alarm, exit button and door bell.                                                                                                                       Wiegand input&amp;output                                                                                                                                  1 ea Aux. input for linkage function</t>
  </si>
  <si>
    <t>2.4” Color Display</t>
  </si>
  <si>
    <t>F7-C</t>
  </si>
  <si>
    <t>2-inch TFT-LCD screen
Fingerprint Capacity: 2,000
Log Capacity: 100, 000
Card Capacity: 5,000
Communication:TCP/IP, RS485
Access Control Interface for electric lock,
door sensor, alarm, exit button and door bell.
Wiegand output (optional wiegand input)
1 ea Aux. input for linkage function</t>
  </si>
  <si>
    <t>2" Color Display</t>
  </si>
  <si>
    <t>LF10</t>
  </si>
  <si>
    <t>Display: 2.4 inch TFT LCD Color Screen (keypad)
Fingerprint Capacity:1,500 Templates
Transaction Capacity: 80, 000 Transactions
Algorithm Version: ZKFinger VX10.0
Communication: TCP/IP,  USB-host
Access Control Interface: 3rd Party Electric Lock,  Door Sensor,  Exit Button,  Alarm,  Doorbell,  Wiegand Out
Aux. Input:1ea for linkage function
Standard Function: Record Query, 9-digit User ID, ADMS, ID Card, Advanced access control, Wired doorbell
Optioanal Function: MF Card
AC Adapter: 12V DC, 1.5A
Operating Temperature: 0 °C- 45 °C
Operating Humidity: 20%-80%
SDK: Push SDK
Software: ZKBioAccess</t>
  </si>
  <si>
    <t>LF10 Access Control Device Kit</t>
  </si>
  <si>
    <t>LF10 Kit</t>
  </si>
  <si>
    <t>What's in the box?
Package with Electric Bolt Lock:
1* LF10 Access Control Terminal with Installation Guide &amp; Quick Start Guide and cables;
1* TLEB102 Non touch Exit Button with Installation Guide;
1* LM-2805 Electronic Magnetic Lock with User manual and 1*LMB-280U Lock Bracket; 
10* RFID Thin Cards (ID or Mifare card);
For more detail,please refer the LF10 Kit Leaflet.</t>
  </si>
  <si>
    <t>LF20</t>
  </si>
  <si>
    <t>SF300(ZLM60)</t>
  </si>
  <si>
    <t>2.8-inch Color Display and Touch Screen
Card Capacity: 5,000
Fingerprint Capacity: 1,500
Log Capacity: 80,000
Communication:TCP/IP, RS485(reader), USB Host
Access Control Interface for electric lock, door sensor, alarm, exit button and door bell.
Wiegand input&amp;output
1 ea Aux. input for linkage function
Certification: CE(RED), FCC
Optional ID+5USD F02010656， MF+10USD F02010657</t>
  </si>
  <si>
    <t>2.8‘ Color Display</t>
  </si>
  <si>
    <t>SF400(ZLM60)</t>
  </si>
  <si>
    <t>2.8-inch Color Display and Touch Screen
Card Capacity: 5,000
Fingerprint Capacity: 1,500
Log Capacity: 80,000
Communication:TCP/IP, RS485(reader), USB Host
Access Control Interface for electric lock, door sensor, alarm, exit button and door bell.
Wiegand input&amp;output
1 ea Aux. input for linkage function
Certification: CE(RED), FCC
Optional ID+5USD F02010654， MF+10USD F02010655</t>
  </si>
  <si>
    <t>SF400 Access Control Device Kit</t>
  </si>
  <si>
    <t>SF400 E lock Kit</t>
  </si>
  <si>
    <t>What's in the box?
Package with Electronic Magnetic Lock:
1* SF400 Access Control Terminal with Installation Guide &amp; Quick Start Guide and cables;
1* TLEB102-R Non touch Exit Button with remote key and Installation Guide;
1* AL-280 (LED) Electronic Magnetic Lock with User manual and 1* AS32 Door Sensor;
1* PS901B Power Supply with Installation guide (Standard 220V  X01701038 Power Supply and Optional 110V  X01701040 Power Supply);
10*ID Tags and 10* ID Thin Cards;
For more detail,please refer the SF400 Kit Leaflet.</t>
  </si>
  <si>
    <t>SF400 EM lock Kit</t>
  </si>
  <si>
    <t>What's in the box?
Package with Electric Bolt Lock:
1* SF400 Access Control Terminal with Installation Guide &amp; Quick Start Guide and cables;
1* TLEB102-R Non touch Exit Button with remote key and Installation Guide;
1* AL-100 Electric Bolt Lock with User manual;
1* PS901B Power Supply with Installation guide (Standard 220V  X01701038 Power Supply and Optional 110V  X01701040 Power Supply);
10*ID Tags and 10* ID Thin Cards;
For more detail,please refer the SF400 Kit Leaflet.</t>
  </si>
  <si>
    <t>F16</t>
  </si>
  <si>
    <t>PULL SDK firmware 
IP65 waterproof and dustproof
Fingerprint Capacity: 3, 000
ID Card Capacity: 30, 000
Log Capacity: 100, 000
Communication:TCP/IP, RS485
Access Control Interface for electric lock, door sensor, alarm, exit button.
Wiegand input&amp;output</t>
  </si>
  <si>
    <t>TF1600</t>
  </si>
  <si>
    <t>Resistant to low temperature(-40℃~45℃)
PULL SDK firmware
IP65 waterproof and dustproof
Fingerprint Capacity: 3, 000
ID Card Capacity: 30, 000
Log Capacity: 100, 000
Communication:TCP/IP, RS485
Access Control Interface for electric lock, door sensor, alarm, exit button.
Wiegand input&amp;output</t>
  </si>
  <si>
    <t>Notus</t>
  </si>
  <si>
    <t>Camera :2MP/1080P, IR light
Fingerprint Capacity: 10,000
Card Capacity :50,000
Log Capacity :200,000
Communication :TCP/IP, WIFI (Optional)
Access Control Interface: 3rd Party Electric Lock, Door Sensor, Exit Button, Alarm, Doorbell
Functions :Webserver,DST, Record Query, Anti-passback, External RS485 fingerprint/Card reader and Wegand reader,ADMS,HTTP/HTTPS,POE(Optional)
Multi-Frequency Card: ID,IC, EM/ IC /IC EV1 (B133 Optional)
Switch Model:Standalone or Reader;
Wiegand Signal :Input, Output；
AC Adapter:12V 3A (Optional)
Certification：CE/FCC/IP65</t>
  </si>
  <si>
    <t>MA500</t>
  </si>
  <si>
    <t>Fingerprint and RFID Identification
PULL SDK firmware 
Metal Casing,  IP65 waterproof and dustproof                                                                                                          
Fingerprint Capacity: 3, 000
ID card Capacity: 30, 000
Log Capacity: 100, 000
Communication: TCP/IP,  RS485
Access Control Interface for electric lock, door sensor, alarm, exit button.
Wiegand input&amp;output</t>
  </si>
  <si>
    <t>MA300-BT</t>
  </si>
  <si>
    <t>Fingerprint and RFID Identification,  Metal Casing,  IP65 waterproof and dustproof.
Fingerprint Capacity: 1, 500 (ZK Optical Sensor)
ID card Capacity: 10, 000
Log Capacity: 100, 000
Communication: TCP/IP,  RS485,  USB Host,  Bluetooth
Access Control Interface for electric lock, door sensor, alarm, exit button.
Wiegand Signal: input&amp;output
Standard Access Control Function: RS485 Reader,  Time Zone,  Group,  Duress mode,  Anti-passback.
Optional Functions: Mifare,  external USB keypad,  Multi-identification
App: ZKBioBT</t>
  </si>
  <si>
    <t>MA300</t>
  </si>
  <si>
    <t>Fingerprint and RFID Identification
Metal Casing,  IP65 waterproof and dustproof
Fingerprint Capacity: 1, 500
ID card Capacity: 10, 000
Log Capacity: 100, 000
Communication: TCP/IP,  RS485,  USB Host
Access Control Interface for electric lock, door sensor, alarm, exit button.
Wiegand Signal: input&amp;output</t>
  </si>
  <si>
    <t>X8-BT</t>
  </si>
  <si>
    <t>Simple access control function,  Bluetooth communication,  touch keypad,   door bell.
Fingerprint Capacity: 500 Templates (SilkID Sensor)
Card Capacity: 500
Transaction Capacity: N/A
Algorithm Version: ZKFinger VX10.0
Access Control Interface: 3rd Party Electric Lock,  Door Sensor,  Exit Button,  Alarm,  Doorbell.
Standard Function: Simple access control function,  ID card
Optional Function: Mifare Card
APP: ZKBioBT</t>
  </si>
  <si>
    <t>X8s</t>
  </si>
  <si>
    <t>Simple access control function,  no communication,  touch keypad,   door bell
Fingerprint Capacity: 500 Templates
Card Capacity: 500
Transaction Capacity: N/A
Sensor: ZK Optical Sensor
Algorithm Version: ZKFinger VX10.0
Access Control Interface: 3rd Party Electric Lock,  Door Sensor,  Exit Button,  Alarm,  Doorbell
Standard Function:Simple access control function,  ID card
Optional Function: Mifare Card
AC Adapter:12V DC, 3A
Operating Temperature:0 °C- 45 °C
Operating Humidity:20%-80%
Dimensions (LxWxH):90×90×38.9mm</t>
  </si>
  <si>
    <t>X7</t>
  </si>
  <si>
    <t>Fingerprint/Card/Password Identification
Fingerprint Capacity: 500
Card Capacity: 500
Password Capacity: 8 groups
Log Capacity: N/A
Communication: N/A
Access Control Interface for electric lock, door sensor, alarm, exit button and door bell.</t>
  </si>
  <si>
    <t>RFID</t>
  </si>
  <si>
    <t>SC700</t>
  </si>
  <si>
    <t xml:space="preserve">PULL SDK firmware
3" TFT Color Display and Touch Screen
RFID Identification
ID card Capacity: 30, 000
Log Capacity: 100, 000
Communication: TCP/IP, USB Host
Access Control Interface for electric lock, door sensor, alarm, exit button.  </t>
  </si>
  <si>
    <t>SC105</t>
  </si>
  <si>
    <t xml:space="preserve">RFID Identification
ID card Capacity: 30, 000
Log Capacity: 80, 000
Communication: TCP/IP,  RS232/485,  USB Host
Access Control Interface for electric lock, door sensor, alarm, exit button and door bell.
Wiegand input&amp;output
1 ea Aux. input for linkage function </t>
  </si>
  <si>
    <t>SC405</t>
  </si>
  <si>
    <t>SC103</t>
  </si>
  <si>
    <t>RFID Identification
ID card Capacity: 30, 000
Log Capacity: 50, 000
Communication: TCP/IP,  RS232/485,  USB Host
Access Control Interface for electric lock, door sensor, alarm, exit button and door bell.
Wiegand input&amp;output</t>
  </si>
  <si>
    <t>B&amp;W Display</t>
  </si>
  <si>
    <t>SC403</t>
  </si>
  <si>
    <t>SCR100</t>
  </si>
  <si>
    <t>RFID Identification
ID card Capacity: 30, 000
Log Capacity: 50, 000
Communication: TCP/IP,  RS232/485,  USB Host
Access Control Interface for electric lock, door sensor, alarm, exit button.
Wiegand input&amp;output</t>
  </si>
  <si>
    <t>AC Module</t>
  </si>
  <si>
    <t>Mini Controller</t>
  </si>
  <si>
    <t>SRB</t>
  </si>
  <si>
    <t>Security Relay Box (SRB)
An external relay box to control door lock,  exit button and connect with standalone devices by wiegand to enhance higher security.</t>
  </si>
  <si>
    <t>Reader</t>
  </si>
  <si>
    <t>RS232 Fingerprint Reader</t>
  </si>
  <si>
    <t>BR1200s[FBE]</t>
  </si>
  <si>
    <t>RS232 Reader
Fingerprint, ID Card, Barcode
Barcode：PDF417, QR code Model 1/2, Micro QR, Data Matrix, GS1-DataBar (Limited, Stacked, Expanded) 
Compatibility：BR1200， others with RS232 request customization</t>
  </si>
  <si>
    <t>2.8" Display</t>
  </si>
  <si>
    <t>BR1200s[FBM]</t>
  </si>
  <si>
    <t>Mifare Card</t>
  </si>
  <si>
    <t>RS232 Palm Reader</t>
  </si>
  <si>
    <t>BR1200s[PBE]</t>
  </si>
  <si>
    <t>RS232 Reader
Palm, ID Card, Barcode
Barcode：PDF417, QR code Model 1/2, Micro QR, Data Matrix, GS1-DataBar (Limited, Stacked, Expanded) 
Compatibility：BR1200， others with RS232 request customization</t>
  </si>
  <si>
    <t>RS485 Fingerprint Reader</t>
  </si>
  <si>
    <t>FR1500S</t>
  </si>
  <si>
    <t>Single gang Standard junction box installation.
RS-485 Communication Interface.
Stainless Steel Front casing.
Supports IP65 rate 
Standard：SilkID Fingerprint Sensor.
Fingerprint Protective Cover.
Standard: ID card.
Optional: Mifare,  HID,  iclass card</t>
  </si>
  <si>
    <t>FR1500</t>
  </si>
  <si>
    <t>RS485 Fingerprint Reader,  Single gang.
Standard: ID card.
Optional: Mifare,  HID,  iclass card.</t>
  </si>
  <si>
    <t>FR1500-WP</t>
  </si>
  <si>
    <t>RS485 Fingerprint Reader,  Single gang,  IP65 water proof.
Standard: ID card,  BioID Sensor.
Optional: Mifare,  HID,  iclass card.</t>
  </si>
  <si>
    <t>FR1200</t>
  </si>
  <si>
    <t xml:space="preserve">Read Fingerprint and Proximity card
Communication: RS485 with inBIO controller or Fingerprint devices
DIP switch for RS485 address </t>
  </si>
  <si>
    <t>FR1300</t>
  </si>
  <si>
    <t xml:space="preserve">Read Fingerprint,  password and Proximity card
Communication: RS485 with inBIO controller or Fingerprint devices
DIP switch for RS485 address </t>
  </si>
  <si>
    <t>CONTROL PANEL</t>
  </si>
  <si>
    <t>Networked Control Panel</t>
  </si>
  <si>
    <t>C2 Series</t>
  </si>
  <si>
    <t>C2-260</t>
  </si>
  <si>
    <t>Two-door Two-way Controller
CPU:32-bit 1.0GHz
RAM:64M
Card Capacity:30,000;
Log Capacity:200,000;
Number of Auxiliary Inputs:2
Number of Auxiliary Outputs:2
Types of Readers Supported:RS485 card reader, Wiegand reader (WR485)
Function：Push SDK,Webserver，Http/HTTPS,
DM10:Max.8
AUX485:2
WR485:4
Communication:TCP/IP, RS458</t>
  </si>
  <si>
    <t>C2-260 Package</t>
  </si>
  <si>
    <t>Include:
C2-260:1;
AUX485: 1 ,Max 2;
AC Adapter:1 AP258 with CE;
Backup battary: designed the Structure;</t>
  </si>
  <si>
    <t>C3 Series Panel</t>
  </si>
  <si>
    <t>C3-100</t>
  </si>
  <si>
    <t>One-door Two-way Controller
CPU:32bit MIPS CPU
RAM:32M bits
Flash Memory:256M bits
User:30, 000
Event Buffer: 100, 000
Reader Port: 2ea (26/34bits   wiegand,  8bits burst for PIN)
Communication: RS485,  TCP/IP</t>
  </si>
  <si>
    <t>C3-200</t>
  </si>
  <si>
    <t>Two-door Two-way Controller
CPU:32bit MIPS CPU
RAM:32M bits
Flash Memory:256M bits
User:30, 000
Event Buffer: 100, 000
Reader Port:2ea (26/34bits wiegand,  8bits burst for PIN)
Communication: RS485,  TCP/IP</t>
  </si>
  <si>
    <t>C3-400</t>
  </si>
  <si>
    <t>Four-door One-way Controller
CPU:32bit MIPS CPU
RAM:32M bits
Flash Memory:256M bits
User:30, 000
Event Buffer:100, 000
Reader Port:4ea(26/34bits wiegand,  8bits burst for PIN)    
Communication: RS485,  TCP/IP</t>
  </si>
  <si>
    <t>inBio Series</t>
  </si>
  <si>
    <t>inBio160</t>
  </si>
  <si>
    <t>One-door Two-way Controller
CPU:32bit MIPS CPU
RAM:32M bits
Flash Memory:256M bits
User:30, 000
Event Buffer: 100, 000
Reader Port:2ea wiegand and RS485 connect 2 FP reader
Communication: RS485,  TCP/IP</t>
  </si>
  <si>
    <t>inBio260</t>
  </si>
  <si>
    <t>Two-door Two-way Controller
CPU:32bit MIPS CPU
RAM:32M bits
Flash Memory:256M bits
User:30, 000
Event Buffer: 100, 000
Reader Port: 4ea wiegand and RS485 connect 4 FP reader
Communication: RS485,  TCP/IP</t>
  </si>
  <si>
    <t>inBio460</t>
  </si>
  <si>
    <t>Four-door Two-way Controller 
CPU:32bit MIPS CPU
RAM:32M bits
Flash Memory:256M bits
User:30, 000
Event Buffer: 100, 000
Reader Port: 4ea wiegand and RS485 connect 8 FP readers
Communication: RS485,  TCP/IP</t>
  </si>
  <si>
    <t>C3 Series Package</t>
  </si>
  <si>
    <t>C3-100 Package B</t>
  </si>
  <si>
    <t>A package of C3-100 including Metal box and                               PSU(AC Adapter Unit)</t>
  </si>
  <si>
    <t>C3-100 POE Bundle</t>
  </si>
  <si>
    <t>A package of C3-100 including Metal box and                               POE Splitter. Which can give AC Adapter to both controller and lock.</t>
  </si>
  <si>
    <t>C3-200 Package B</t>
  </si>
  <si>
    <t>A package of C3-200 including Metal box and PSU(AC Adapter Unit)</t>
  </si>
  <si>
    <t>C3-400 Package B</t>
  </si>
  <si>
    <t>A package of C3-400 including Metal box and PSU(AC Adapter Unit)</t>
  </si>
  <si>
    <t>inBio Series Package</t>
  </si>
  <si>
    <t>inBIO160 Package B</t>
  </si>
  <si>
    <t xml:space="preserve">A package of inBIO160 including Metal box and PSU(AC Adapter Unit) 
</t>
  </si>
  <si>
    <t>inBIO160 POE Bundle</t>
  </si>
  <si>
    <t>A package of inBIO160 including Metal box and POE Splitter. Which can give AC Adapter to both controller and lock.</t>
  </si>
  <si>
    <t>inBIO260 Package B</t>
  </si>
  <si>
    <t>A package of inBIO260 including  Metal box and PSU(AC Adapter Unit)</t>
  </si>
  <si>
    <t>inBIO460 Package B</t>
  </si>
  <si>
    <t>A package of inBIO460 including  Metal box and PSU(AC Adapter Unit)</t>
  </si>
  <si>
    <t>Domo Kit</t>
  </si>
  <si>
    <t>C3-400 Demo Kit</t>
  </si>
  <si>
    <t>C3-400 Demo Kit                                                                                                                                        One C3-400,  Two RFID wiegand reader,  AC Adapter,  etc.</t>
  </si>
  <si>
    <t>inBIO460 Demo Kit</t>
  </si>
  <si>
    <t>inBIO460 Demo Kit
One inBIO460,  Two FR1200,  AC Adapter,  etc.</t>
  </si>
  <si>
    <t>Elevator Control System</t>
  </si>
  <si>
    <t>Elevator Control</t>
  </si>
  <si>
    <t>EC10</t>
  </si>
  <si>
    <t>Floor Button Control Relay: 10
Fingerprint: 3000
Card:30, 000
Event Capacity:100, 000; 
Communication to PC: TCP/IP,  RS485
Communication to EX16: RS485
Number of supported EX16: 3</t>
  </si>
  <si>
    <t>EC10 Package B</t>
  </si>
  <si>
    <t>A package of EC10 including Metal box and PSU(AC Adapter Unit)</t>
  </si>
  <si>
    <t>EX16</t>
  </si>
  <si>
    <t>Floor Button Control Relay: 16
Communication to EC10: RS485
RS485 address: Set by DIP switch
AC Adapter: 12V DC 1A</t>
  </si>
  <si>
    <t>EX16 Package A</t>
  </si>
  <si>
    <t>A package including 1 piece EX16,  AC Adapter and metal box</t>
  </si>
  <si>
    <t>EX16 Package B</t>
  </si>
  <si>
    <t>A package including 2 pieces EX16,  AC Adapter and metal box</t>
  </si>
  <si>
    <t>BIOCV</t>
  </si>
  <si>
    <t>Android Series</t>
  </si>
  <si>
    <t>FaceKiosk Series</t>
  </si>
  <si>
    <t>FaceKiosK-V43
43" upright</t>
  </si>
  <si>
    <t>Display: 43" LCD Color Screen(1080*1920 Pixel) 
Face Capacity: 10000 Face
Memory: 4G RAM / 32G ROM
Communication: RS485, RS232, TCP/IP,  USB OTG, Wiegand Input/Output
Access Control Interface: 3ch Relay
AC Adapter: 110-240V AC
Operating Temperature: 0 °C- 45 °C
Operating Humidity: 10%-90%
SDK: T&amp;A PUSH SDK
Software: ZKBioSecurity, BioTime</t>
  </si>
  <si>
    <t>FaceKiosK-V32T
32" upright（with printer）</t>
  </si>
  <si>
    <t>Stand Pole Style with Face Camera, Printer
Display: 32" LCD Color Screen(1080*1920 Pixel) 
Face Capacity: 10000 Face
Memory: 4G RAM / 32G ROM
Communication: RS485, RS232, TCP/IP,  2ch USB(USB HOST, USB OTG), Wiegand Input/Output
Access Control Interface: 3ch Relay
AC Adapter: 110-240V AC
Operating Temperature: 0 °C- 45 °C
Operating Humidity: 10%-90%
SDK: T&amp;A PUSH SDK
Software: ZKBioSecurity, BioTime
Option: National ID Card Reader</t>
  </si>
  <si>
    <t>FaceKiosK-H21
21.5" wall mounted</t>
  </si>
  <si>
    <t>Wall-mounted;
Display: 21.5" LCD Color Screen(1920*1080 Pixel) 
Face Capacity: 10000 Face
Memory: 4G RAM / 32G ROM
Communication: RS485, RS232, TCP/IP,  2ch USB(USB HOST, USB OTG), Wiegand Input/Output
Access Control Interface: 3ch Relay
AC Adapter: 110-240V AC
Operating Temperature: 0 °C- 45 °C
Operating Humidity: 10%-90%
SDK: T&amp;A PUSH SDK
Software: ZKBioSecurity, BioTime</t>
  </si>
  <si>
    <t>FaceKiosK-H13A
13.3" wall mounted</t>
  </si>
  <si>
    <t>Wall-Mounted Style with QRCode Scanner, Face Camera and IC Card
Optional Function: ID Card, Finger Print Sensor
Display: 13.3" LCD Color Touch Screen
Face Capacity: 10000 Face
Memory: 2G RAM / 16G ROM
Communication: TCP/IP, WIFI,  USB，BlueTooth
Power Supply: 12V-3A
Operating Temperature: 0 °C- 50 °C
Operating Humidity: 10%-98%
SDK: Android EDK
Standard APP：BioArgus-Visitor
Software: ZKBioSecurity, BioTime</t>
  </si>
  <si>
    <t>FaceKiosK-H13C
13.3" upright</t>
  </si>
  <si>
    <t>Stand Pole Style with Finger Print Sensor, Face Camera, IC Card, 80mm Label Printer and QR Code Scanner
Optional Function: ID  Card, 58mm Ticket Printer
Display: 13.3" LCD Color Screen
Face Capacity: 10000 Face
Memory: 2G RAM / 16G ROM
Communication: TCP/IP, WIFI
Power Supply: 12V-3A
Operating Temperature: 0 °C- 50 °C
Operating Humidity: 10%-98%
SDK: T&amp;A PUSH SDK
Standard APP：BioArgus-Visitor
Software: ZKBioSecurity, BioTime</t>
  </si>
  <si>
    <t>Face Server</t>
  </si>
  <si>
    <t>Face Server Series</t>
  </si>
  <si>
    <t>BioServer 2</t>
  </si>
  <si>
    <t>Facial Identification Box 
(Face Capacity 30K; 50faces/second)</t>
  </si>
  <si>
    <t>A&amp;C Accessories</t>
  </si>
  <si>
    <t>DM10</t>
  </si>
  <si>
    <t>1 Lock Sensor, 1 Exit Button
2 Wiegand Readers
1 AUX IN, 1 AUX OUT
12V AC Adapter In &amp; Out
RS485 Communication</t>
  </si>
  <si>
    <t>C2-260/F18-DM/Horus</t>
  </si>
  <si>
    <t>WR485</t>
  </si>
  <si>
    <t>1 RS485 convert to 1 Wiegand</t>
  </si>
  <si>
    <t>AUX485</t>
  </si>
  <si>
    <t>1 RS485 convert to 4 AUX in</t>
  </si>
  <si>
    <t>Fpmodule（for 7B）[ID]</t>
  </si>
  <si>
    <t>Used With FaceDepot-7B</t>
  </si>
  <si>
    <t>Fpmodule（for 7B）[MF]</t>
  </si>
  <si>
    <t>Bracket</t>
  </si>
  <si>
    <t>KJZ-03</t>
  </si>
  <si>
    <t>aluminum alloy  80*38*370mm
Used with FaceDepot-7A/FaceDepot-7B/SpeedFace-V5
FaceDepot-7BL/SpeedFaceV5L/ProFace X
FaceDepot-7BL[TD]/SpeedFace-V5L[TD]</t>
  </si>
  <si>
    <t>FaceDepot-7A/FaceDepot-7B/SpeedFace-V5
FaceDepot-7BL/SpeedFaceV5L/ProFace X
FaceDepot-7BL[TD]/SpeedFace-V5L[TD]</t>
  </si>
  <si>
    <t>Rots-02 Package</t>
  </si>
  <si>
    <t>aluminum alloy 128mm 
Used with ProFace X,ProFace X[TD],ProFace X[TI],
Opptional:SpeedFace-V5L,SpeedFace-V5L[TI],SpeedFace-V5L[TD],Need to note new rear pallets:A13090285</t>
  </si>
  <si>
    <t>ProFace X,ProFace X[TD],ProFace X[TI]
SpeedFace-V5L,SpeedFace-V5L[TI],SpeedFace-V5L[TD]</t>
  </si>
  <si>
    <t>SpeedFace-V5 Beveled Thread Box Set
（SpeedFace-V5斜角藏线盒套包）</t>
  </si>
  <si>
    <t>Aluminum alloy 200mm*77mm*50mm oxidized silver sandblasted</t>
  </si>
  <si>
    <t>SpeedFace-V5,SpeedFace-V5L,SpeedFace-V5L[P],SpeedFace-V5L[TD],SpeedFace-V5L-RFID,SpeedFace-V5L-RFID[TD]
Not fit SpeedFace-V5L[TI]，SpeedFace-V5L-RFID[TI]，Unless the rear panel is replaced，use A13130042.</t>
  </si>
  <si>
    <t>KJZ-03 Extension Bar</t>
  </si>
  <si>
    <t>250mm( Excluding the thread length, the actual length is 200mm )
Used for Lengthen KJZ-03/ProFace X[CH]/FaceDepot-7B[CH]/FaceDepot-7BL[CH]</t>
  </si>
  <si>
    <t>KJZ-03/ProFace X[CH]/FaceDepot-7B[CH]/FaceDepot-7BL[CH]</t>
  </si>
  <si>
    <t>Rots-1 Stand</t>
  </si>
  <si>
    <t xml:space="preserve"> 93*125*66.13 cm
Vertical 20 º, Horizontal 30º
Material: SPCC</t>
  </si>
  <si>
    <t>SpeedFaceV5 / SpeedFaceV5-L / FaceDepot7B / FaceDepot7B-L / Proface-X / Elite Series</t>
  </si>
  <si>
    <t>ZK-L1</t>
  </si>
  <si>
    <t>Floor-mounted Bracket
for Visible Light Face Terminal
400*265*1350mm Material：SPCC+ powder spraying
Optional: Rots-1 Stand</t>
  </si>
  <si>
    <t>SpeedFace-V5 &amp; V5L Series,  Proface X Series, Elite Access, RevFace 10[TI], SpeedFace-H5 &amp; H5L Serie</t>
  </si>
  <si>
    <t>ZK-L2</t>
  </si>
  <si>
    <t>Floor-mounted Bracket
for Visible Light Face Terminal
540*265*1450mm
Material：SPCC+ powder spraying
Optional: Rots-1 Stand</t>
  </si>
  <si>
    <t>ZK-L3</t>
  </si>
  <si>
    <t>Desktop Stand ;
Dimensions: 210*236.2*166 mm
Angle Adjustment: 360°
Material: SPCC
Weight:1.6KG</t>
  </si>
  <si>
    <t>Proface X  Series, SpeedFace-V5 &amp; V5L Series, SpeedFace-H5 &amp; H5L Series, Elite Access,
FaceDepot-7B / 7BL, G4 / G4L</t>
  </si>
  <si>
    <t>ZK-L4</t>
  </si>
  <si>
    <t>Easy Mounting Bracket;
Dimensions (mm): 336*292*870mm
Bracket Weight (kg) :1.45Kg
Base Weight (kg) ：3.37Kg
Angle Adjustment: -10° to 30 °
Material: aluminum alloy
Adjustable height：970mm to 1670mm</t>
  </si>
  <si>
    <t>Proface X Series, SpeedFace-V5 &amp; V5L Series, SpeedFace-H5 &amp; H5L Series, FaceDepot-7B / 7BL,
G4 / G4L, Elite Access</t>
  </si>
  <si>
    <t>ZK-L5</t>
  </si>
  <si>
    <t xml:space="preserve"> Mounting Bracket for Visible Light Products
Dimensions (mm):336*292*977mm
Bracket Weight (kg) :4.35Kg
Base Weight (kg) ：3.37Kg
Angle Adjustment: -10° to 30 °
Material: SPCC
Adjustable height：970mm to 1670mm</t>
  </si>
  <si>
    <t>ZK-L6</t>
  </si>
  <si>
    <t xml:space="preserve"> Mounting Bracket for Visible Light Products
Dimensions (mm): 307*313*1260mm
Bracket Weight (kg) :4.5Kg
Base Weight (kg) ：4.37Kg
Angle Adjustment:  Can't adjust
Material: SPCC
Fixed height：1260mm</t>
  </si>
  <si>
    <t>Display</t>
  </si>
  <si>
    <t>7inch TFT Display</t>
  </si>
  <si>
    <t>720*1280</t>
  </si>
  <si>
    <t>ultrasonic Distance sensor</t>
  </si>
  <si>
    <t>Distance detector module</t>
  </si>
  <si>
    <t>Camera</t>
  </si>
  <si>
    <t>2MP Camera module</t>
  </si>
  <si>
    <t>Dual camera module，2MP</t>
  </si>
  <si>
    <t>FaceDepot-7A
FaceDepot-7B
SpeedFace-H5
SpeedFace-V5</t>
  </si>
  <si>
    <t>Main board withou optional function</t>
  </si>
  <si>
    <t>PCB</t>
  </si>
  <si>
    <t>Full Light PCB</t>
  </si>
  <si>
    <t>visible light LED and IR light LED repare</t>
  </si>
  <si>
    <t>Core board</t>
  </si>
  <si>
    <t>ZSM760</t>
  </si>
  <si>
    <t>Quad core 1.8Ghz, 2G RAM/16G ROM</t>
  </si>
  <si>
    <t>FaceDepot-7A
FaceDepot-7B
SpeedFace-H5
SpeedFace-V5
G4</t>
  </si>
  <si>
    <t>Touch panel</t>
  </si>
  <si>
    <t>7inch touch panel</t>
  </si>
  <si>
    <t>touch panel without logo</t>
  </si>
  <si>
    <t>Casing</t>
  </si>
  <si>
    <t>Front casing</t>
  </si>
  <si>
    <t>aluminium alloy，113*210*22mm</t>
  </si>
  <si>
    <t>Access interface PCB(ID)</t>
  </si>
  <si>
    <t>PCB for access port and ID card module</t>
  </si>
  <si>
    <t>Sensor</t>
  </si>
  <si>
    <t>SilkID Sensor</t>
  </si>
  <si>
    <t>SILKID (32MB/USB)</t>
  </si>
  <si>
    <t>Access interface PCB(IC)</t>
  </si>
  <si>
    <t>PCB for access port and IC card module</t>
  </si>
  <si>
    <t>Back casing</t>
  </si>
  <si>
    <t>aluminium alloy, 109.4*206.4*37.7mm, label laser carving</t>
  </si>
  <si>
    <t>aluminium alloy, 109.4*206.4*37.7mm, label laser carving(for barrier bracket)</t>
  </si>
  <si>
    <t>Main Board(ID)</t>
  </si>
  <si>
    <t>SpeedFace H5 mainboard with ID moduel</t>
  </si>
  <si>
    <t>5inch TFT LCD</t>
  </si>
  <si>
    <t>Color Display</t>
  </si>
  <si>
    <t>5inch touch panel</t>
  </si>
  <si>
    <t>5inch touch panel with zkteco logo</t>
  </si>
  <si>
    <t>aluminium alloy, 135*167*21.5mm, English label print</t>
  </si>
  <si>
    <t>Main Board(IC)</t>
  </si>
  <si>
    <t>SpeedFace H5 mainboard with IC moduel</t>
  </si>
  <si>
    <t>SpeedFace H5 mainboard</t>
  </si>
  <si>
    <t>SpeedFace V5 mainboard with IC moduel</t>
  </si>
  <si>
    <t>ZKBS Demo Kit B</t>
  </si>
  <si>
    <t>720*520*220mm
23kg</t>
  </si>
  <si>
    <t>Speedface-V4L
EC10/inBio260 Pro
QR50/MK-H /MR1010
TLEB102
ES-852T12C-C</t>
  </si>
  <si>
    <t>ZKBioSecurity Demo Kit B</t>
  </si>
  <si>
    <t>ZKBioSecurity Aluminum case B</t>
  </si>
  <si>
    <t>720*520*221mm</t>
  </si>
  <si>
    <t>ZKBioSecurity Demo Kit A</t>
  </si>
  <si>
    <t>520*470*220mm
10kg</t>
  </si>
  <si>
    <t>ZKBioSecurity Aluminum case A</t>
  </si>
  <si>
    <t>520*470*221mm</t>
  </si>
  <si>
    <t>RS232/Wiegand Converter</t>
  </si>
  <si>
    <t>HDC09-232-WG66 DB9 75mm*41mm*23mm</t>
  </si>
  <si>
    <t>HDC09-WG-232 DB9 74*40*23mm （Standard）</t>
  </si>
  <si>
    <t>FR1500 single gang
[Metal Box]</t>
  </si>
  <si>
    <t>116*70*50mm</t>
  </si>
  <si>
    <t>FR1500 single gang
[Plastic Box]</t>
  </si>
  <si>
    <t>120*75*42mm</t>
  </si>
  <si>
    <t>0303EMC_B Fingerprint Sensor (Water Proof)</t>
  </si>
  <si>
    <t>Use for MA300</t>
  </si>
  <si>
    <t>SC300 main board /MF</t>
  </si>
  <si>
    <t>Use for SCR100</t>
  </si>
  <si>
    <t>Light pipe</t>
  </si>
  <si>
    <t>F7 Light pipe</t>
  </si>
  <si>
    <t>F7 
Keypad silicone</t>
  </si>
  <si>
    <t>Use for SF200</t>
  </si>
  <si>
    <t>F7 keypad (07088)</t>
  </si>
  <si>
    <t>SF200 TFT Screen</t>
  </si>
  <si>
    <t>2" color screen</t>
  </si>
  <si>
    <t>F7_MAIN-V1.3-151224</t>
  </si>
  <si>
    <t>XAC-868 Acrylic lens (2.4 inches)</t>
  </si>
  <si>
    <t>Use for SF100</t>
  </si>
  <si>
    <t>F4 Plastic keys(14020)</t>
  </si>
  <si>
    <t>F4 Interface Board/ID(A31)</t>
  </si>
  <si>
    <t>DC-DC Buck AC Adapter IC</t>
  </si>
  <si>
    <t>DC-DC Buck Powe IC  SP6669AEK-L 3.3V SMD SOT-25</t>
  </si>
  <si>
    <t>Triode</t>
  </si>
  <si>
    <t>Triode NPN 160V 600mA 200mW HFE=150-350
SMD SOT-23 MMBT5551LT1(G1)</t>
  </si>
  <si>
    <t>Real-time clock module</t>
  </si>
  <si>
    <t>Real-time clock module (ZT-C08803A DIP8 module)</t>
  </si>
  <si>
    <t>TVS Diodes</t>
  </si>
  <si>
    <t>TVS Diodes 28V 13.3A SMD SMB/DO-214AA (SMBJ28A)</t>
  </si>
  <si>
    <t>TVS Diodes 15V 24.4A SMD SMA/DO-214AC (SMAJ15CA)</t>
  </si>
  <si>
    <t>TVS Diodes 6V 38.8A SMD SMA/DO-   214AC (SMAJ6.0A)</t>
  </si>
  <si>
    <t>Logic IC</t>
  </si>
  <si>
    <t>Logic IC (74LVC08APW SMD TSSOP-14)</t>
  </si>
  <si>
    <t>Logic IC (74AHC14PW SMD TSSOP-14)</t>
  </si>
  <si>
    <t>Terminal Post</t>
  </si>
  <si>
    <t>3.5mm 1*6pin 250V 8A (Black)</t>
  </si>
  <si>
    <t>3.5mm 1*5pin 250V 8A (Black)</t>
  </si>
  <si>
    <t>3.5mm 1*4pin 250V 8A (Black)</t>
  </si>
  <si>
    <t>3.5mm 1*3pin 250V 8A (Black)</t>
  </si>
  <si>
    <t>3.5mm 1*2pin 250V 8A (Black)</t>
  </si>
  <si>
    <t>DC-DC Buck AC Adapter IC (TPS54331DR SMD SOIC-8)</t>
  </si>
  <si>
    <t>Relay and buzzer</t>
  </si>
  <si>
    <t>Relay and buzzer (TX2-12V ATX203)</t>
  </si>
  <si>
    <t>Relay and buzzer (JS1-12V AJS1311)
Panasonic DIP</t>
  </si>
  <si>
    <t>RS485 Interface IC</t>
  </si>
  <si>
    <t>RS485 Interface IC (UM3085EESAR SMD SO-8 )</t>
  </si>
  <si>
    <t>SCM
(Single Chip Micyoco)</t>
  </si>
  <si>
    <t>SCM (PIC16F727-I/PT SMD TQFP-44)</t>
  </si>
  <si>
    <t>ZEM565 Core Board</t>
  </si>
  <si>
    <t>SR10E Front Casing</t>
  </si>
  <si>
    <t>F18 finger print cradle</t>
  </si>
  <si>
    <t>F18 Main Board / ID</t>
  </si>
  <si>
    <t>F18 USB silicone</t>
  </si>
  <si>
    <t>F18 Alarm cap</t>
  </si>
  <si>
    <t>F18 plastic screen</t>
  </si>
  <si>
    <t>F18 screen holder</t>
  </si>
  <si>
    <t>F18 Light pipe</t>
  </si>
  <si>
    <t>F18 Back Case</t>
  </si>
  <si>
    <t>F18 Front case</t>
  </si>
  <si>
    <t>FFC Cable</t>
  </si>
  <si>
    <t>2.4" TFT</t>
  </si>
  <si>
    <t>ZK3300EMC Fingerprint Sensor</t>
  </si>
  <si>
    <t>ZK3300EMC-V1.4-140414</t>
  </si>
  <si>
    <t>TF1700 Front Casing</t>
  </si>
  <si>
    <t>TF1700 main board / MF</t>
  </si>
  <si>
    <t>Dual Plug Cable</t>
  </si>
  <si>
    <t xml:space="preserve">
Dual Plug Cable</t>
  </si>
  <si>
    <t>TF1700 Lens</t>
  </si>
  <si>
    <t>TF1700 Back Casing</t>
  </si>
  <si>
    <t>TF1700 Fingerprint Sensor Waterproof</t>
  </si>
  <si>
    <t>TF1700 Keypad silicone</t>
  </si>
  <si>
    <t>USB Cover</t>
  </si>
  <si>
    <t>TF1700 Waterproof silicone</t>
  </si>
  <si>
    <t>FFC CABLE</t>
  </si>
  <si>
    <t>ZK3300_FFS Fingerprint Sensor</t>
  </si>
  <si>
    <t>ZK3300-FFS-V2.1-130830</t>
  </si>
  <si>
    <t>TF1700 Speaker Waterproof</t>
  </si>
  <si>
    <t>TF1700 Key</t>
  </si>
  <si>
    <t>TF1700 Keyboard</t>
  </si>
  <si>
    <t>TF1700_KEY-V1.0-110916</t>
  </si>
  <si>
    <t>Screw gaskets</t>
  </si>
  <si>
    <t>SCREWS</t>
  </si>
  <si>
    <t>PWM2.5*8 (S922 SCREWS)</t>
  </si>
  <si>
    <t>Single Plug Cable</t>
  </si>
  <si>
    <t>Screw</t>
  </si>
  <si>
    <t>TM3*5 screw</t>
  </si>
  <si>
    <t>Fast Recovery Diodes</t>
  </si>
  <si>
    <t>B06 MiFare moudle</t>
  </si>
  <si>
    <t>MB700 CAMERA COVERS</t>
  </si>
  <si>
    <t>Silicon Prisms</t>
  </si>
  <si>
    <t>Finger Print sensor 3300</t>
  </si>
  <si>
    <t>VF Series Camera</t>
  </si>
  <si>
    <t>TF1700 magnet</t>
  </si>
  <si>
    <t>F18 SILICON BUTTONS</t>
  </si>
  <si>
    <t>F18 
Light barrier</t>
  </si>
  <si>
    <t>F18 KEY PAD BUTTONS</t>
  </si>
  <si>
    <t>MA300 BACK Casing</t>
  </si>
  <si>
    <t>F18 KEY PAD BOARD</t>
  </si>
  <si>
    <t>F18 TFT Module</t>
  </si>
  <si>
    <t>F18 SCREEN/ 2.4" TFT</t>
  </si>
  <si>
    <t>F17 BACK CASING</t>
  </si>
  <si>
    <t>FR1200 Interconnection Board</t>
  </si>
  <si>
    <t>(FR1200_ZLM30-V1.3-151023)</t>
  </si>
  <si>
    <t>FR1200 ID Module</t>
  </si>
  <si>
    <t>IDM202AW-V3(A09)</t>
  </si>
  <si>
    <t>FR1200 back panel</t>
  </si>
  <si>
    <t>FR1200 Front panel</t>
  </si>
  <si>
    <t>FR1200 Português User Manual (OEM)</t>
  </si>
  <si>
    <t>FR1200 Color Box (OEM)</t>
  </si>
  <si>
    <t>FR1200 Container (OEM)</t>
  </si>
  <si>
    <t>SC103 Front panel</t>
  </si>
  <si>
    <t>SC103 back panel</t>
  </si>
  <si>
    <t>SC102 silica gel kaypad</t>
  </si>
  <si>
    <t>SC102 kaypad</t>
  </si>
  <si>
    <t>SC100 keyboard plate</t>
  </si>
  <si>
    <t>the double head thrust line</t>
  </si>
  <si>
    <t>HD_CAMERA2 Camera Moudle (Normal Lens)</t>
  </si>
  <si>
    <t>ZK Optical Sensor
(ZKV710P)</t>
  </si>
  <si>
    <t>ZK Fingerprint &amp; Vein Sensor for FV18</t>
  </si>
  <si>
    <t>ZK Fingerprint &amp; Vein Sensor for FV350,  inpluse+.</t>
  </si>
  <si>
    <t>ZK Optical Sensor
(ZKV700P)</t>
  </si>
  <si>
    <t>ZK Fingerprint Sensor for V350,  inpluse.</t>
  </si>
  <si>
    <t>LS-POE-1220</t>
  </si>
  <si>
    <t>PoE Splitter 
LS-POE-1220 12V 2A</t>
  </si>
  <si>
    <t>12V/3A switching AC Adapter</t>
  </si>
  <si>
    <t>Manufacturer Part Number:A17010105
Plug to device: 90° , φ2.1mm 
cable length:1.8m</t>
  </si>
  <si>
    <t>Manufacturer Part Number: A17010092
Plug to device: 180° , φ2.1mm 
cable length:1.8m</t>
  </si>
  <si>
    <t>ZKPSM030B</t>
  </si>
  <si>
    <t>Spare parts for C3-100/200/400 Package B
AC Adapter for Controller with uninterrupted battery function
Input:110-240V AC,  50/60Hz
Output: 13.7V/3.5A+1A</t>
  </si>
  <si>
    <t>TPM003B</t>
  </si>
  <si>
    <t>Spare parts for inBIO160 Package B
AC Adapter for Controller with uninterrupted battery function                                    
Input:110-240V AC,  50/60Hz                                                                                                                                                                Output: 13.8V/3A+1A</t>
  </si>
  <si>
    <t>TPM005B</t>
  </si>
  <si>
    <t>Spare parts for inBIO260/460 Package B
AC Adapter for Controller with uninterrupted battery function
Input:110-240V AC,  50/60Hz
Output: 13.8V/5A+1A</t>
  </si>
  <si>
    <t>Exit Button</t>
  </si>
  <si>
    <t>K2</t>
  </si>
  <si>
    <t xml:space="preserve">Non touch Exit Sensor with Remote Key
(Diffused Detection)
NO NC COM relay output
Size: 115L*70W(mm)  
</t>
  </si>
  <si>
    <t>K2S</t>
  </si>
  <si>
    <t xml:space="preserve">Non touch Exit Sensor with Remote Key(Diffused Detection)
NO NC COM relay output
Size: 86L*86W(mm)    </t>
  </si>
  <si>
    <t>Remote Key</t>
  </si>
  <si>
    <t>Remote control for K2/K2S</t>
  </si>
  <si>
    <t>RM01</t>
  </si>
  <si>
    <t>1. Relay Output Module
2. The driving voltage: DC 12V 
3. Contact capacity: 10A 250VAC    10A 125VAC   10A 30VDC   10A 28VDC</t>
  </si>
  <si>
    <t>USB Reader</t>
  </si>
  <si>
    <t>CR20E</t>
  </si>
  <si>
    <t>Read 125K proximity card number,  USB interface</t>
  </si>
  <si>
    <t>CR20M</t>
  </si>
  <si>
    <t>Read 13.56MHz mifare card number,  USB interface</t>
  </si>
  <si>
    <t>CR20MW</t>
  </si>
  <si>
    <t>Read and write 13.56MHz mifare card,  USB interface</t>
  </si>
  <si>
    <t>CR10E</t>
  </si>
  <si>
    <t>CR10M</t>
  </si>
  <si>
    <t>CR10MW</t>
  </si>
  <si>
    <t>Protection Box</t>
  </si>
  <si>
    <t>Case 01 Metal Box</t>
  </si>
  <si>
    <t>Metal Box for C3 Series control panel,  including key,  cables,  iron plate etc.</t>
  </si>
  <si>
    <t>Case 04 Metal Box</t>
  </si>
  <si>
    <t>Metal Box for inBIO Series control panel,  including LED indicator,  key,  cables,  iron plate etc.</t>
  </si>
  <si>
    <t>WP01</t>
  </si>
  <si>
    <t>Protective Cover for TF1700/TF1600</t>
  </si>
  <si>
    <t>MA300 
Cable Tray</t>
  </si>
  <si>
    <t>Metal Cable Tray for MA300 to install on walls that cannot drill holes.</t>
  </si>
  <si>
    <t>MF7</t>
  </si>
  <si>
    <t>Metal Box for F7/F708/SF200</t>
  </si>
  <si>
    <t>ZF8</t>
  </si>
  <si>
    <t>Metal box for F8/F8-T</t>
  </si>
  <si>
    <t>ACBox 05</t>
  </si>
  <si>
    <t>matal box for SpeedFace V5L</t>
  </si>
  <si>
    <t>ACBox 06</t>
  </si>
  <si>
    <t>Matel box for SpeedFace V5L-RFID</t>
  </si>
  <si>
    <t>MF2</t>
  </si>
  <si>
    <t>Metal box for F702-S/F703-S</t>
  </si>
  <si>
    <t>Used for C3-400</t>
  </si>
  <si>
    <t>Used for C3-200</t>
  </si>
  <si>
    <t>Used forC3-100</t>
  </si>
  <si>
    <t>Used for Inbio160</t>
  </si>
  <si>
    <t>Used for Inbio 260</t>
  </si>
  <si>
    <t>Used for Inbio 460</t>
  </si>
  <si>
    <t>Access Control  Accessory</t>
  </si>
  <si>
    <t>Access Control  Accessory Kit</t>
  </si>
  <si>
    <t>What's in the box?
·Electric Magnetic lock :
  1*X02117011 LMB-280L
  1*X02116047 LM-2805 
·Uninterruptible Power Supply
  1*X01701046 PS902B (With backup battery) 
·Touchless Exit:
  1*X01501055 TLEB102 
·Lock Bracket:
  1*X02117012 LMB-280Z</t>
  </si>
  <si>
    <t>Suitbable for all acess control device</t>
  </si>
  <si>
    <t>Access Control  Accessory Kit
(Without backup battery)</t>
  </si>
  <si>
    <t>What's in the box?
·Electric Magnetic lock :
  1*X02117011 LMB-280L
  1*X02116047 LM-2805 
·Uninterruptible Power Supply:
  1*X01701046 PS902B(Without backup battery) 
·Touchless Exit:
  1*X01501055 TLEB102 
·Lock Bracket:
  1*X02117012 LMB-280Z</t>
  </si>
  <si>
    <t>BioCV Accessories</t>
  </si>
  <si>
    <t>Model</t>
  </si>
  <si>
    <t>Camera Model</t>
  </si>
  <si>
    <t>2MP camera module (with lens set)</t>
  </si>
  <si>
    <t>FaceKiosk-V43
FaceKiosk-V32
FaceKiosk-H32
FaceKiosk-H21</t>
  </si>
  <si>
    <t>AC Adapter Board</t>
  </si>
  <si>
    <t>AC Adapter board for FaceKiosk-V43</t>
  </si>
  <si>
    <t>FaceKiosk-V43</t>
  </si>
  <si>
    <t>ZKB10</t>
  </si>
  <si>
    <t>QR code scanner module</t>
  </si>
  <si>
    <t>FaceKiosk-H13A
G4
G4[TD]
G4[TI]</t>
  </si>
  <si>
    <t>Paper</t>
  </si>
  <si>
    <t>Thermal Label Printer Paper</t>
  </si>
  <si>
    <t>FaceKiosk-H13C
FaceKiosk-H13C[TD]
FaceKiosk-V32T</t>
  </si>
  <si>
    <t>SMART BUSINESS DIGITAL BOARD</t>
  </si>
  <si>
    <t>Interactive Digital board</t>
  </si>
  <si>
    <t xml:space="preserve">65''/Black </t>
  </si>
  <si>
    <t>ZK-IWB65B</t>
  </si>
  <si>
    <t>1. Displays screen:UHD 4K(3840*2160P) ;D-LED backlight;350nit brightness;
2. Slim bezel design, less weight;
3. 7H hardness 4mm Anti-glare (AG) Glass 
4. Powerful Stereo Sound: Dual-front-facing speakers with 10W (Tweeter)+Back side15W（Woofer）;
5. Embedded Microphone &amp; Camera: built-in 13-megapixel camera and 6-Array microphone  with pick up sound distance 8m
6. Excellent touch performance: 20 touch points and support gesture recognition, fast response speed, and high fluency in writing and presentation;
7. Support wireless screen casting;
8. Built-in Android 8.0(4G RAM+32G ROM), Hi3751V811 chipset，4-core CPU(2*A73+2*A53), 4-core GPU(Mali-G51), Rich interface(HDMI IN * 3,HDMI OUT * 1, AUDIO OUT * 1, AUDIO IN * 1,SPDIF OUT * 1,VGA IN * 1,USB 2.0 * 3, USB 3.0 * 3,RJ45 IN * 1,RS232 * 1, Touch * 2)
9. Android-based Whiteboard: The user-friendly whiteboard software makes meetings and conferences more efficient and collaborative;
10. ZKTeco LOGO.</t>
  </si>
  <si>
    <t>75''/Black</t>
  </si>
  <si>
    <t>ZK-IWB75B</t>
  </si>
  <si>
    <t>86''/Black</t>
  </si>
  <si>
    <t>ZK-IWB86B</t>
  </si>
  <si>
    <t>65''/Silver gray</t>
  </si>
  <si>
    <t>ZK-IWB65S</t>
  </si>
  <si>
    <t>75''/Silver gray</t>
  </si>
  <si>
    <t>ZK-IWB75S</t>
  </si>
  <si>
    <t>86''/Silver gray</t>
  </si>
  <si>
    <t>ZK-IWB86S</t>
  </si>
  <si>
    <t>Digital board accessory</t>
  </si>
  <si>
    <t>/</t>
  </si>
  <si>
    <t>ZK-OPS8581</t>
  </si>
  <si>
    <t>OPS module Intel®core I5 8th generation  8GB DDR ram  + 128GB SSD hard disk</t>
  </si>
  <si>
    <t>Black</t>
  </si>
  <si>
    <t>ZK-IWBA01B</t>
  </si>
  <si>
    <t>1: Color: Black,Apply to ZK-IWB65/75/86B
2:1172×663×1602mm,Apply for 65-86inch
3:Maximum load-bearing 100KG</t>
  </si>
  <si>
    <t>Silver gray</t>
  </si>
  <si>
    <t>ZK-IWBA01S</t>
  </si>
  <si>
    <t>1: Color: Silver gray,Apply to ZK-IWB65/75/86S
2: 1172×663×1602mm,Apply for 65-86inch
3:Maximum load-bearing 100KG</t>
  </si>
  <si>
    <t>ZK-IWBA02</t>
  </si>
  <si>
    <t>1:USB2.0  interface
2:Support 12m distance wireless projection</t>
  </si>
  <si>
    <t>SMART VIDEO SYSTEM</t>
  </si>
  <si>
    <t xml:space="preserve">4 POE Ports </t>
  </si>
  <si>
    <t xml:space="preserve">  POE Switch</t>
  </si>
  <si>
    <t>PE041-55-C</t>
  </si>
  <si>
    <t>• 4 PoE Ports (10/100 Mbps) 
• 1 Uplink Ports (10/100 Mbps)                                                                
• Long-distance PoE Transmits Power and Data 250 meters (Cat 6)
• Max PoE power output 30W for each port
• Conforms to IEEE 802.3af and IEEE 803.3at
• Support dialing VLAN and PoE Watchdog
• Port lightning protection level 4kv, ESD 8kv
• Power lightning protection rating 4kv</t>
  </si>
  <si>
    <t>PE042-55-C</t>
  </si>
  <si>
    <t>• 4 PoE Ports (10/100 Mbps) 
• 2 Uplink Ports (10/100 Mbps)                                                                
• Long-distance PoE Transmits Power and Data 250 meters ((Cat 6)
• Max PoE power output 30W for each port
• Conforms to IEEE 802.3af and IEEE 803.3at
• Support dialing VLAN and PoE Watchdog
• Port lightning protection level 4kv, ESD 8kv
• Power lightning protection rating 4kv</t>
  </si>
  <si>
    <t xml:space="preserve">8 POE Ports </t>
  </si>
  <si>
    <t>PE082-120-C</t>
  </si>
  <si>
    <t>• 8 PoE Ports (10/100 Mbps) 
• 2 Uplink Ports (10/100 Mbps)
• Long-distance PoE Transmits Power and Data 250 meters (Cat 6)
• Max PoE power output 30W for each port
• Conforms to IEEE 802.3af and IEEE 803.3at
• Support dialing VLAN and PoE Watchdog
• Port lightning protection level 4kv, ESD 8kv
• Power lightning protection rating 4kv</t>
  </si>
  <si>
    <t xml:space="preserve">16 POE Ports </t>
  </si>
  <si>
    <t>PE162-200-C</t>
  </si>
  <si>
    <t>• 16 PoE Ports (10/100 Mbps) 
• 2 Uplink Ports (10/100/1000 Mbps) + 1 Uplink SFP Optical Port (10/100/1000Mbps)                                                     
• Long-distance PoE Transmits Power and Data 250 meters (Cat 6)
• Max PoE power output 30W for each port
• Conforms to IEEE 802.3af and IEEE 803.3at
• Support dialing VLAN and PoE Watchdog
• Port lightning protection level 4kv, ESD 8kv
• Power lightning protection rating 4kv</t>
  </si>
  <si>
    <t xml:space="preserve">24 POE Ports </t>
  </si>
  <si>
    <t>PE242-300-C</t>
  </si>
  <si>
    <t>• 24 PoE Ports (10/100 Mbps) 
• 2 Uplink Ports (10/100/1000 Mbps)  + 1 Uplink SFP Optical Port (10/100/1000Mbps)                                                             
• Long-distance PoE Transmits Power and Data 250 meters (Cat 6)
• Max PoE power output 30W for each port
• Conforms to IEEE 802.3af and IEEE 803.3at
• Support dialing VLAN and PoE Watchdog
• Port lightning protection level 4kv, ESD 8kv
• Power lightning protection rating 4kv</t>
  </si>
  <si>
    <t xml:space="preserve">19'' LED Monitor </t>
  </si>
  <si>
    <t>LED Monitor</t>
  </si>
  <si>
    <t>ZD19-2K</t>
  </si>
  <si>
    <t>19″ LED HD Monitor
Brightness:  300 cd/m2
Contrast: 3000:1
Response Time: 5ms
Color: 16.7M
Video Inputs: 1*HDMI, 1*VGA</t>
  </si>
  <si>
    <t xml:space="preserve">22'' LED Monitor </t>
  </si>
  <si>
    <t>ZD22-2K</t>
  </si>
  <si>
    <t>22″ 2K LED FHD Monitor
Brightness:  450 cd/m2
Contrast: 3000:1
Response Time: 5ms
Color: 16.7M
Video Inputs: 1*HDMI, 1*VGA</t>
  </si>
  <si>
    <t xml:space="preserve">27'' LED Monitor </t>
  </si>
  <si>
    <t>ZD27-2K</t>
  </si>
  <si>
    <t>27″ 2K LED UHD Monitor
Brightness:  450 cd/m2
Contrast: 3000:1
Response Time: 5ms
Color: 16.7M
Video Inputs: 1*HDMI, 1*VGA, 1*DVI, 1*BNC</t>
  </si>
  <si>
    <t xml:space="preserve">32'' LED Monitor </t>
  </si>
  <si>
    <t>ZD32-4K</t>
  </si>
  <si>
    <t>32″4K LED UHD Monitor
Brightness:  500 cd/m2
Contrast: 3000:1
Response Time: 5ms
Color: 16.7M
Video Inputs: 1*HDMI, 1*VGA*, 1*DVI, 1*BNC</t>
  </si>
  <si>
    <t xml:space="preserve">43'' LED Monitor </t>
  </si>
  <si>
    <t>ZD43-4K</t>
  </si>
  <si>
    <t>43″4K LED UHD Monitor
Brightness:  700 cd/m2
Contrast: 3000:1
Response Time: 5ms
Color: 16.7M
Video Inputs: 2*HDMI, 1*VGA*, 1*DVI, 2*BNC</t>
  </si>
  <si>
    <t xml:space="preserve">50'' LED Monitor </t>
  </si>
  <si>
    <t>ZD50-4K</t>
  </si>
  <si>
    <t>50″4K LED UHD Monitor
Brightness:  750 cd/m2
Contrast: 3000:1
Response Time: 5ms
Color: 16.7M
Video Inputs: 2*HDMI,  1*VGA*, 1*DVI, 2*BNC</t>
  </si>
  <si>
    <t>Bracket for 19-22'' LED Monitor</t>
  </si>
  <si>
    <t>ZD-BJ02</t>
  </si>
  <si>
    <t>Fits 19-22" LED LCD PDP; flat panel tv wall mount;                                                                                                                                         Load capacity  (55Ibs/25kg) ; VESA  
compiance (75*75, 100*100, 200*200 mm) ;  EZ 
(Easy  &amp; Fast  Installatin) ;</t>
  </si>
  <si>
    <t>Bracket for 27-32'' LED Monitor</t>
  </si>
  <si>
    <t>ZD-BJ03</t>
  </si>
  <si>
    <t>Fits 32" LED LCD PDP flat panel tv wall mount;                                                                                                                                         Load capacity  (110Ibs/50kg) ;                                                                                                                   VESA  compiance (200*200 , 200*400 , 300*300, 400*400 mm) ;                                              EZ (Easy  &amp; Fast  Installatin)</t>
  </si>
  <si>
    <t>Bracket for 43-50'' LED Monitor</t>
  </si>
  <si>
    <t>ZD-BJ04</t>
  </si>
  <si>
    <t>Fits 32"- 75" LED LCD PDP flat panel tv wall mount;                                                                  Load capacity  (165Ibs/75kg) ;                                                                                                   VESA  compiance (200*200 , 200*400, 300*300, 400*400, 600*500 mm) ;                                                    EZ   (Easy &amp; Fast  Installatin) ;</t>
  </si>
  <si>
    <t>HONEYWELL</t>
  </si>
  <si>
    <t>VISTA INTRUSION</t>
  </si>
  <si>
    <t>VISTA-20PLCT</t>
  </si>
  <si>
    <t>Control Panel PCB only</t>
  </si>
  <si>
    <t>Supports four graphic touchscreen keypadsWireless keys can be programmed without using zonesEight on-board hardwired zones standard (15 when Zone Doubling feature is used) – 40 hardwire expansion zones – 40 wireless expansion zones</t>
  </si>
  <si>
    <t>Deluxe Keypad</t>
  </si>
  <si>
    <t>The attractive white console blends with any décor and features a contoured, removable door that conceals illuminated soft-touch keys. This also features a new larger and brighter 32-character display with easy-to-read plain-English status messages.</t>
  </si>
  <si>
    <t>SELF CONTAINED ELECTRIC SIREN</t>
  </si>
  <si>
    <t>• Combination speaker and siren driver• Dual tone - warble and steady• 6 to 12VDC power input• Small size - 5" diameter• Indoor or outdoor use• Weather resistant, high impact construction</t>
  </si>
  <si>
    <t>IS335T</t>
  </si>
  <si>
    <t>PASSIVE INFRARED MOTION SENSOR WITH TAMPER</t>
  </si>
  <si>
    <t>•Wall-to-Wall Coverage • Provides superior protection against false alarms without sacrificing catch performance.•When pet immunity is enabled, the detector can distinguish between signals caused by humans while ignoring pets up to 80 lbs.</t>
  </si>
  <si>
    <t>7939WG-WH</t>
  </si>
  <si>
    <t>MAGNETIC CONTACT</t>
  </si>
  <si>
    <t xml:space="preserve"> a white, surface mount magnetic contact designed for Form A SPST (normally closed contact) wired alarm systems. The two-screw terminal system makes for easy zone wiring.</t>
  </si>
  <si>
    <t>4204 IAS</t>
  </si>
  <si>
    <t>Intelligent relay board</t>
  </si>
  <si>
    <t>Adds 4 programmable relays to selected VISTA panelsEasily wired to control panelFits inside Universal Control Cabinet</t>
  </si>
  <si>
    <t>WINPAK ACCESS CONTROL</t>
  </si>
  <si>
    <t>WPS 46</t>
  </si>
  <si>
    <t>WIN-PAK Standard Edition</t>
  </si>
  <si>
    <t xml:space="preserve"> - Software AC/VWi-Fi Simple ConfigPush 'n' ConnectPBCQuick Secure Setup (QSS)</t>
  </si>
  <si>
    <t>IP-AK2</t>
  </si>
  <si>
    <t>Web Based Access Control</t>
  </si>
  <si>
    <t>• 2-doors controller, expandable up to 20 doors over RS485 network • Embedded Web server • Cardholders: 10,000 • Transaction storage: 25,000 alarms and events</t>
  </si>
  <si>
    <t>PRO 3000</t>
  </si>
  <si>
    <t>2-Door Intelligent Controller</t>
  </si>
  <si>
    <t>-capable of providing solutions for medium to large applications-provides power and flexibility with its 32-bit CPU architecture, TCP/IP protocol support, flash memory for firmware and large local card holder database.</t>
  </si>
  <si>
    <t>CA-MA-R10</t>
  </si>
  <si>
    <t>MIFARE Access Card Reader Black</t>
  </si>
  <si>
    <t>13.56MHz Contactless Smart Card ReaderISO14443A (MIFARE®) compatibleRead range – up to 5cmWiegand output interfaceIP65 weatherproof enclosureBuilt-in buzzer</t>
  </si>
  <si>
    <t>CA-MS-C</t>
  </si>
  <si>
    <t>MIFARE card, 8K(16Sectors)</t>
  </si>
  <si>
    <t>, HW LogoStandard MIFARE® card, 8K(16 sectors) , S50 standard, 85.5*54*0.88mm(ISO standard), Honeywell VISTA Logo .</t>
  </si>
  <si>
    <t>CA-MS-RW</t>
  </si>
  <si>
    <t>MIFARE Sector Card Reader</t>
  </si>
  <si>
    <t>• Read-write MIFARE® card• Built-in buzzer• Compact design for desktop use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</si>
</sst>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PHP]\ #,##0.00"/>
    <numFmt numFmtId="165" formatCode="_(* #,##0.00_);_(* \(#,##0.00\);_(* &quot;-&quot;??_);_(@_)"/>
    <numFmt numFmtId="166" formatCode="[$PHP]\ #,##0.0"/>
    <numFmt numFmtId="167" formatCode="0.00;[Red]0.00"/>
  </numFmts>
  <fonts count="6">
    <font>
      <sz val="10.0"/>
      <color rgb="FF000000"/>
      <name val="Arial"/>
      <scheme val="minor"/>
    </font>
    <font>
      <b/>
      <sz val="13.0"/>
      <color rgb="FFFFFFFF"/>
      <name val="Arial"/>
      <scheme val="minor"/>
    </font>
    <font/>
    <font>
      <sz val="10.0"/>
      <color theme="1"/>
      <name val="Arial"/>
      <scheme val="minor"/>
    </font>
    <font>
      <sz val="10.0"/>
      <color rgb="FFFF0000"/>
      <name val="Arial"/>
      <scheme val="minor"/>
    </font>
    <font>
      <sz val="10.0"/>
      <color theme="1"/>
      <name val="Arial"/>
    </font>
  </fonts>
  <fills count="8">
    <fill>
      <patternFill patternType="none"/>
    </fill>
    <fill>
      <patternFill patternType="lightGray"/>
    </fill>
    <fill>
      <patternFill patternType="solid">
        <fgColor rgb="FF073763"/>
        <bgColor rgb="FF073763"/>
      </patternFill>
    </fill>
    <fill>
      <patternFill patternType="solid">
        <fgColor rgb="FFA5A5A5"/>
        <bgColor rgb="FFA5A5A5"/>
      </patternFill>
    </fill>
    <fill>
      <patternFill patternType="solid">
        <fgColor rgb="FFFFE598"/>
        <bgColor rgb="FFFFE598"/>
      </patternFill>
    </fill>
    <fill>
      <patternFill patternType="solid">
        <fgColor rgb="FFFFFFFF"/>
        <bgColor rgb="FFFFFFFF"/>
      </patternFill>
    </fill>
    <fill>
      <patternFill patternType="solid">
        <fgColor rgb="FFBFBFBF"/>
        <bgColor rgb="FFBFBFBF"/>
      </patternFill>
    </fill>
    <fill>
      <patternFill patternType="solid">
        <fgColor rgb="FFFFFF00"/>
        <bgColor rgb="FFFFFF00"/>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4" fillId="0" fontId="3" numFmtId="0" xfId="0" applyAlignment="1" applyBorder="1" applyFont="1">
      <alignment readingOrder="0"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shrinkToFit="0" vertical="center" wrapText="1"/>
    </xf>
    <xf borderId="4" fillId="0" fontId="3" numFmtId="164" xfId="0" applyAlignment="1" applyBorder="1" applyFont="1" applyNumberFormat="1">
      <alignment horizontal="center" shrinkToFit="0" vertical="center" wrapText="1"/>
    </xf>
    <xf borderId="4" fillId="0" fontId="3" numFmtId="164" xfId="0" applyAlignment="1" applyBorder="1" applyFont="1" applyNumberFormat="1">
      <alignment shrinkToFit="0" vertical="center" wrapText="1"/>
    </xf>
    <xf borderId="4" fillId="3" fontId="3" numFmtId="0" xfId="0" applyAlignment="1" applyBorder="1" applyFill="1" applyFont="1">
      <alignment horizontal="center" shrinkToFit="0" vertical="center" wrapText="1"/>
    </xf>
    <xf borderId="4" fillId="3" fontId="3" numFmtId="0" xfId="0" applyAlignment="1" applyBorder="1" applyFont="1">
      <alignment shrinkToFit="0" vertical="center" wrapText="1"/>
    </xf>
    <xf borderId="4" fillId="3" fontId="4" numFmtId="0" xfId="0" applyAlignment="1" applyBorder="1" applyFont="1">
      <alignment shrinkToFit="0" vertical="center" wrapText="1"/>
    </xf>
    <xf borderId="4" fillId="0" fontId="3" numFmtId="0" xfId="0" applyAlignment="1" applyBorder="1" applyFont="1">
      <alignment readingOrder="0" shrinkToFit="0" wrapText="1"/>
    </xf>
    <xf borderId="4" fillId="0" fontId="3" numFmtId="0" xfId="0" applyAlignment="1" applyBorder="1" applyFont="1">
      <alignment horizontal="center" readingOrder="0" shrinkToFit="0" wrapText="1"/>
    </xf>
    <xf borderId="4" fillId="0" fontId="3" numFmtId="0" xfId="0" applyAlignment="1" applyBorder="1" applyFont="1">
      <alignment horizontal="center" shrinkToFit="0" wrapText="1"/>
    </xf>
    <xf borderId="4" fillId="0" fontId="3" numFmtId="0" xfId="0" applyAlignment="1" applyBorder="1" applyFont="1">
      <alignment shrinkToFit="0" wrapText="1"/>
    </xf>
    <xf borderId="4" fillId="0" fontId="3" numFmtId="164" xfId="0" applyAlignment="1" applyBorder="1" applyFont="1" applyNumberFormat="1">
      <alignment horizontal="right" shrinkToFit="0" wrapText="1"/>
    </xf>
    <xf borderId="4" fillId="4" fontId="3" numFmtId="165" xfId="0" applyAlignment="1" applyBorder="1" applyFill="1" applyFont="1" applyNumberFormat="1">
      <alignment horizontal="center" shrinkToFit="0" wrapText="1"/>
    </xf>
    <xf borderId="4" fillId="0" fontId="3" numFmtId="165" xfId="0" applyAlignment="1" applyBorder="1" applyFont="1" applyNumberFormat="1">
      <alignment horizontal="center" shrinkToFit="0" wrapText="1"/>
    </xf>
    <xf borderId="4" fillId="3" fontId="3" numFmtId="0" xfId="0" applyAlignment="1" applyBorder="1" applyFont="1">
      <alignment horizontal="center" shrinkToFit="0" wrapText="1"/>
    </xf>
    <xf borderId="4" fillId="3" fontId="3" numFmtId="0" xfId="0" applyAlignment="1" applyBorder="1" applyFont="1">
      <alignment shrinkToFit="0" wrapText="1"/>
    </xf>
    <xf borderId="4" fillId="5" fontId="3" numFmtId="0" xfId="0" applyAlignment="1" applyBorder="1" applyFill="1" applyFont="1">
      <alignment horizontal="center" readingOrder="0" shrinkToFit="0" wrapText="1"/>
    </xf>
    <xf borderId="4" fillId="5" fontId="3" numFmtId="0" xfId="0" applyAlignment="1" applyBorder="1" applyFont="1">
      <alignment horizontal="center" shrinkToFit="0" wrapText="1"/>
    </xf>
    <xf borderId="4" fillId="5" fontId="3" numFmtId="0" xfId="0" applyAlignment="1" applyBorder="1" applyFont="1">
      <alignment shrinkToFit="0" wrapText="1"/>
    </xf>
    <xf borderId="4" fillId="5" fontId="4" numFmtId="0" xfId="0" applyAlignment="1" applyBorder="1" applyFont="1">
      <alignment horizontal="center" shrinkToFit="0" wrapText="1"/>
    </xf>
    <xf borderId="4" fillId="5" fontId="4" numFmtId="0" xfId="0" applyAlignment="1" applyBorder="1" applyFont="1">
      <alignment shrinkToFit="0" wrapText="1"/>
    </xf>
    <xf borderId="4" fillId="0" fontId="3" numFmtId="164" xfId="0" applyAlignment="1" applyBorder="1" applyFont="1" applyNumberFormat="1">
      <alignment horizontal="center" shrinkToFit="0" wrapText="1"/>
    </xf>
    <xf borderId="4" fillId="6" fontId="3" numFmtId="0" xfId="0" applyAlignment="1" applyBorder="1" applyFill="1" applyFont="1">
      <alignment horizontal="center" shrinkToFit="0" wrapText="1"/>
    </xf>
    <xf borderId="4" fillId="6" fontId="3" numFmtId="0" xfId="0" applyAlignment="1" applyBorder="1" applyFont="1">
      <alignment shrinkToFit="0" wrapText="1"/>
    </xf>
    <xf borderId="4" fillId="7" fontId="3" numFmtId="0" xfId="0" applyAlignment="1" applyBorder="1" applyFill="1" applyFont="1">
      <alignment shrinkToFit="0" wrapText="1"/>
    </xf>
    <xf borderId="4" fillId="0" fontId="4" numFmtId="0" xfId="0" applyAlignment="1" applyBorder="1" applyFont="1">
      <alignment shrinkToFit="0" wrapText="1"/>
    </xf>
    <xf borderId="4" fillId="0" fontId="3" numFmtId="164" xfId="0" applyAlignment="1" applyBorder="1" applyFont="1" applyNumberFormat="1">
      <alignment shrinkToFit="0" wrapText="1"/>
    </xf>
    <xf borderId="5" fillId="0" fontId="3" numFmtId="0" xfId="0" applyAlignment="1" applyBorder="1" applyFont="1">
      <alignment horizontal="center" shrinkToFit="0" wrapText="1"/>
    </xf>
    <xf borderId="6" fillId="0" fontId="2" numFmtId="0" xfId="0" applyBorder="1" applyFont="1"/>
    <xf borderId="7" fillId="0" fontId="2" numFmtId="0" xfId="0" applyBorder="1" applyFont="1"/>
    <xf borderId="4" fillId="0" fontId="4" numFmtId="0" xfId="0" applyAlignment="1" applyBorder="1" applyFont="1">
      <alignment horizontal="center" shrinkToFit="0" wrapText="1"/>
    </xf>
    <xf borderId="4" fillId="7" fontId="3" numFmtId="0" xfId="0" applyAlignment="1" applyBorder="1" applyFont="1">
      <alignment horizontal="center" shrinkToFit="0" wrapText="1"/>
    </xf>
    <xf borderId="4" fillId="0" fontId="3" numFmtId="0" xfId="0" applyAlignment="1" applyBorder="1" applyFont="1">
      <alignment shrinkToFit="0" wrapText="1"/>
    </xf>
    <xf borderId="4" fillId="0" fontId="3" numFmtId="166" xfId="0" applyAlignment="1" applyBorder="1" applyFont="1" applyNumberFormat="1">
      <alignment horizontal="right" shrinkToFit="0" wrapText="1"/>
    </xf>
    <xf borderId="4" fillId="0" fontId="3" numFmtId="0" xfId="0" applyAlignment="1" applyBorder="1" applyFont="1">
      <alignment horizontal="center" shrinkToFit="0" wrapText="1"/>
    </xf>
    <xf borderId="4" fillId="0" fontId="3" numFmtId="167" xfId="0" applyAlignment="1" applyBorder="1" applyFont="1" applyNumberFormat="1">
      <alignment horizontal="center" shrinkToFit="0" wrapText="1"/>
    </xf>
    <xf borderId="4" fillId="0" fontId="4" numFmtId="0" xfId="0" applyAlignment="1" applyBorder="1" applyFont="1">
      <alignment horizontal="center" shrinkToFit="0" wrapText="1"/>
    </xf>
    <xf borderId="4" fillId="0" fontId="5" numFmtId="0" xfId="0" applyAlignment="1" applyBorder="1" applyFont="1">
      <alignment horizontal="center"/>
    </xf>
    <xf borderId="4" fillId="0" fontId="5" numFmtId="0" xfId="0" applyBorder="1" applyFont="1"/>
    <xf borderId="4" fillId="0" fontId="5" numFmtId="167" xfId="0" applyAlignment="1" applyBorder="1" applyFont="1" applyNumberFormat="1">
      <alignment horizontal="center"/>
    </xf>
    <xf borderId="4" fillId="0" fontId="5" numFmtId="0" xfId="0" applyAlignment="1" applyBorder="1" applyFont="1">
      <alignment shrinkToFit="0" wrapText="1"/>
    </xf>
    <xf borderId="4" fillId="0" fontId="5" numFmtId="164" xfId="0" applyAlignment="1" applyBorder="1" applyFont="1" applyNumberFormat="1">
      <alignment horizontal="center"/>
    </xf>
    <xf borderId="4" fillId="0" fontId="5" numFmtId="0" xfId="0" applyAlignment="1" applyBorder="1" applyFont="1">
      <alignment horizontal="center" shrinkToFit="0" wrapText="1"/>
    </xf>
    <xf borderId="4" fillId="0" fontId="5" numFmtId="0" xfId="0" applyAlignment="1" applyBorder="1" applyFont="1">
      <alignment horizontal="center" shrinkToFit="0" wrapText="1"/>
    </xf>
    <xf borderId="4" fillId="0" fontId="3" numFmtId="0" xfId="0" applyBorder="1" applyFont="1"/>
    <xf borderId="4" fillId="0" fontId="5" numFmtId="166" xfId="0" applyAlignment="1" applyBorder="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33.13"/>
    <col customWidth="1" min="7" max="7" width="19.88"/>
    <col customWidth="1" min="9" max="9" width="19.88"/>
  </cols>
  <sheetData>
    <row r="1" ht="26.25" customHeight="1">
      <c r="A1" s="1" t="s">
        <v>0</v>
      </c>
      <c r="B1" s="2"/>
      <c r="C1" s="2"/>
      <c r="D1" s="2"/>
      <c r="E1" s="2"/>
      <c r="F1" s="2"/>
      <c r="G1" s="2"/>
      <c r="H1" s="2"/>
      <c r="I1" s="3"/>
      <c r="J1" s="1" t="s">
        <v>1</v>
      </c>
      <c r="K1" s="3"/>
      <c r="L1" s="1" t="s">
        <v>2</v>
      </c>
      <c r="M1" s="3"/>
      <c r="N1" s="1" t="s">
        <v>3</v>
      </c>
      <c r="O1" s="3"/>
    </row>
    <row r="2">
      <c r="A2" s="4" t="s">
        <v>4</v>
      </c>
      <c r="B2" s="5" t="s">
        <v>5</v>
      </c>
      <c r="C2" s="6" t="s">
        <v>6</v>
      </c>
      <c r="D2" s="4" t="s">
        <v>7</v>
      </c>
      <c r="E2" s="4" t="s">
        <v>8</v>
      </c>
      <c r="F2" s="4" t="s">
        <v>9</v>
      </c>
      <c r="G2" s="6" t="s">
        <v>10</v>
      </c>
      <c r="H2" s="6" t="s">
        <v>11</v>
      </c>
      <c r="I2" s="6" t="s">
        <v>12</v>
      </c>
      <c r="J2" s="4" t="s">
        <v>13</v>
      </c>
      <c r="K2" s="4" t="s">
        <v>14</v>
      </c>
      <c r="L2" s="4" t="s">
        <v>15</v>
      </c>
      <c r="M2" s="4" t="s">
        <v>16</v>
      </c>
      <c r="N2" s="4" t="s">
        <v>17</v>
      </c>
      <c r="O2" s="4" t="s">
        <v>18</v>
      </c>
    </row>
    <row r="3">
      <c r="A3" s="5" t="s">
        <v>19</v>
      </c>
      <c r="B3" s="6" t="s">
        <v>20</v>
      </c>
      <c r="C3" s="4" t="s">
        <v>21</v>
      </c>
      <c r="D3" s="4" t="s">
        <v>22</v>
      </c>
      <c r="E3" s="4" t="s">
        <v>23</v>
      </c>
      <c r="F3" s="7" t="s">
        <v>24</v>
      </c>
      <c r="G3" s="7"/>
      <c r="H3" s="8">
        <v>12900.0</v>
      </c>
      <c r="I3" s="7"/>
      <c r="J3" s="9">
        <f t="shared" ref="J3:J20" si="2">H3</f>
        <v>12900</v>
      </c>
      <c r="K3" s="9">
        <f t="shared" ref="K3:O3" si="1">J3</f>
        <v>12900</v>
      </c>
      <c r="L3" s="9">
        <f t="shared" si="1"/>
        <v>12900</v>
      </c>
      <c r="M3" s="9">
        <f t="shared" si="1"/>
        <v>12900</v>
      </c>
      <c r="N3" s="9">
        <f t="shared" si="1"/>
        <v>12900</v>
      </c>
      <c r="O3" s="9">
        <f t="shared" si="1"/>
        <v>12900</v>
      </c>
    </row>
    <row r="4">
      <c r="A4" s="5" t="s">
        <v>19</v>
      </c>
      <c r="B4" s="6" t="s">
        <v>20</v>
      </c>
      <c r="C4" s="4" t="s">
        <v>21</v>
      </c>
      <c r="D4" s="4" t="s">
        <v>22</v>
      </c>
      <c r="E4" s="4" t="s">
        <v>25</v>
      </c>
      <c r="F4" s="7" t="s">
        <v>26</v>
      </c>
      <c r="G4" s="7"/>
      <c r="H4" s="8">
        <v>17800.0</v>
      </c>
      <c r="I4" s="7"/>
      <c r="J4" s="9">
        <f t="shared" si="2"/>
        <v>17800</v>
      </c>
      <c r="K4" s="9">
        <f t="shared" ref="K4:O4" si="3">J4</f>
        <v>17800</v>
      </c>
      <c r="L4" s="9">
        <f t="shared" si="3"/>
        <v>17800</v>
      </c>
      <c r="M4" s="9">
        <f t="shared" si="3"/>
        <v>17800</v>
      </c>
      <c r="N4" s="9">
        <f t="shared" si="3"/>
        <v>17800</v>
      </c>
      <c r="O4" s="9">
        <f t="shared" si="3"/>
        <v>17800</v>
      </c>
    </row>
    <row r="5">
      <c r="A5" s="5" t="s">
        <v>19</v>
      </c>
      <c r="B5" s="6" t="s">
        <v>20</v>
      </c>
      <c r="C5" s="4" t="s">
        <v>21</v>
      </c>
      <c r="D5" s="4" t="s">
        <v>22</v>
      </c>
      <c r="E5" s="4" t="s">
        <v>27</v>
      </c>
      <c r="F5" s="7" t="s">
        <v>28</v>
      </c>
      <c r="G5" s="7"/>
      <c r="H5" s="8">
        <v>26450.0</v>
      </c>
      <c r="I5" s="7"/>
      <c r="J5" s="9">
        <f t="shared" si="2"/>
        <v>26450</v>
      </c>
      <c r="K5" s="9">
        <f t="shared" ref="K5:O5" si="4">J5</f>
        <v>26450</v>
      </c>
      <c r="L5" s="9">
        <f t="shared" si="4"/>
        <v>26450</v>
      </c>
      <c r="M5" s="9">
        <f t="shared" si="4"/>
        <v>26450</v>
      </c>
      <c r="N5" s="9">
        <f t="shared" si="4"/>
        <v>26450</v>
      </c>
      <c r="O5" s="9">
        <f t="shared" si="4"/>
        <v>26450</v>
      </c>
    </row>
    <row r="6">
      <c r="A6" s="5" t="s">
        <v>19</v>
      </c>
      <c r="B6" s="6" t="s">
        <v>20</v>
      </c>
      <c r="C6" s="4" t="s">
        <v>21</v>
      </c>
      <c r="D6" s="4" t="s">
        <v>22</v>
      </c>
      <c r="E6" s="4" t="s">
        <v>29</v>
      </c>
      <c r="F6" s="7" t="s">
        <v>30</v>
      </c>
      <c r="G6" s="7"/>
      <c r="H6" s="8">
        <v>26450.0</v>
      </c>
      <c r="I6" s="7"/>
      <c r="J6" s="9">
        <f t="shared" si="2"/>
        <v>26450</v>
      </c>
      <c r="K6" s="9">
        <f t="shared" ref="K6:O6" si="5">J6</f>
        <v>26450</v>
      </c>
      <c r="L6" s="9">
        <f t="shared" si="5"/>
        <v>26450</v>
      </c>
      <c r="M6" s="9">
        <f t="shared" si="5"/>
        <v>26450</v>
      </c>
      <c r="N6" s="9">
        <f t="shared" si="5"/>
        <v>26450</v>
      </c>
      <c r="O6" s="9">
        <f t="shared" si="5"/>
        <v>26450</v>
      </c>
    </row>
    <row r="7">
      <c r="A7" s="5" t="s">
        <v>19</v>
      </c>
      <c r="B7" s="6" t="s">
        <v>20</v>
      </c>
      <c r="C7" s="4" t="s">
        <v>21</v>
      </c>
      <c r="D7" s="4" t="s">
        <v>22</v>
      </c>
      <c r="E7" s="4" t="s">
        <v>31</v>
      </c>
      <c r="F7" s="7" t="s">
        <v>32</v>
      </c>
      <c r="G7" s="7"/>
      <c r="H7" s="8">
        <v>12380.0</v>
      </c>
      <c r="I7" s="7"/>
      <c r="J7" s="9">
        <f t="shared" si="2"/>
        <v>12380</v>
      </c>
      <c r="K7" s="9">
        <f t="shared" ref="K7:O7" si="6">J7</f>
        <v>12380</v>
      </c>
      <c r="L7" s="9">
        <f t="shared" si="6"/>
        <v>12380</v>
      </c>
      <c r="M7" s="9">
        <f t="shared" si="6"/>
        <v>12380</v>
      </c>
      <c r="N7" s="9">
        <f t="shared" si="6"/>
        <v>12380</v>
      </c>
      <c r="O7" s="9">
        <f t="shared" si="6"/>
        <v>12380</v>
      </c>
    </row>
    <row r="8">
      <c r="A8" s="5" t="s">
        <v>19</v>
      </c>
      <c r="B8" s="6" t="s">
        <v>20</v>
      </c>
      <c r="C8" s="4" t="s">
        <v>21</v>
      </c>
      <c r="D8" s="4" t="s">
        <v>22</v>
      </c>
      <c r="E8" s="4" t="s">
        <v>33</v>
      </c>
      <c r="F8" s="7" t="s">
        <v>34</v>
      </c>
      <c r="G8" s="7"/>
      <c r="H8" s="8">
        <v>12380.0</v>
      </c>
      <c r="I8" s="7"/>
      <c r="J8" s="9">
        <f t="shared" si="2"/>
        <v>12380</v>
      </c>
      <c r="K8" s="9">
        <f t="shared" ref="K8:O8" si="7">J8</f>
        <v>12380</v>
      </c>
      <c r="L8" s="9">
        <f t="shared" si="7"/>
        <v>12380</v>
      </c>
      <c r="M8" s="9">
        <f t="shared" si="7"/>
        <v>12380</v>
      </c>
      <c r="N8" s="9">
        <f t="shared" si="7"/>
        <v>12380</v>
      </c>
      <c r="O8" s="9">
        <f t="shared" si="7"/>
        <v>12380</v>
      </c>
    </row>
    <row r="9">
      <c r="A9" s="5" t="s">
        <v>19</v>
      </c>
      <c r="B9" s="6" t="s">
        <v>20</v>
      </c>
      <c r="C9" s="4" t="s">
        <v>21</v>
      </c>
      <c r="D9" s="4" t="s">
        <v>22</v>
      </c>
      <c r="E9" s="4" t="s">
        <v>35</v>
      </c>
      <c r="F9" s="7" t="s">
        <v>36</v>
      </c>
      <c r="G9" s="7"/>
      <c r="H9" s="8">
        <v>12380.0</v>
      </c>
      <c r="I9" s="7"/>
      <c r="J9" s="9">
        <f t="shared" si="2"/>
        <v>12380</v>
      </c>
      <c r="K9" s="9">
        <f t="shared" ref="K9:O9" si="8">J9</f>
        <v>12380</v>
      </c>
      <c r="L9" s="9">
        <f t="shared" si="8"/>
        <v>12380</v>
      </c>
      <c r="M9" s="9">
        <f t="shared" si="8"/>
        <v>12380</v>
      </c>
      <c r="N9" s="9">
        <f t="shared" si="8"/>
        <v>12380</v>
      </c>
      <c r="O9" s="9">
        <f t="shared" si="8"/>
        <v>12380</v>
      </c>
    </row>
    <row r="10">
      <c r="A10" s="5" t="s">
        <v>19</v>
      </c>
      <c r="B10" s="6" t="s">
        <v>20</v>
      </c>
      <c r="C10" s="4" t="s">
        <v>21</v>
      </c>
      <c r="D10" s="4" t="s">
        <v>22</v>
      </c>
      <c r="E10" s="4" t="s">
        <v>37</v>
      </c>
      <c r="F10" s="7" t="s">
        <v>38</v>
      </c>
      <c r="G10" s="7"/>
      <c r="H10" s="8">
        <v>12380.0</v>
      </c>
      <c r="I10" s="7"/>
      <c r="J10" s="9">
        <f t="shared" si="2"/>
        <v>12380</v>
      </c>
      <c r="K10" s="9">
        <f t="shared" ref="K10:O10" si="9">J10</f>
        <v>12380</v>
      </c>
      <c r="L10" s="9">
        <f t="shared" si="9"/>
        <v>12380</v>
      </c>
      <c r="M10" s="9">
        <f t="shared" si="9"/>
        <v>12380</v>
      </c>
      <c r="N10" s="9">
        <f t="shared" si="9"/>
        <v>12380</v>
      </c>
      <c r="O10" s="9">
        <f t="shared" si="9"/>
        <v>12380</v>
      </c>
    </row>
    <row r="11">
      <c r="A11" s="5" t="s">
        <v>19</v>
      </c>
      <c r="B11" s="6" t="s">
        <v>20</v>
      </c>
      <c r="C11" s="4" t="s">
        <v>21</v>
      </c>
      <c r="D11" s="4" t="s">
        <v>22</v>
      </c>
      <c r="E11" s="4" t="s">
        <v>39</v>
      </c>
      <c r="F11" s="7" t="s">
        <v>40</v>
      </c>
      <c r="G11" s="7"/>
      <c r="H11" s="8">
        <v>14150.0</v>
      </c>
      <c r="I11" s="7"/>
      <c r="J11" s="9">
        <f t="shared" si="2"/>
        <v>14150</v>
      </c>
      <c r="K11" s="9">
        <f t="shared" ref="K11:O11" si="10">J11</f>
        <v>14150</v>
      </c>
      <c r="L11" s="9">
        <f t="shared" si="10"/>
        <v>14150</v>
      </c>
      <c r="M11" s="9">
        <f t="shared" si="10"/>
        <v>14150</v>
      </c>
      <c r="N11" s="9">
        <f t="shared" si="10"/>
        <v>14150</v>
      </c>
      <c r="O11" s="9">
        <f t="shared" si="10"/>
        <v>14150</v>
      </c>
    </row>
    <row r="12">
      <c r="A12" s="5" t="s">
        <v>19</v>
      </c>
      <c r="B12" s="6" t="s">
        <v>20</v>
      </c>
      <c r="C12" s="4" t="s">
        <v>21</v>
      </c>
      <c r="D12" s="4" t="s">
        <v>22</v>
      </c>
      <c r="E12" s="4" t="s">
        <v>41</v>
      </c>
      <c r="F12" s="7" t="s">
        <v>42</v>
      </c>
      <c r="G12" s="7"/>
      <c r="H12" s="8">
        <v>19450.0</v>
      </c>
      <c r="I12" s="7"/>
      <c r="J12" s="9">
        <f t="shared" si="2"/>
        <v>19450</v>
      </c>
      <c r="K12" s="9">
        <f t="shared" ref="K12:O12" si="11">J12</f>
        <v>19450</v>
      </c>
      <c r="L12" s="9">
        <f t="shared" si="11"/>
        <v>19450</v>
      </c>
      <c r="M12" s="9">
        <f t="shared" si="11"/>
        <v>19450</v>
      </c>
      <c r="N12" s="9">
        <f t="shared" si="11"/>
        <v>19450</v>
      </c>
      <c r="O12" s="9">
        <f t="shared" si="11"/>
        <v>19450</v>
      </c>
    </row>
    <row r="13">
      <c r="A13" s="5" t="s">
        <v>19</v>
      </c>
      <c r="B13" s="6" t="s">
        <v>20</v>
      </c>
      <c r="C13" s="4" t="s">
        <v>21</v>
      </c>
      <c r="D13" s="4" t="s">
        <v>22</v>
      </c>
      <c r="E13" s="4" t="s">
        <v>43</v>
      </c>
      <c r="F13" s="7" t="s">
        <v>44</v>
      </c>
      <c r="G13" s="7"/>
      <c r="H13" s="8">
        <v>22100.0</v>
      </c>
      <c r="I13" s="7"/>
      <c r="J13" s="9">
        <f t="shared" si="2"/>
        <v>22100</v>
      </c>
      <c r="K13" s="9">
        <f t="shared" ref="K13:O13" si="12">J13</f>
        <v>22100</v>
      </c>
      <c r="L13" s="9">
        <f t="shared" si="12"/>
        <v>22100</v>
      </c>
      <c r="M13" s="9">
        <f t="shared" si="12"/>
        <v>22100</v>
      </c>
      <c r="N13" s="9">
        <f t="shared" si="12"/>
        <v>22100</v>
      </c>
      <c r="O13" s="9">
        <f t="shared" si="12"/>
        <v>22100</v>
      </c>
    </row>
    <row r="14">
      <c r="A14" s="5" t="s">
        <v>19</v>
      </c>
      <c r="B14" s="6" t="s">
        <v>20</v>
      </c>
      <c r="C14" s="4" t="s">
        <v>21</v>
      </c>
      <c r="D14" s="4" t="s">
        <v>22</v>
      </c>
      <c r="E14" s="4" t="s">
        <v>45</v>
      </c>
      <c r="F14" s="7" t="s">
        <v>46</v>
      </c>
      <c r="G14" s="7"/>
      <c r="H14" s="8">
        <v>18400.0</v>
      </c>
      <c r="I14" s="7"/>
      <c r="J14" s="9">
        <f t="shared" si="2"/>
        <v>18400</v>
      </c>
      <c r="K14" s="9">
        <f t="shared" ref="K14:O14" si="13">J14</f>
        <v>18400</v>
      </c>
      <c r="L14" s="9">
        <f t="shared" si="13"/>
        <v>18400</v>
      </c>
      <c r="M14" s="9">
        <f t="shared" si="13"/>
        <v>18400</v>
      </c>
      <c r="N14" s="9">
        <f t="shared" si="13"/>
        <v>18400</v>
      </c>
      <c r="O14" s="9">
        <f t="shared" si="13"/>
        <v>18400</v>
      </c>
    </row>
    <row r="15">
      <c r="A15" s="5" t="s">
        <v>19</v>
      </c>
      <c r="B15" s="6" t="s">
        <v>20</v>
      </c>
      <c r="C15" s="4" t="s">
        <v>21</v>
      </c>
      <c r="D15" s="4" t="s">
        <v>22</v>
      </c>
      <c r="E15" s="4" t="s">
        <v>47</v>
      </c>
      <c r="F15" s="7" t="s">
        <v>48</v>
      </c>
      <c r="G15" s="7"/>
      <c r="H15" s="8">
        <v>12400.0</v>
      </c>
      <c r="I15" s="7"/>
      <c r="J15" s="9">
        <f t="shared" si="2"/>
        <v>12400</v>
      </c>
      <c r="K15" s="9">
        <f t="shared" ref="K15:O15" si="14">J15</f>
        <v>12400</v>
      </c>
      <c r="L15" s="9">
        <f t="shared" si="14"/>
        <v>12400</v>
      </c>
      <c r="M15" s="9">
        <f t="shared" si="14"/>
        <v>12400</v>
      </c>
      <c r="N15" s="9">
        <f t="shared" si="14"/>
        <v>12400</v>
      </c>
      <c r="O15" s="9">
        <f t="shared" si="14"/>
        <v>12400</v>
      </c>
    </row>
    <row r="16">
      <c r="A16" s="5" t="s">
        <v>19</v>
      </c>
      <c r="B16" s="6" t="s">
        <v>20</v>
      </c>
      <c r="C16" s="4" t="s">
        <v>21</v>
      </c>
      <c r="D16" s="4" t="s">
        <v>22</v>
      </c>
      <c r="E16" s="4" t="s">
        <v>49</v>
      </c>
      <c r="F16" s="7" t="s">
        <v>50</v>
      </c>
      <c r="G16" s="7"/>
      <c r="H16" s="8">
        <v>14150.0</v>
      </c>
      <c r="I16" s="7"/>
      <c r="J16" s="9">
        <f t="shared" si="2"/>
        <v>14150</v>
      </c>
      <c r="K16" s="9">
        <f t="shared" ref="K16:O16" si="15">J16</f>
        <v>14150</v>
      </c>
      <c r="L16" s="9">
        <f t="shared" si="15"/>
        <v>14150</v>
      </c>
      <c r="M16" s="9">
        <f t="shared" si="15"/>
        <v>14150</v>
      </c>
      <c r="N16" s="9">
        <f t="shared" si="15"/>
        <v>14150</v>
      </c>
      <c r="O16" s="9">
        <f t="shared" si="15"/>
        <v>14150</v>
      </c>
    </row>
    <row r="17">
      <c r="A17" s="5" t="s">
        <v>19</v>
      </c>
      <c r="B17" s="6" t="s">
        <v>20</v>
      </c>
      <c r="C17" s="4" t="s">
        <v>21</v>
      </c>
      <c r="D17" s="4" t="s">
        <v>22</v>
      </c>
      <c r="E17" s="4" t="s">
        <v>51</v>
      </c>
      <c r="F17" s="7" t="s">
        <v>52</v>
      </c>
      <c r="G17" s="7"/>
      <c r="H17" s="8">
        <v>58250.0</v>
      </c>
      <c r="I17" s="7"/>
      <c r="J17" s="9">
        <f t="shared" si="2"/>
        <v>58250</v>
      </c>
      <c r="K17" s="9">
        <f t="shared" ref="K17:O17" si="16">J17</f>
        <v>58250</v>
      </c>
      <c r="L17" s="9">
        <f t="shared" si="16"/>
        <v>58250</v>
      </c>
      <c r="M17" s="9">
        <f t="shared" si="16"/>
        <v>58250</v>
      </c>
      <c r="N17" s="9">
        <f t="shared" si="16"/>
        <v>58250</v>
      </c>
      <c r="O17" s="9">
        <f t="shared" si="16"/>
        <v>58250</v>
      </c>
    </row>
    <row r="18">
      <c r="A18" s="5" t="s">
        <v>19</v>
      </c>
      <c r="B18" s="6" t="s">
        <v>20</v>
      </c>
      <c r="C18" s="4" t="s">
        <v>21</v>
      </c>
      <c r="D18" s="4" t="s">
        <v>22</v>
      </c>
      <c r="E18" s="4" t="s">
        <v>53</v>
      </c>
      <c r="F18" s="7" t="s">
        <v>54</v>
      </c>
      <c r="G18" s="7"/>
      <c r="H18" s="8">
        <v>178500.0</v>
      </c>
      <c r="I18" s="7"/>
      <c r="J18" s="9">
        <f t="shared" si="2"/>
        <v>178500</v>
      </c>
      <c r="K18" s="9">
        <f t="shared" ref="K18:O18" si="17">J18</f>
        <v>178500</v>
      </c>
      <c r="L18" s="9">
        <f t="shared" si="17"/>
        <v>178500</v>
      </c>
      <c r="M18" s="9">
        <f t="shared" si="17"/>
        <v>178500</v>
      </c>
      <c r="N18" s="9">
        <f t="shared" si="17"/>
        <v>178500</v>
      </c>
      <c r="O18" s="9">
        <f t="shared" si="17"/>
        <v>178500</v>
      </c>
    </row>
    <row r="19">
      <c r="A19" s="5" t="s">
        <v>19</v>
      </c>
      <c r="B19" s="6" t="s">
        <v>20</v>
      </c>
      <c r="C19" s="10" t="s">
        <v>21</v>
      </c>
      <c r="D19" s="10" t="s">
        <v>22</v>
      </c>
      <c r="E19" s="10" t="s">
        <v>55</v>
      </c>
      <c r="F19" s="11" t="s">
        <v>56</v>
      </c>
      <c r="G19" s="11"/>
      <c r="H19" s="8">
        <v>10600.0</v>
      </c>
      <c r="I19" s="11"/>
      <c r="J19" s="9">
        <f t="shared" si="2"/>
        <v>10600</v>
      </c>
      <c r="K19" s="9">
        <f t="shared" ref="K19:O19" si="18">J19</f>
        <v>10600</v>
      </c>
      <c r="L19" s="9">
        <f t="shared" si="18"/>
        <v>10600</v>
      </c>
      <c r="M19" s="9">
        <f t="shared" si="18"/>
        <v>10600</v>
      </c>
      <c r="N19" s="9">
        <f t="shared" si="18"/>
        <v>10600</v>
      </c>
      <c r="O19" s="9">
        <f t="shared" si="18"/>
        <v>10600</v>
      </c>
    </row>
    <row r="20">
      <c r="A20" s="5" t="s">
        <v>19</v>
      </c>
      <c r="B20" s="6" t="s">
        <v>20</v>
      </c>
      <c r="C20" s="10" t="s">
        <v>21</v>
      </c>
      <c r="D20" s="10" t="s">
        <v>22</v>
      </c>
      <c r="E20" s="10" t="s">
        <v>57</v>
      </c>
      <c r="F20" s="12" t="s">
        <v>58</v>
      </c>
      <c r="G20" s="12"/>
      <c r="H20" s="8">
        <v>7100.0</v>
      </c>
      <c r="I20" s="12"/>
      <c r="J20" s="9">
        <f t="shared" si="2"/>
        <v>7100</v>
      </c>
      <c r="K20" s="9">
        <f t="shared" ref="K20:O20" si="19">J20</f>
        <v>7100</v>
      </c>
      <c r="L20" s="9">
        <f t="shared" si="19"/>
        <v>7100</v>
      </c>
      <c r="M20" s="9">
        <f t="shared" si="19"/>
        <v>7100</v>
      </c>
      <c r="N20" s="9">
        <f t="shared" si="19"/>
        <v>7100</v>
      </c>
      <c r="O20" s="9">
        <f t="shared" si="19"/>
        <v>7100</v>
      </c>
    </row>
    <row r="21">
      <c r="A21" s="13" t="s">
        <v>19</v>
      </c>
      <c r="B21" s="14" t="s">
        <v>59</v>
      </c>
      <c r="C21" s="15" t="s">
        <v>60</v>
      </c>
      <c r="D21" s="7"/>
      <c r="E21" s="16" t="s">
        <v>61</v>
      </c>
      <c r="F21" s="16" t="s">
        <v>62</v>
      </c>
      <c r="G21" s="16"/>
      <c r="H21" s="17">
        <v>50.0</v>
      </c>
      <c r="I21" s="15" t="s">
        <v>63</v>
      </c>
      <c r="J21" s="18">
        <f t="shared" ref="J21:J764" si="20">H21*1.5</f>
        <v>75</v>
      </c>
      <c r="K21" s="18">
        <f t="shared" ref="K21:K764" si="21">H21*1.3</f>
        <v>65</v>
      </c>
      <c r="L21" s="19">
        <f t="shared" ref="L21:L764" si="22">H21*1.3</f>
        <v>65</v>
      </c>
      <c r="M21" s="19">
        <f t="shared" ref="M21:M764" si="23">H21*1.2</f>
        <v>60</v>
      </c>
      <c r="N21" s="19">
        <f t="shared" ref="N21:N764" si="24">H21*1.15</f>
        <v>57.5</v>
      </c>
      <c r="O21" s="19">
        <f t="shared" ref="O21:O764" si="25">H21*1.1</f>
        <v>55</v>
      </c>
    </row>
    <row r="22">
      <c r="A22" s="13" t="s">
        <v>19</v>
      </c>
      <c r="B22" s="14" t="s">
        <v>59</v>
      </c>
      <c r="C22" s="15" t="s">
        <v>60</v>
      </c>
      <c r="D22" s="7"/>
      <c r="E22" s="15" t="s">
        <v>64</v>
      </c>
      <c r="F22" s="16" t="s">
        <v>65</v>
      </c>
      <c r="G22" s="16"/>
      <c r="H22" s="17">
        <v>65.0</v>
      </c>
      <c r="I22" s="15" t="s">
        <v>63</v>
      </c>
      <c r="J22" s="18">
        <f t="shared" si="20"/>
        <v>97.5</v>
      </c>
      <c r="K22" s="18">
        <f t="shared" si="21"/>
        <v>84.5</v>
      </c>
      <c r="L22" s="19">
        <f t="shared" si="22"/>
        <v>84.5</v>
      </c>
      <c r="M22" s="19">
        <f t="shared" si="23"/>
        <v>78</v>
      </c>
      <c r="N22" s="19">
        <f t="shared" si="24"/>
        <v>74.75</v>
      </c>
      <c r="O22" s="19">
        <f t="shared" si="25"/>
        <v>71.5</v>
      </c>
    </row>
    <row r="23">
      <c r="A23" s="13" t="s">
        <v>19</v>
      </c>
      <c r="B23" s="14" t="s">
        <v>59</v>
      </c>
      <c r="C23" s="15" t="s">
        <v>60</v>
      </c>
      <c r="D23" s="7"/>
      <c r="E23" s="15" t="s">
        <v>66</v>
      </c>
      <c r="F23" s="16" t="s">
        <v>67</v>
      </c>
      <c r="G23" s="16"/>
      <c r="H23" s="17">
        <v>75.0</v>
      </c>
      <c r="I23" s="15" t="s">
        <v>63</v>
      </c>
      <c r="J23" s="18">
        <f t="shared" si="20"/>
        <v>112.5</v>
      </c>
      <c r="K23" s="18">
        <f t="shared" si="21"/>
        <v>97.5</v>
      </c>
      <c r="L23" s="19">
        <f t="shared" si="22"/>
        <v>97.5</v>
      </c>
      <c r="M23" s="19">
        <f t="shared" si="23"/>
        <v>90</v>
      </c>
      <c r="N23" s="19">
        <f t="shared" si="24"/>
        <v>86.25</v>
      </c>
      <c r="O23" s="19">
        <f t="shared" si="25"/>
        <v>82.5</v>
      </c>
    </row>
    <row r="24">
      <c r="A24" s="13" t="s">
        <v>19</v>
      </c>
      <c r="B24" s="14" t="s">
        <v>59</v>
      </c>
      <c r="C24" s="15" t="s">
        <v>60</v>
      </c>
      <c r="D24" s="7"/>
      <c r="E24" s="15" t="s">
        <v>68</v>
      </c>
      <c r="F24" s="16" t="s">
        <v>69</v>
      </c>
      <c r="G24" s="16"/>
      <c r="H24" s="17">
        <v>35.0</v>
      </c>
      <c r="I24" s="15" t="s">
        <v>63</v>
      </c>
      <c r="J24" s="18">
        <f t="shared" si="20"/>
        <v>52.5</v>
      </c>
      <c r="K24" s="18">
        <f t="shared" si="21"/>
        <v>45.5</v>
      </c>
      <c r="L24" s="19">
        <f t="shared" si="22"/>
        <v>45.5</v>
      </c>
      <c r="M24" s="19">
        <f t="shared" si="23"/>
        <v>42</v>
      </c>
      <c r="N24" s="19">
        <f t="shared" si="24"/>
        <v>40.25</v>
      </c>
      <c r="O24" s="19">
        <f t="shared" si="25"/>
        <v>38.5</v>
      </c>
    </row>
    <row r="25">
      <c r="A25" s="13" t="s">
        <v>19</v>
      </c>
      <c r="B25" s="14" t="s">
        <v>59</v>
      </c>
      <c r="C25" s="15" t="s">
        <v>60</v>
      </c>
      <c r="D25" s="7"/>
      <c r="E25" s="15" t="s">
        <v>70</v>
      </c>
      <c r="F25" s="16" t="s">
        <v>71</v>
      </c>
      <c r="G25" s="16"/>
      <c r="H25" s="17">
        <v>90.0</v>
      </c>
      <c r="I25" s="15" t="s">
        <v>63</v>
      </c>
      <c r="J25" s="18">
        <f t="shared" si="20"/>
        <v>135</v>
      </c>
      <c r="K25" s="18">
        <f t="shared" si="21"/>
        <v>117</v>
      </c>
      <c r="L25" s="19">
        <f t="shared" si="22"/>
        <v>117</v>
      </c>
      <c r="M25" s="19">
        <f t="shared" si="23"/>
        <v>108</v>
      </c>
      <c r="N25" s="19">
        <f t="shared" si="24"/>
        <v>103.5</v>
      </c>
      <c r="O25" s="19">
        <f t="shared" si="25"/>
        <v>99</v>
      </c>
    </row>
    <row r="26">
      <c r="A26" s="13" t="s">
        <v>19</v>
      </c>
      <c r="B26" s="14" t="s">
        <v>59</v>
      </c>
      <c r="C26" s="15" t="s">
        <v>60</v>
      </c>
      <c r="D26" s="7"/>
      <c r="E26" s="15" t="s">
        <v>72</v>
      </c>
      <c r="F26" s="16" t="s">
        <v>73</v>
      </c>
      <c r="G26" s="16"/>
      <c r="H26" s="17">
        <v>80.0</v>
      </c>
      <c r="I26" s="15" t="s">
        <v>63</v>
      </c>
      <c r="J26" s="18">
        <f t="shared" si="20"/>
        <v>120</v>
      </c>
      <c r="K26" s="18">
        <f t="shared" si="21"/>
        <v>104</v>
      </c>
      <c r="L26" s="19">
        <f t="shared" si="22"/>
        <v>104</v>
      </c>
      <c r="M26" s="19">
        <f t="shared" si="23"/>
        <v>96</v>
      </c>
      <c r="N26" s="19">
        <f t="shared" si="24"/>
        <v>92</v>
      </c>
      <c r="O26" s="19">
        <f t="shared" si="25"/>
        <v>88</v>
      </c>
    </row>
    <row r="27">
      <c r="A27" s="13" t="s">
        <v>19</v>
      </c>
      <c r="B27" s="14" t="s">
        <v>59</v>
      </c>
      <c r="C27" s="15" t="s">
        <v>60</v>
      </c>
      <c r="D27" s="7"/>
      <c r="E27" s="15" t="s">
        <v>74</v>
      </c>
      <c r="F27" s="16" t="s">
        <v>75</v>
      </c>
      <c r="G27" s="16"/>
      <c r="H27" s="17">
        <v>70.0</v>
      </c>
      <c r="I27" s="15" t="s">
        <v>63</v>
      </c>
      <c r="J27" s="18">
        <f t="shared" si="20"/>
        <v>105</v>
      </c>
      <c r="K27" s="18">
        <f t="shared" si="21"/>
        <v>91</v>
      </c>
      <c r="L27" s="19">
        <f t="shared" si="22"/>
        <v>91</v>
      </c>
      <c r="M27" s="19">
        <f t="shared" si="23"/>
        <v>84</v>
      </c>
      <c r="N27" s="19">
        <f t="shared" si="24"/>
        <v>80.5</v>
      </c>
      <c r="O27" s="19">
        <f t="shared" si="25"/>
        <v>77</v>
      </c>
    </row>
    <row r="28">
      <c r="A28" s="13" t="s">
        <v>19</v>
      </c>
      <c r="B28" s="14" t="s">
        <v>59</v>
      </c>
      <c r="C28" s="15" t="s">
        <v>60</v>
      </c>
      <c r="D28" s="7"/>
      <c r="E28" s="15" t="s">
        <v>76</v>
      </c>
      <c r="F28" s="16" t="s">
        <v>77</v>
      </c>
      <c r="G28" s="16"/>
      <c r="H28" s="17">
        <v>2350.0</v>
      </c>
      <c r="I28" s="15" t="s">
        <v>78</v>
      </c>
      <c r="J28" s="18">
        <f t="shared" si="20"/>
        <v>3525</v>
      </c>
      <c r="K28" s="18">
        <f t="shared" si="21"/>
        <v>3055</v>
      </c>
      <c r="L28" s="19">
        <f t="shared" si="22"/>
        <v>3055</v>
      </c>
      <c r="M28" s="19">
        <f t="shared" si="23"/>
        <v>2820</v>
      </c>
      <c r="N28" s="19">
        <f t="shared" si="24"/>
        <v>2702.5</v>
      </c>
      <c r="O28" s="19">
        <f t="shared" si="25"/>
        <v>2585</v>
      </c>
    </row>
    <row r="29">
      <c r="A29" s="13" t="s">
        <v>19</v>
      </c>
      <c r="B29" s="14" t="s">
        <v>59</v>
      </c>
      <c r="C29" s="15" t="s">
        <v>60</v>
      </c>
      <c r="D29" s="7"/>
      <c r="E29" s="15" t="s">
        <v>79</v>
      </c>
      <c r="F29" s="16" t="s">
        <v>80</v>
      </c>
      <c r="G29" s="16"/>
      <c r="H29" s="17">
        <v>2850.0</v>
      </c>
      <c r="I29" s="15" t="s">
        <v>81</v>
      </c>
      <c r="J29" s="18">
        <f t="shared" si="20"/>
        <v>4275</v>
      </c>
      <c r="K29" s="18">
        <f t="shared" si="21"/>
        <v>3705</v>
      </c>
      <c r="L29" s="19">
        <f t="shared" si="22"/>
        <v>3705</v>
      </c>
      <c r="M29" s="19">
        <f t="shared" si="23"/>
        <v>3420</v>
      </c>
      <c r="N29" s="19">
        <f t="shared" si="24"/>
        <v>3277.5</v>
      </c>
      <c r="O29" s="19">
        <f t="shared" si="25"/>
        <v>3135</v>
      </c>
    </row>
    <row r="30">
      <c r="A30" s="13" t="s">
        <v>19</v>
      </c>
      <c r="B30" s="14" t="s">
        <v>59</v>
      </c>
      <c r="C30" s="15" t="s">
        <v>60</v>
      </c>
      <c r="D30" s="7"/>
      <c r="E30" s="15" t="s">
        <v>82</v>
      </c>
      <c r="F30" s="16" t="s">
        <v>83</v>
      </c>
      <c r="G30" s="16"/>
      <c r="H30" s="17">
        <v>8000.0</v>
      </c>
      <c r="I30" s="15" t="s">
        <v>63</v>
      </c>
      <c r="J30" s="18">
        <f t="shared" si="20"/>
        <v>12000</v>
      </c>
      <c r="K30" s="18">
        <f t="shared" si="21"/>
        <v>10400</v>
      </c>
      <c r="L30" s="19">
        <f t="shared" si="22"/>
        <v>10400</v>
      </c>
      <c r="M30" s="19">
        <f t="shared" si="23"/>
        <v>9600</v>
      </c>
      <c r="N30" s="19">
        <f t="shared" si="24"/>
        <v>9200</v>
      </c>
      <c r="O30" s="19">
        <f t="shared" si="25"/>
        <v>8800</v>
      </c>
    </row>
    <row r="31">
      <c r="A31" s="13" t="s">
        <v>19</v>
      </c>
      <c r="B31" s="14" t="s">
        <v>59</v>
      </c>
      <c r="C31" s="15" t="s">
        <v>60</v>
      </c>
      <c r="D31" s="7"/>
      <c r="E31" s="15" t="s">
        <v>84</v>
      </c>
      <c r="F31" s="16" t="s">
        <v>85</v>
      </c>
      <c r="G31" s="16"/>
      <c r="H31" s="17">
        <v>850.0</v>
      </c>
      <c r="I31" s="15" t="s">
        <v>63</v>
      </c>
      <c r="J31" s="18">
        <f t="shared" si="20"/>
        <v>1275</v>
      </c>
      <c r="K31" s="18">
        <f t="shared" si="21"/>
        <v>1105</v>
      </c>
      <c r="L31" s="19">
        <f t="shared" si="22"/>
        <v>1105</v>
      </c>
      <c r="M31" s="19">
        <f t="shared" si="23"/>
        <v>1020</v>
      </c>
      <c r="N31" s="19">
        <f t="shared" si="24"/>
        <v>977.5</v>
      </c>
      <c r="O31" s="19">
        <f t="shared" si="25"/>
        <v>935</v>
      </c>
    </row>
    <row r="32">
      <c r="A32" s="13" t="s">
        <v>19</v>
      </c>
      <c r="B32" s="14" t="s">
        <v>59</v>
      </c>
      <c r="C32" s="15" t="s">
        <v>60</v>
      </c>
      <c r="D32" s="7"/>
      <c r="E32" s="15" t="s">
        <v>86</v>
      </c>
      <c r="F32" s="16" t="s">
        <v>87</v>
      </c>
      <c r="G32" s="16"/>
      <c r="H32" s="17">
        <v>130.0</v>
      </c>
      <c r="I32" s="15" t="s">
        <v>63</v>
      </c>
      <c r="J32" s="18">
        <f t="shared" si="20"/>
        <v>195</v>
      </c>
      <c r="K32" s="18">
        <f t="shared" si="21"/>
        <v>169</v>
      </c>
      <c r="L32" s="19">
        <f t="shared" si="22"/>
        <v>169</v>
      </c>
      <c r="M32" s="19">
        <f t="shared" si="23"/>
        <v>156</v>
      </c>
      <c r="N32" s="19">
        <f t="shared" si="24"/>
        <v>149.5</v>
      </c>
      <c r="O32" s="19">
        <f t="shared" si="25"/>
        <v>143</v>
      </c>
    </row>
    <row r="33">
      <c r="A33" s="13" t="s">
        <v>19</v>
      </c>
      <c r="B33" s="14" t="s">
        <v>59</v>
      </c>
      <c r="C33" s="15" t="s">
        <v>60</v>
      </c>
      <c r="D33" s="7"/>
      <c r="E33" s="15" t="s">
        <v>88</v>
      </c>
      <c r="F33" s="16" t="s">
        <v>89</v>
      </c>
      <c r="G33" s="16"/>
      <c r="H33" s="17">
        <v>90.0</v>
      </c>
      <c r="I33" s="15" t="s">
        <v>90</v>
      </c>
      <c r="J33" s="18">
        <f t="shared" si="20"/>
        <v>135</v>
      </c>
      <c r="K33" s="18">
        <f t="shared" si="21"/>
        <v>117</v>
      </c>
      <c r="L33" s="19">
        <f t="shared" si="22"/>
        <v>117</v>
      </c>
      <c r="M33" s="19">
        <f t="shared" si="23"/>
        <v>108</v>
      </c>
      <c r="N33" s="19">
        <f t="shared" si="24"/>
        <v>103.5</v>
      </c>
      <c r="O33" s="19">
        <f t="shared" si="25"/>
        <v>99</v>
      </c>
    </row>
    <row r="34">
      <c r="A34" s="13" t="s">
        <v>19</v>
      </c>
      <c r="B34" s="14" t="s">
        <v>59</v>
      </c>
      <c r="C34" s="15" t="s">
        <v>60</v>
      </c>
      <c r="D34" s="7"/>
      <c r="E34" s="15" t="s">
        <v>91</v>
      </c>
      <c r="F34" s="16" t="s">
        <v>92</v>
      </c>
      <c r="G34" s="16"/>
      <c r="H34" s="17">
        <v>1200.0</v>
      </c>
      <c r="I34" s="15" t="s">
        <v>93</v>
      </c>
      <c r="J34" s="18">
        <f t="shared" si="20"/>
        <v>1800</v>
      </c>
      <c r="K34" s="18">
        <f t="shared" si="21"/>
        <v>1560</v>
      </c>
      <c r="L34" s="19">
        <f t="shared" si="22"/>
        <v>1560</v>
      </c>
      <c r="M34" s="19">
        <f t="shared" si="23"/>
        <v>1440</v>
      </c>
      <c r="N34" s="19">
        <f t="shared" si="24"/>
        <v>1380</v>
      </c>
      <c r="O34" s="19">
        <f t="shared" si="25"/>
        <v>1320</v>
      </c>
    </row>
    <row r="35">
      <c r="A35" s="13" t="s">
        <v>19</v>
      </c>
      <c r="B35" s="14" t="s">
        <v>59</v>
      </c>
      <c r="C35" s="15" t="s">
        <v>60</v>
      </c>
      <c r="D35" s="7"/>
      <c r="E35" s="15" t="s">
        <v>94</v>
      </c>
      <c r="F35" s="16" t="s">
        <v>95</v>
      </c>
      <c r="G35" s="16"/>
      <c r="H35" s="17">
        <v>35.0</v>
      </c>
      <c r="I35" s="15" t="s">
        <v>63</v>
      </c>
      <c r="J35" s="18">
        <f t="shared" si="20"/>
        <v>52.5</v>
      </c>
      <c r="K35" s="18">
        <f t="shared" si="21"/>
        <v>45.5</v>
      </c>
      <c r="L35" s="19">
        <f t="shared" si="22"/>
        <v>45.5</v>
      </c>
      <c r="M35" s="19">
        <f t="shared" si="23"/>
        <v>42</v>
      </c>
      <c r="N35" s="19">
        <f t="shared" si="24"/>
        <v>40.25</v>
      </c>
      <c r="O35" s="19">
        <f t="shared" si="25"/>
        <v>38.5</v>
      </c>
    </row>
    <row r="36">
      <c r="A36" s="13" t="s">
        <v>19</v>
      </c>
      <c r="B36" s="14" t="s">
        <v>59</v>
      </c>
      <c r="C36" s="15" t="s">
        <v>60</v>
      </c>
      <c r="D36" s="7"/>
      <c r="E36" s="15" t="s">
        <v>96</v>
      </c>
      <c r="F36" s="16" t="s">
        <v>97</v>
      </c>
      <c r="G36" s="16"/>
      <c r="H36" s="17">
        <v>1850.0</v>
      </c>
      <c r="I36" s="15" t="s">
        <v>98</v>
      </c>
      <c r="J36" s="18">
        <f t="shared" si="20"/>
        <v>2775</v>
      </c>
      <c r="K36" s="18">
        <f t="shared" si="21"/>
        <v>2405</v>
      </c>
      <c r="L36" s="19">
        <f t="shared" si="22"/>
        <v>2405</v>
      </c>
      <c r="M36" s="19">
        <f t="shared" si="23"/>
        <v>2220</v>
      </c>
      <c r="N36" s="19">
        <f t="shared" si="24"/>
        <v>2127.5</v>
      </c>
      <c r="O36" s="19">
        <f t="shared" si="25"/>
        <v>2035</v>
      </c>
    </row>
    <row r="37">
      <c r="A37" s="13" t="s">
        <v>19</v>
      </c>
      <c r="B37" s="14" t="s">
        <v>59</v>
      </c>
      <c r="C37" s="15" t="s">
        <v>60</v>
      </c>
      <c r="D37" s="7"/>
      <c r="E37" s="15" t="s">
        <v>99</v>
      </c>
      <c r="F37" s="16" t="s">
        <v>100</v>
      </c>
      <c r="G37" s="16"/>
      <c r="H37" s="17">
        <v>5550.0</v>
      </c>
      <c r="I37" s="15" t="s">
        <v>98</v>
      </c>
      <c r="J37" s="18">
        <f t="shared" si="20"/>
        <v>8325</v>
      </c>
      <c r="K37" s="18">
        <f t="shared" si="21"/>
        <v>7215</v>
      </c>
      <c r="L37" s="19">
        <f t="shared" si="22"/>
        <v>7215</v>
      </c>
      <c r="M37" s="19">
        <f t="shared" si="23"/>
        <v>6660</v>
      </c>
      <c r="N37" s="19">
        <f t="shared" si="24"/>
        <v>6382.5</v>
      </c>
      <c r="O37" s="19">
        <f t="shared" si="25"/>
        <v>6105</v>
      </c>
    </row>
    <row r="38">
      <c r="A38" s="13" t="s">
        <v>19</v>
      </c>
      <c r="B38" s="14" t="s">
        <v>59</v>
      </c>
      <c r="C38" s="15" t="s">
        <v>60</v>
      </c>
      <c r="D38" s="7"/>
      <c r="E38" s="15" t="s">
        <v>101</v>
      </c>
      <c r="F38" s="16" t="s">
        <v>102</v>
      </c>
      <c r="G38" s="16"/>
      <c r="H38" s="17">
        <v>5200.0</v>
      </c>
      <c r="I38" s="15" t="s">
        <v>98</v>
      </c>
      <c r="J38" s="18">
        <f t="shared" si="20"/>
        <v>7800</v>
      </c>
      <c r="K38" s="18">
        <f t="shared" si="21"/>
        <v>6760</v>
      </c>
      <c r="L38" s="19">
        <f t="shared" si="22"/>
        <v>6760</v>
      </c>
      <c r="M38" s="19">
        <f t="shared" si="23"/>
        <v>6240</v>
      </c>
      <c r="N38" s="19">
        <f t="shared" si="24"/>
        <v>5980</v>
      </c>
      <c r="O38" s="19">
        <f t="shared" si="25"/>
        <v>5720</v>
      </c>
    </row>
    <row r="39">
      <c r="A39" s="13" t="s">
        <v>19</v>
      </c>
      <c r="B39" s="14" t="s">
        <v>59</v>
      </c>
      <c r="C39" s="15" t="s">
        <v>60</v>
      </c>
      <c r="D39" s="7"/>
      <c r="E39" s="15" t="s">
        <v>103</v>
      </c>
      <c r="F39" s="16" t="s">
        <v>104</v>
      </c>
      <c r="G39" s="16"/>
      <c r="H39" s="17">
        <v>7650.0</v>
      </c>
      <c r="I39" s="15" t="s">
        <v>98</v>
      </c>
      <c r="J39" s="18">
        <f t="shared" si="20"/>
        <v>11475</v>
      </c>
      <c r="K39" s="18">
        <f t="shared" si="21"/>
        <v>9945</v>
      </c>
      <c r="L39" s="19">
        <f t="shared" si="22"/>
        <v>9945</v>
      </c>
      <c r="M39" s="19">
        <f t="shared" si="23"/>
        <v>9180</v>
      </c>
      <c r="N39" s="19">
        <f t="shared" si="24"/>
        <v>8797.5</v>
      </c>
      <c r="O39" s="19">
        <f t="shared" si="25"/>
        <v>8415</v>
      </c>
    </row>
    <row r="40">
      <c r="A40" s="13" t="s">
        <v>19</v>
      </c>
      <c r="B40" s="14" t="s">
        <v>59</v>
      </c>
      <c r="C40" s="15" t="s">
        <v>60</v>
      </c>
      <c r="D40" s="7"/>
      <c r="E40" s="15" t="s">
        <v>105</v>
      </c>
      <c r="F40" s="16" t="s">
        <v>106</v>
      </c>
      <c r="G40" s="16"/>
      <c r="H40" s="17">
        <v>750.0</v>
      </c>
      <c r="I40" s="15" t="s">
        <v>98</v>
      </c>
      <c r="J40" s="18">
        <f t="shared" si="20"/>
        <v>1125</v>
      </c>
      <c r="K40" s="18">
        <f t="shared" si="21"/>
        <v>975</v>
      </c>
      <c r="L40" s="19">
        <f t="shared" si="22"/>
        <v>975</v>
      </c>
      <c r="M40" s="19">
        <f t="shared" si="23"/>
        <v>900</v>
      </c>
      <c r="N40" s="19">
        <f t="shared" si="24"/>
        <v>862.5</v>
      </c>
      <c r="O40" s="19">
        <f t="shared" si="25"/>
        <v>825</v>
      </c>
    </row>
    <row r="41">
      <c r="A41" s="13" t="s">
        <v>19</v>
      </c>
      <c r="B41" s="14" t="s">
        <v>59</v>
      </c>
      <c r="C41" s="15" t="s">
        <v>60</v>
      </c>
      <c r="D41" s="7"/>
      <c r="E41" s="15" t="s">
        <v>107</v>
      </c>
      <c r="F41" s="16" t="s">
        <v>108</v>
      </c>
      <c r="G41" s="16"/>
      <c r="H41" s="17">
        <v>800.0</v>
      </c>
      <c r="I41" s="15" t="s">
        <v>98</v>
      </c>
      <c r="J41" s="18">
        <f t="shared" si="20"/>
        <v>1200</v>
      </c>
      <c r="K41" s="18">
        <f t="shared" si="21"/>
        <v>1040</v>
      </c>
      <c r="L41" s="19">
        <f t="shared" si="22"/>
        <v>1040</v>
      </c>
      <c r="M41" s="19">
        <f t="shared" si="23"/>
        <v>960</v>
      </c>
      <c r="N41" s="19">
        <f t="shared" si="24"/>
        <v>920</v>
      </c>
      <c r="O41" s="19">
        <f t="shared" si="25"/>
        <v>880</v>
      </c>
    </row>
    <row r="42">
      <c r="A42" s="13" t="s">
        <v>19</v>
      </c>
      <c r="B42" s="14" t="s">
        <v>59</v>
      </c>
      <c r="C42" s="15" t="s">
        <v>60</v>
      </c>
      <c r="D42" s="7"/>
      <c r="E42" s="15" t="s">
        <v>109</v>
      </c>
      <c r="F42" s="16" t="s">
        <v>110</v>
      </c>
      <c r="G42" s="16"/>
      <c r="H42" s="17">
        <v>750.0</v>
      </c>
      <c r="I42" s="15" t="s">
        <v>98</v>
      </c>
      <c r="J42" s="18">
        <f t="shared" si="20"/>
        <v>1125</v>
      </c>
      <c r="K42" s="18">
        <f t="shared" si="21"/>
        <v>975</v>
      </c>
      <c r="L42" s="19">
        <f t="shared" si="22"/>
        <v>975</v>
      </c>
      <c r="M42" s="19">
        <f t="shared" si="23"/>
        <v>900</v>
      </c>
      <c r="N42" s="19">
        <f t="shared" si="24"/>
        <v>862.5</v>
      </c>
      <c r="O42" s="19">
        <f t="shared" si="25"/>
        <v>825</v>
      </c>
    </row>
    <row r="43">
      <c r="A43" s="13" t="s">
        <v>19</v>
      </c>
      <c r="B43" s="14" t="s">
        <v>59</v>
      </c>
      <c r="C43" s="15" t="s">
        <v>60</v>
      </c>
      <c r="D43" s="7"/>
      <c r="E43" s="15" t="s">
        <v>111</v>
      </c>
      <c r="F43" s="16" t="s">
        <v>112</v>
      </c>
      <c r="G43" s="16"/>
      <c r="H43" s="17">
        <v>800.0</v>
      </c>
      <c r="I43" s="15" t="s">
        <v>98</v>
      </c>
      <c r="J43" s="18">
        <f t="shared" si="20"/>
        <v>1200</v>
      </c>
      <c r="K43" s="18">
        <f t="shared" si="21"/>
        <v>1040</v>
      </c>
      <c r="L43" s="19">
        <f t="shared" si="22"/>
        <v>1040</v>
      </c>
      <c r="M43" s="19">
        <f t="shared" si="23"/>
        <v>960</v>
      </c>
      <c r="N43" s="19">
        <f t="shared" si="24"/>
        <v>920</v>
      </c>
      <c r="O43" s="19">
        <f t="shared" si="25"/>
        <v>880</v>
      </c>
    </row>
    <row r="44">
      <c r="A44" s="13" t="s">
        <v>19</v>
      </c>
      <c r="B44" s="14" t="s">
        <v>59</v>
      </c>
      <c r="C44" s="15" t="s">
        <v>60</v>
      </c>
      <c r="D44" s="7"/>
      <c r="E44" s="15" t="s">
        <v>113</v>
      </c>
      <c r="F44" s="16" t="s">
        <v>114</v>
      </c>
      <c r="G44" s="16"/>
      <c r="H44" s="17">
        <v>35.0</v>
      </c>
      <c r="I44" s="15" t="s">
        <v>63</v>
      </c>
      <c r="J44" s="18">
        <f t="shared" si="20"/>
        <v>52.5</v>
      </c>
      <c r="K44" s="18">
        <f t="shared" si="21"/>
        <v>45.5</v>
      </c>
      <c r="L44" s="19">
        <f t="shared" si="22"/>
        <v>45.5</v>
      </c>
      <c r="M44" s="19">
        <f t="shared" si="23"/>
        <v>42</v>
      </c>
      <c r="N44" s="19">
        <f t="shared" si="24"/>
        <v>40.25</v>
      </c>
      <c r="O44" s="19">
        <f t="shared" si="25"/>
        <v>38.5</v>
      </c>
    </row>
    <row r="45">
      <c r="A45" s="13" t="s">
        <v>19</v>
      </c>
      <c r="B45" s="14" t="s">
        <v>59</v>
      </c>
      <c r="C45" s="15" t="s">
        <v>60</v>
      </c>
      <c r="D45" s="7"/>
      <c r="E45" s="15" t="s">
        <v>115</v>
      </c>
      <c r="F45" s="16" t="s">
        <v>114</v>
      </c>
      <c r="G45" s="16"/>
      <c r="H45" s="17">
        <v>50.0</v>
      </c>
      <c r="I45" s="15" t="s">
        <v>63</v>
      </c>
      <c r="J45" s="18">
        <f t="shared" si="20"/>
        <v>75</v>
      </c>
      <c r="K45" s="18">
        <f t="shared" si="21"/>
        <v>65</v>
      </c>
      <c r="L45" s="19">
        <f t="shared" si="22"/>
        <v>65</v>
      </c>
      <c r="M45" s="19">
        <f t="shared" si="23"/>
        <v>60</v>
      </c>
      <c r="N45" s="19">
        <f t="shared" si="24"/>
        <v>57.5</v>
      </c>
      <c r="O45" s="19">
        <f t="shared" si="25"/>
        <v>55</v>
      </c>
    </row>
    <row r="46">
      <c r="A46" s="13" t="s">
        <v>19</v>
      </c>
      <c r="B46" s="14" t="s">
        <v>59</v>
      </c>
      <c r="C46" s="15" t="s">
        <v>60</v>
      </c>
      <c r="D46" s="7"/>
      <c r="E46" s="15" t="s">
        <v>116</v>
      </c>
      <c r="F46" s="16" t="s">
        <v>117</v>
      </c>
      <c r="G46" s="16"/>
      <c r="H46" s="17">
        <v>50.0</v>
      </c>
      <c r="I46" s="15" t="s">
        <v>63</v>
      </c>
      <c r="J46" s="18">
        <f t="shared" si="20"/>
        <v>75</v>
      </c>
      <c r="K46" s="18">
        <f t="shared" si="21"/>
        <v>65</v>
      </c>
      <c r="L46" s="19">
        <f t="shared" si="22"/>
        <v>65</v>
      </c>
      <c r="M46" s="19">
        <f t="shared" si="23"/>
        <v>60</v>
      </c>
      <c r="N46" s="19">
        <f t="shared" si="24"/>
        <v>57.5</v>
      </c>
      <c r="O46" s="19">
        <f t="shared" si="25"/>
        <v>55</v>
      </c>
    </row>
    <row r="47">
      <c r="A47" s="13" t="s">
        <v>19</v>
      </c>
      <c r="B47" s="14" t="s">
        <v>59</v>
      </c>
      <c r="C47" s="15" t="s">
        <v>60</v>
      </c>
      <c r="D47" s="7"/>
      <c r="E47" s="15" t="s">
        <v>118</v>
      </c>
      <c r="F47" s="16" t="s">
        <v>117</v>
      </c>
      <c r="G47" s="16"/>
      <c r="H47" s="17">
        <v>60.0</v>
      </c>
      <c r="I47" s="15" t="s">
        <v>63</v>
      </c>
      <c r="J47" s="18">
        <f t="shared" si="20"/>
        <v>90</v>
      </c>
      <c r="K47" s="18">
        <f t="shared" si="21"/>
        <v>78</v>
      </c>
      <c r="L47" s="19">
        <f t="shared" si="22"/>
        <v>78</v>
      </c>
      <c r="M47" s="19">
        <f t="shared" si="23"/>
        <v>72</v>
      </c>
      <c r="N47" s="19">
        <f t="shared" si="24"/>
        <v>69</v>
      </c>
      <c r="O47" s="19">
        <f t="shared" si="25"/>
        <v>66</v>
      </c>
    </row>
    <row r="48">
      <c r="A48" s="13" t="s">
        <v>19</v>
      </c>
      <c r="B48" s="14" t="s">
        <v>59</v>
      </c>
      <c r="C48" s="15" t="s">
        <v>60</v>
      </c>
      <c r="D48" s="7"/>
      <c r="E48" s="15" t="s">
        <v>119</v>
      </c>
      <c r="F48" s="16" t="s">
        <v>120</v>
      </c>
      <c r="G48" s="16"/>
      <c r="H48" s="17">
        <v>30.0</v>
      </c>
      <c r="I48" s="15" t="s">
        <v>63</v>
      </c>
      <c r="J48" s="18">
        <f t="shared" si="20"/>
        <v>45</v>
      </c>
      <c r="K48" s="18">
        <f t="shared" si="21"/>
        <v>39</v>
      </c>
      <c r="L48" s="19">
        <f t="shared" si="22"/>
        <v>39</v>
      </c>
      <c r="M48" s="19">
        <f t="shared" si="23"/>
        <v>36</v>
      </c>
      <c r="N48" s="19">
        <f t="shared" si="24"/>
        <v>34.5</v>
      </c>
      <c r="O48" s="19">
        <f t="shared" si="25"/>
        <v>33</v>
      </c>
    </row>
    <row r="49">
      <c r="A49" s="13" t="s">
        <v>19</v>
      </c>
      <c r="B49" s="14" t="s">
        <v>59</v>
      </c>
      <c r="C49" s="20" t="s">
        <v>60</v>
      </c>
      <c r="D49" s="7"/>
      <c r="E49" s="20" t="s">
        <v>121</v>
      </c>
      <c r="F49" s="21" t="s">
        <v>122</v>
      </c>
      <c r="G49" s="16"/>
      <c r="H49" s="17">
        <v>50.0</v>
      </c>
      <c r="I49" s="20" t="s">
        <v>63</v>
      </c>
      <c r="J49" s="18">
        <f t="shared" si="20"/>
        <v>75</v>
      </c>
      <c r="K49" s="18">
        <f t="shared" si="21"/>
        <v>65</v>
      </c>
      <c r="L49" s="19">
        <f t="shared" si="22"/>
        <v>65</v>
      </c>
      <c r="M49" s="19">
        <f t="shared" si="23"/>
        <v>60</v>
      </c>
      <c r="N49" s="19">
        <f t="shared" si="24"/>
        <v>57.5</v>
      </c>
      <c r="O49" s="19">
        <f t="shared" si="25"/>
        <v>55</v>
      </c>
    </row>
    <row r="50">
      <c r="A50" s="13" t="s">
        <v>19</v>
      </c>
      <c r="B50" s="14" t="s">
        <v>59</v>
      </c>
      <c r="C50" s="20" t="s">
        <v>60</v>
      </c>
      <c r="D50" s="7"/>
      <c r="E50" s="20" t="s">
        <v>123</v>
      </c>
      <c r="F50" s="21" t="s">
        <v>124</v>
      </c>
      <c r="G50" s="16"/>
      <c r="H50" s="17">
        <v>65.0</v>
      </c>
      <c r="I50" s="20" t="s">
        <v>63</v>
      </c>
      <c r="J50" s="18">
        <f t="shared" si="20"/>
        <v>97.5</v>
      </c>
      <c r="K50" s="18">
        <f t="shared" si="21"/>
        <v>84.5</v>
      </c>
      <c r="L50" s="19">
        <f t="shared" si="22"/>
        <v>84.5</v>
      </c>
      <c r="M50" s="19">
        <f t="shared" si="23"/>
        <v>78</v>
      </c>
      <c r="N50" s="19">
        <f t="shared" si="24"/>
        <v>74.75</v>
      </c>
      <c r="O50" s="19">
        <f t="shared" si="25"/>
        <v>71.5</v>
      </c>
    </row>
    <row r="51">
      <c r="A51" s="13" t="s">
        <v>19</v>
      </c>
      <c r="B51" s="14" t="s">
        <v>59</v>
      </c>
      <c r="C51" s="20" t="s">
        <v>60</v>
      </c>
      <c r="D51" s="7"/>
      <c r="E51" s="20" t="s">
        <v>90</v>
      </c>
      <c r="F51" s="21" t="s">
        <v>125</v>
      </c>
      <c r="G51" s="16"/>
      <c r="H51" s="17">
        <v>40.0</v>
      </c>
      <c r="I51" s="20" t="s">
        <v>63</v>
      </c>
      <c r="J51" s="18">
        <f t="shared" si="20"/>
        <v>60</v>
      </c>
      <c r="K51" s="18">
        <f t="shared" si="21"/>
        <v>52</v>
      </c>
      <c r="L51" s="19">
        <f t="shared" si="22"/>
        <v>52</v>
      </c>
      <c r="M51" s="19">
        <f t="shared" si="23"/>
        <v>48</v>
      </c>
      <c r="N51" s="19">
        <f t="shared" si="24"/>
        <v>46</v>
      </c>
      <c r="O51" s="19">
        <f t="shared" si="25"/>
        <v>44</v>
      </c>
    </row>
    <row r="52">
      <c r="A52" s="13" t="s">
        <v>19</v>
      </c>
      <c r="B52" s="14" t="s">
        <v>59</v>
      </c>
      <c r="C52" s="20" t="s">
        <v>60</v>
      </c>
      <c r="D52" s="7"/>
      <c r="E52" s="20" t="s">
        <v>126</v>
      </c>
      <c r="F52" s="21" t="s">
        <v>127</v>
      </c>
      <c r="G52" s="16"/>
      <c r="H52" s="17">
        <v>50.0</v>
      </c>
      <c r="I52" s="20" t="s">
        <v>63</v>
      </c>
      <c r="J52" s="18">
        <f t="shared" si="20"/>
        <v>75</v>
      </c>
      <c r="K52" s="18">
        <f t="shared" si="21"/>
        <v>65</v>
      </c>
      <c r="L52" s="19">
        <f t="shared" si="22"/>
        <v>65</v>
      </c>
      <c r="M52" s="19">
        <f t="shared" si="23"/>
        <v>60</v>
      </c>
      <c r="N52" s="19">
        <f t="shared" si="24"/>
        <v>57.5</v>
      </c>
      <c r="O52" s="19">
        <f t="shared" si="25"/>
        <v>55</v>
      </c>
    </row>
    <row r="53">
      <c r="A53" s="13" t="s">
        <v>19</v>
      </c>
      <c r="B53" s="14" t="s">
        <v>59</v>
      </c>
      <c r="C53" s="20" t="s">
        <v>60</v>
      </c>
      <c r="D53" s="7"/>
      <c r="E53" s="20" t="s">
        <v>128</v>
      </c>
      <c r="F53" s="21" t="s">
        <v>129</v>
      </c>
      <c r="G53" s="16"/>
      <c r="H53" s="17">
        <v>350.0</v>
      </c>
      <c r="I53" s="20" t="s">
        <v>63</v>
      </c>
      <c r="J53" s="18">
        <f t="shared" si="20"/>
        <v>525</v>
      </c>
      <c r="K53" s="18">
        <f t="shared" si="21"/>
        <v>455</v>
      </c>
      <c r="L53" s="19">
        <f t="shared" si="22"/>
        <v>455</v>
      </c>
      <c r="M53" s="19">
        <f t="shared" si="23"/>
        <v>420</v>
      </c>
      <c r="N53" s="19">
        <f t="shared" si="24"/>
        <v>402.5</v>
      </c>
      <c r="O53" s="19">
        <f t="shared" si="25"/>
        <v>385</v>
      </c>
    </row>
    <row r="54">
      <c r="A54" s="13" t="s">
        <v>19</v>
      </c>
      <c r="B54" s="14" t="s">
        <v>59</v>
      </c>
      <c r="C54" s="20" t="s">
        <v>60</v>
      </c>
      <c r="D54" s="7"/>
      <c r="E54" s="20" t="s">
        <v>130</v>
      </c>
      <c r="F54" s="21" t="s">
        <v>131</v>
      </c>
      <c r="G54" s="16"/>
      <c r="H54" s="17">
        <v>500.0</v>
      </c>
      <c r="I54" s="20" t="s">
        <v>63</v>
      </c>
      <c r="J54" s="18">
        <f t="shared" si="20"/>
        <v>750</v>
      </c>
      <c r="K54" s="18">
        <f t="shared" si="21"/>
        <v>650</v>
      </c>
      <c r="L54" s="19">
        <f t="shared" si="22"/>
        <v>650</v>
      </c>
      <c r="M54" s="19">
        <f t="shared" si="23"/>
        <v>600</v>
      </c>
      <c r="N54" s="19">
        <f t="shared" si="24"/>
        <v>575</v>
      </c>
      <c r="O54" s="19">
        <f t="shared" si="25"/>
        <v>550</v>
      </c>
    </row>
    <row r="55">
      <c r="A55" s="13" t="s">
        <v>19</v>
      </c>
      <c r="B55" s="14" t="s">
        <v>59</v>
      </c>
      <c r="C55" s="20" t="s">
        <v>60</v>
      </c>
      <c r="D55" s="7"/>
      <c r="E55" s="20" t="s">
        <v>132</v>
      </c>
      <c r="F55" s="21" t="s">
        <v>133</v>
      </c>
      <c r="G55" s="16"/>
      <c r="H55" s="17">
        <v>300.0</v>
      </c>
      <c r="I55" s="20" t="s">
        <v>55</v>
      </c>
      <c r="J55" s="18">
        <f t="shared" si="20"/>
        <v>450</v>
      </c>
      <c r="K55" s="18">
        <f t="shared" si="21"/>
        <v>390</v>
      </c>
      <c r="L55" s="19">
        <f t="shared" si="22"/>
        <v>390</v>
      </c>
      <c r="M55" s="19">
        <f t="shared" si="23"/>
        <v>360</v>
      </c>
      <c r="N55" s="19">
        <f t="shared" si="24"/>
        <v>345</v>
      </c>
      <c r="O55" s="19">
        <f t="shared" si="25"/>
        <v>330</v>
      </c>
    </row>
    <row r="56">
      <c r="A56" s="13" t="s">
        <v>134</v>
      </c>
      <c r="B56" s="22" t="s">
        <v>135</v>
      </c>
      <c r="C56" s="23" t="s">
        <v>136</v>
      </c>
      <c r="D56" s="23" t="s">
        <v>137</v>
      </c>
      <c r="E56" s="23" t="s">
        <v>138</v>
      </c>
      <c r="F56" s="24" t="s">
        <v>139</v>
      </c>
      <c r="G56" s="16"/>
      <c r="H56" s="17">
        <v>6650.0</v>
      </c>
      <c r="I56" s="7"/>
      <c r="J56" s="18">
        <f t="shared" si="20"/>
        <v>9975</v>
      </c>
      <c r="K56" s="18">
        <f t="shared" si="21"/>
        <v>8645</v>
      </c>
      <c r="L56" s="19">
        <f t="shared" si="22"/>
        <v>8645</v>
      </c>
      <c r="M56" s="19">
        <f t="shared" si="23"/>
        <v>7980</v>
      </c>
      <c r="N56" s="19">
        <f t="shared" si="24"/>
        <v>7647.5</v>
      </c>
      <c r="O56" s="19">
        <f t="shared" si="25"/>
        <v>7315</v>
      </c>
    </row>
    <row r="57">
      <c r="A57" s="13" t="s">
        <v>134</v>
      </c>
      <c r="B57" s="22" t="s">
        <v>135</v>
      </c>
      <c r="C57" s="23" t="s">
        <v>136</v>
      </c>
      <c r="D57" s="23" t="s">
        <v>137</v>
      </c>
      <c r="E57" s="23" t="s">
        <v>140</v>
      </c>
      <c r="F57" s="24" t="s">
        <v>141</v>
      </c>
      <c r="G57" s="16"/>
      <c r="H57" s="17">
        <v>5750.0</v>
      </c>
      <c r="I57" s="7"/>
      <c r="J57" s="18">
        <f t="shared" si="20"/>
        <v>8625</v>
      </c>
      <c r="K57" s="18">
        <f t="shared" si="21"/>
        <v>7475</v>
      </c>
      <c r="L57" s="19">
        <f t="shared" si="22"/>
        <v>7475</v>
      </c>
      <c r="M57" s="19">
        <f t="shared" si="23"/>
        <v>6900</v>
      </c>
      <c r="N57" s="19">
        <f t="shared" si="24"/>
        <v>6612.5</v>
      </c>
      <c r="O57" s="19">
        <f t="shared" si="25"/>
        <v>6325</v>
      </c>
    </row>
    <row r="58">
      <c r="A58" s="13" t="s">
        <v>134</v>
      </c>
      <c r="B58" s="22" t="s">
        <v>135</v>
      </c>
      <c r="C58" s="25" t="s">
        <v>136</v>
      </c>
      <c r="D58" s="25" t="s">
        <v>142</v>
      </c>
      <c r="E58" s="25" t="s">
        <v>143</v>
      </c>
      <c r="F58" s="26" t="s">
        <v>144</v>
      </c>
      <c r="G58" s="16"/>
      <c r="H58" s="17">
        <v>3550.0</v>
      </c>
      <c r="I58" s="7"/>
      <c r="J58" s="18">
        <f t="shared" si="20"/>
        <v>5325</v>
      </c>
      <c r="K58" s="18">
        <f t="shared" si="21"/>
        <v>4615</v>
      </c>
      <c r="L58" s="19">
        <f t="shared" si="22"/>
        <v>4615</v>
      </c>
      <c r="M58" s="19">
        <f t="shared" si="23"/>
        <v>4260</v>
      </c>
      <c r="N58" s="19">
        <f t="shared" si="24"/>
        <v>4082.5</v>
      </c>
      <c r="O58" s="19">
        <f t="shared" si="25"/>
        <v>3905</v>
      </c>
    </row>
    <row r="59">
      <c r="A59" s="13" t="s">
        <v>134</v>
      </c>
      <c r="B59" s="22" t="s">
        <v>135</v>
      </c>
      <c r="C59" s="25" t="s">
        <v>136</v>
      </c>
      <c r="D59" s="25" t="s">
        <v>142</v>
      </c>
      <c r="E59" s="25" t="s">
        <v>145</v>
      </c>
      <c r="F59" s="26" t="s">
        <v>146</v>
      </c>
      <c r="G59" s="7"/>
      <c r="H59" s="17">
        <v>3100.0</v>
      </c>
      <c r="I59" s="7"/>
      <c r="J59" s="18">
        <f t="shared" si="20"/>
        <v>4650</v>
      </c>
      <c r="K59" s="18">
        <f t="shared" si="21"/>
        <v>4030</v>
      </c>
      <c r="L59" s="19">
        <f t="shared" si="22"/>
        <v>4030</v>
      </c>
      <c r="M59" s="19">
        <f t="shared" si="23"/>
        <v>3720</v>
      </c>
      <c r="N59" s="19">
        <f t="shared" si="24"/>
        <v>3565</v>
      </c>
      <c r="O59" s="19">
        <f t="shared" si="25"/>
        <v>3410</v>
      </c>
    </row>
    <row r="60">
      <c r="A60" s="13" t="s">
        <v>134</v>
      </c>
      <c r="B60" s="22" t="s">
        <v>135</v>
      </c>
      <c r="C60" s="23" t="s">
        <v>136</v>
      </c>
      <c r="D60" s="23" t="s">
        <v>147</v>
      </c>
      <c r="E60" s="23" t="s">
        <v>148</v>
      </c>
      <c r="F60" s="24" t="s">
        <v>149</v>
      </c>
      <c r="G60" s="7"/>
      <c r="H60" s="17">
        <v>9750.0</v>
      </c>
      <c r="I60" s="7"/>
      <c r="J60" s="18">
        <f t="shared" si="20"/>
        <v>14625</v>
      </c>
      <c r="K60" s="18">
        <f t="shared" si="21"/>
        <v>12675</v>
      </c>
      <c r="L60" s="19">
        <f t="shared" si="22"/>
        <v>12675</v>
      </c>
      <c r="M60" s="19">
        <f t="shared" si="23"/>
        <v>11700</v>
      </c>
      <c r="N60" s="19">
        <f t="shared" si="24"/>
        <v>11212.5</v>
      </c>
      <c r="O60" s="19">
        <f t="shared" si="25"/>
        <v>10725</v>
      </c>
    </row>
    <row r="61">
      <c r="A61" s="13" t="s">
        <v>134</v>
      </c>
      <c r="B61" s="22" t="s">
        <v>135</v>
      </c>
      <c r="C61" s="23" t="s">
        <v>136</v>
      </c>
      <c r="D61" s="23" t="s">
        <v>150</v>
      </c>
      <c r="E61" s="23" t="s">
        <v>151</v>
      </c>
      <c r="F61" s="24" t="s">
        <v>152</v>
      </c>
      <c r="G61" s="7"/>
      <c r="H61" s="17">
        <v>9750.0</v>
      </c>
      <c r="I61" s="7"/>
      <c r="J61" s="18">
        <f t="shared" si="20"/>
        <v>14625</v>
      </c>
      <c r="K61" s="18">
        <f t="shared" si="21"/>
        <v>12675</v>
      </c>
      <c r="L61" s="19">
        <f t="shared" si="22"/>
        <v>12675</v>
      </c>
      <c r="M61" s="19">
        <f t="shared" si="23"/>
        <v>11700</v>
      </c>
      <c r="N61" s="19">
        <f t="shared" si="24"/>
        <v>11212.5</v>
      </c>
      <c r="O61" s="19">
        <f t="shared" si="25"/>
        <v>10725</v>
      </c>
    </row>
    <row r="62">
      <c r="A62" s="13" t="s">
        <v>134</v>
      </c>
      <c r="B62" s="22" t="s">
        <v>135</v>
      </c>
      <c r="C62" s="23" t="s">
        <v>136</v>
      </c>
      <c r="D62" s="23" t="s">
        <v>153</v>
      </c>
      <c r="E62" s="23" t="s">
        <v>154</v>
      </c>
      <c r="F62" s="24" t="s">
        <v>155</v>
      </c>
      <c r="G62" s="7"/>
      <c r="H62" s="17">
        <v>10600.0</v>
      </c>
      <c r="I62" s="7"/>
      <c r="J62" s="18">
        <f t="shared" si="20"/>
        <v>15900</v>
      </c>
      <c r="K62" s="18">
        <f t="shared" si="21"/>
        <v>13780</v>
      </c>
      <c r="L62" s="19">
        <f t="shared" si="22"/>
        <v>13780</v>
      </c>
      <c r="M62" s="19">
        <f t="shared" si="23"/>
        <v>12720</v>
      </c>
      <c r="N62" s="19">
        <f t="shared" si="24"/>
        <v>12190</v>
      </c>
      <c r="O62" s="19">
        <f t="shared" si="25"/>
        <v>11660</v>
      </c>
    </row>
    <row r="63">
      <c r="A63" s="13" t="s">
        <v>134</v>
      </c>
      <c r="B63" s="22" t="s">
        <v>135</v>
      </c>
      <c r="C63" s="23" t="s">
        <v>136</v>
      </c>
      <c r="D63" s="23" t="s">
        <v>147</v>
      </c>
      <c r="E63" s="23" t="s">
        <v>156</v>
      </c>
      <c r="F63" s="24" t="s">
        <v>157</v>
      </c>
      <c r="G63" s="7"/>
      <c r="H63" s="17">
        <v>10600.0</v>
      </c>
      <c r="I63" s="7"/>
      <c r="J63" s="18">
        <f t="shared" si="20"/>
        <v>15900</v>
      </c>
      <c r="K63" s="18">
        <f t="shared" si="21"/>
        <v>13780</v>
      </c>
      <c r="L63" s="19">
        <f t="shared" si="22"/>
        <v>13780</v>
      </c>
      <c r="M63" s="19">
        <f t="shared" si="23"/>
        <v>12720</v>
      </c>
      <c r="N63" s="19">
        <f t="shared" si="24"/>
        <v>12190</v>
      </c>
      <c r="O63" s="19">
        <f t="shared" si="25"/>
        <v>11660</v>
      </c>
    </row>
    <row r="64">
      <c r="A64" s="13" t="s">
        <v>134</v>
      </c>
      <c r="B64" s="22" t="s">
        <v>135</v>
      </c>
      <c r="C64" s="23" t="s">
        <v>136</v>
      </c>
      <c r="D64" s="23" t="s">
        <v>150</v>
      </c>
      <c r="E64" s="23" t="s">
        <v>158</v>
      </c>
      <c r="F64" s="24" t="s">
        <v>159</v>
      </c>
      <c r="G64" s="7"/>
      <c r="H64" s="17">
        <v>10600.0</v>
      </c>
      <c r="I64" s="7"/>
      <c r="J64" s="18">
        <f t="shared" si="20"/>
        <v>15900</v>
      </c>
      <c r="K64" s="18">
        <f t="shared" si="21"/>
        <v>13780</v>
      </c>
      <c r="L64" s="19">
        <f t="shared" si="22"/>
        <v>13780</v>
      </c>
      <c r="M64" s="19">
        <f t="shared" si="23"/>
        <v>12720</v>
      </c>
      <c r="N64" s="19">
        <f t="shared" si="24"/>
        <v>12190</v>
      </c>
      <c r="O64" s="19">
        <f t="shared" si="25"/>
        <v>11660</v>
      </c>
    </row>
    <row r="65">
      <c r="A65" s="13" t="s">
        <v>134</v>
      </c>
      <c r="B65" s="22" t="s">
        <v>135</v>
      </c>
      <c r="C65" s="23" t="s">
        <v>136</v>
      </c>
      <c r="D65" s="23" t="s">
        <v>153</v>
      </c>
      <c r="E65" s="23" t="s">
        <v>160</v>
      </c>
      <c r="F65" s="24" t="s">
        <v>161</v>
      </c>
      <c r="G65" s="7"/>
      <c r="H65" s="17">
        <v>11500.0</v>
      </c>
      <c r="I65" s="7"/>
      <c r="J65" s="18">
        <f t="shared" si="20"/>
        <v>17250</v>
      </c>
      <c r="K65" s="18">
        <f t="shared" si="21"/>
        <v>14950</v>
      </c>
      <c r="L65" s="19">
        <f t="shared" si="22"/>
        <v>14950</v>
      </c>
      <c r="M65" s="19">
        <f t="shared" si="23"/>
        <v>13800</v>
      </c>
      <c r="N65" s="19">
        <f t="shared" si="24"/>
        <v>13225</v>
      </c>
      <c r="O65" s="19">
        <f t="shared" si="25"/>
        <v>12650</v>
      </c>
    </row>
    <row r="66">
      <c r="A66" s="13" t="s">
        <v>134</v>
      </c>
      <c r="B66" s="22" t="s">
        <v>135</v>
      </c>
      <c r="C66" s="23" t="s">
        <v>136</v>
      </c>
      <c r="D66" s="23" t="s">
        <v>162</v>
      </c>
      <c r="E66" s="23" t="s">
        <v>163</v>
      </c>
      <c r="F66" s="24" t="s">
        <v>164</v>
      </c>
      <c r="G66" s="7"/>
      <c r="H66" s="17">
        <v>9300.0</v>
      </c>
      <c r="I66" s="7"/>
      <c r="J66" s="18">
        <f t="shared" si="20"/>
        <v>13950</v>
      </c>
      <c r="K66" s="18">
        <f t="shared" si="21"/>
        <v>12090</v>
      </c>
      <c r="L66" s="19">
        <f t="shared" si="22"/>
        <v>12090</v>
      </c>
      <c r="M66" s="19">
        <f t="shared" si="23"/>
        <v>11160</v>
      </c>
      <c r="N66" s="19">
        <f t="shared" si="24"/>
        <v>10695</v>
      </c>
      <c r="O66" s="19">
        <f t="shared" si="25"/>
        <v>10230</v>
      </c>
    </row>
    <row r="67">
      <c r="A67" s="13" t="s">
        <v>134</v>
      </c>
      <c r="B67" s="22" t="s">
        <v>135</v>
      </c>
      <c r="C67" s="23" t="s">
        <v>136</v>
      </c>
      <c r="D67" s="23" t="s">
        <v>162</v>
      </c>
      <c r="E67" s="23" t="s">
        <v>165</v>
      </c>
      <c r="F67" s="24" t="s">
        <v>166</v>
      </c>
      <c r="G67" s="7"/>
      <c r="H67" s="17">
        <v>8100.0</v>
      </c>
      <c r="I67" s="7"/>
      <c r="J67" s="18">
        <f t="shared" si="20"/>
        <v>12150</v>
      </c>
      <c r="K67" s="18">
        <f t="shared" si="21"/>
        <v>10530</v>
      </c>
      <c r="L67" s="19">
        <f t="shared" si="22"/>
        <v>10530</v>
      </c>
      <c r="M67" s="19">
        <f t="shared" si="23"/>
        <v>9720</v>
      </c>
      <c r="N67" s="19">
        <f t="shared" si="24"/>
        <v>9315</v>
      </c>
      <c r="O67" s="19">
        <f t="shared" si="25"/>
        <v>8910</v>
      </c>
    </row>
    <row r="68">
      <c r="A68" s="13" t="s">
        <v>134</v>
      </c>
      <c r="B68" s="22" t="s">
        <v>135</v>
      </c>
      <c r="C68" s="23" t="s">
        <v>136</v>
      </c>
      <c r="D68" s="23" t="s">
        <v>162</v>
      </c>
      <c r="E68" s="23" t="s">
        <v>167</v>
      </c>
      <c r="F68" s="24" t="s">
        <v>168</v>
      </c>
      <c r="G68" s="7"/>
      <c r="H68" s="17">
        <v>8100.0</v>
      </c>
      <c r="I68" s="7"/>
      <c r="J68" s="18">
        <f t="shared" si="20"/>
        <v>12150</v>
      </c>
      <c r="K68" s="18">
        <f t="shared" si="21"/>
        <v>10530</v>
      </c>
      <c r="L68" s="19">
        <f t="shared" si="22"/>
        <v>10530</v>
      </c>
      <c r="M68" s="19">
        <f t="shared" si="23"/>
        <v>9720</v>
      </c>
      <c r="N68" s="19">
        <f t="shared" si="24"/>
        <v>9315</v>
      </c>
      <c r="O68" s="19">
        <f t="shared" si="25"/>
        <v>8910</v>
      </c>
    </row>
    <row r="69">
      <c r="A69" s="13" t="s">
        <v>134</v>
      </c>
      <c r="B69" s="22" t="s">
        <v>135</v>
      </c>
      <c r="C69" s="23" t="s">
        <v>136</v>
      </c>
      <c r="D69" s="23" t="s">
        <v>142</v>
      </c>
      <c r="E69" s="23" t="s">
        <v>169</v>
      </c>
      <c r="F69" s="24" t="s">
        <v>170</v>
      </c>
      <c r="G69" s="7"/>
      <c r="H69" s="17">
        <v>4000.0</v>
      </c>
      <c r="I69" s="7"/>
      <c r="J69" s="18">
        <f t="shared" si="20"/>
        <v>6000</v>
      </c>
      <c r="K69" s="18">
        <f t="shared" si="21"/>
        <v>5200</v>
      </c>
      <c r="L69" s="19">
        <f t="shared" si="22"/>
        <v>5200</v>
      </c>
      <c r="M69" s="19">
        <f t="shared" si="23"/>
        <v>4800</v>
      </c>
      <c r="N69" s="19">
        <f t="shared" si="24"/>
        <v>4600</v>
      </c>
      <c r="O69" s="19">
        <f t="shared" si="25"/>
        <v>4400</v>
      </c>
    </row>
    <row r="70">
      <c r="A70" s="13" t="s">
        <v>134</v>
      </c>
      <c r="B70" s="22" t="s">
        <v>135</v>
      </c>
      <c r="C70" s="23" t="s">
        <v>136</v>
      </c>
      <c r="D70" s="23" t="s">
        <v>142</v>
      </c>
      <c r="E70" s="23" t="s">
        <v>171</v>
      </c>
      <c r="F70" s="24" t="s">
        <v>172</v>
      </c>
      <c r="G70" s="7"/>
      <c r="H70" s="17">
        <v>4600.0</v>
      </c>
      <c r="I70" s="7"/>
      <c r="J70" s="18">
        <f t="shared" si="20"/>
        <v>6900</v>
      </c>
      <c r="K70" s="18">
        <f t="shared" si="21"/>
        <v>5980</v>
      </c>
      <c r="L70" s="19">
        <f t="shared" si="22"/>
        <v>5980</v>
      </c>
      <c r="M70" s="19">
        <f t="shared" si="23"/>
        <v>5520</v>
      </c>
      <c r="N70" s="19">
        <f t="shared" si="24"/>
        <v>5290</v>
      </c>
      <c r="O70" s="19">
        <f t="shared" si="25"/>
        <v>5060</v>
      </c>
    </row>
    <row r="71">
      <c r="A71" s="13" t="s">
        <v>134</v>
      </c>
      <c r="B71" s="22" t="s">
        <v>135</v>
      </c>
      <c r="C71" s="23" t="s">
        <v>136</v>
      </c>
      <c r="D71" s="23" t="s">
        <v>173</v>
      </c>
      <c r="E71" s="23" t="s">
        <v>174</v>
      </c>
      <c r="F71" s="24" t="s">
        <v>175</v>
      </c>
      <c r="G71" s="7"/>
      <c r="H71" s="17">
        <v>3650.0</v>
      </c>
      <c r="I71" s="7"/>
      <c r="J71" s="18">
        <f t="shared" si="20"/>
        <v>5475</v>
      </c>
      <c r="K71" s="18">
        <f t="shared" si="21"/>
        <v>4745</v>
      </c>
      <c r="L71" s="19">
        <f t="shared" si="22"/>
        <v>4745</v>
      </c>
      <c r="M71" s="19">
        <f t="shared" si="23"/>
        <v>4380</v>
      </c>
      <c r="N71" s="19">
        <f t="shared" si="24"/>
        <v>4197.5</v>
      </c>
      <c r="O71" s="19">
        <f t="shared" si="25"/>
        <v>4015</v>
      </c>
    </row>
    <row r="72">
      <c r="A72" s="13" t="s">
        <v>134</v>
      </c>
      <c r="B72" s="22" t="s">
        <v>135</v>
      </c>
      <c r="C72" s="23" t="s">
        <v>136</v>
      </c>
      <c r="D72" s="23" t="s">
        <v>173</v>
      </c>
      <c r="E72" s="23" t="s">
        <v>176</v>
      </c>
      <c r="F72" s="24" t="s">
        <v>177</v>
      </c>
      <c r="G72" s="7"/>
      <c r="H72" s="17">
        <v>4000.0</v>
      </c>
      <c r="I72" s="7"/>
      <c r="J72" s="18">
        <f t="shared" si="20"/>
        <v>6000</v>
      </c>
      <c r="K72" s="18">
        <f t="shared" si="21"/>
        <v>5200</v>
      </c>
      <c r="L72" s="19">
        <f t="shared" si="22"/>
        <v>5200</v>
      </c>
      <c r="M72" s="19">
        <f t="shared" si="23"/>
        <v>4800</v>
      </c>
      <c r="N72" s="19">
        <f t="shared" si="24"/>
        <v>4600</v>
      </c>
      <c r="O72" s="19">
        <f t="shared" si="25"/>
        <v>4400</v>
      </c>
    </row>
    <row r="73">
      <c r="A73" s="13" t="s">
        <v>134</v>
      </c>
      <c r="B73" s="22" t="s">
        <v>135</v>
      </c>
      <c r="C73" s="23" t="s">
        <v>136</v>
      </c>
      <c r="D73" s="23" t="s">
        <v>173</v>
      </c>
      <c r="E73" s="23" t="s">
        <v>178</v>
      </c>
      <c r="F73" s="24" t="s">
        <v>179</v>
      </c>
      <c r="G73" s="7"/>
      <c r="H73" s="17">
        <v>11400.0</v>
      </c>
      <c r="I73" s="7"/>
      <c r="J73" s="18">
        <f t="shared" si="20"/>
        <v>17100</v>
      </c>
      <c r="K73" s="18">
        <f t="shared" si="21"/>
        <v>14820</v>
      </c>
      <c r="L73" s="19">
        <f t="shared" si="22"/>
        <v>14820</v>
      </c>
      <c r="M73" s="19">
        <f t="shared" si="23"/>
        <v>13680</v>
      </c>
      <c r="N73" s="19">
        <f t="shared" si="24"/>
        <v>13110</v>
      </c>
      <c r="O73" s="19">
        <f t="shared" si="25"/>
        <v>12540</v>
      </c>
    </row>
    <row r="74">
      <c r="A74" s="13" t="s">
        <v>134</v>
      </c>
      <c r="B74" s="22" t="s">
        <v>135</v>
      </c>
      <c r="C74" s="23" t="s">
        <v>136</v>
      </c>
      <c r="D74" s="23" t="s">
        <v>142</v>
      </c>
      <c r="E74" s="23" t="s">
        <v>180</v>
      </c>
      <c r="F74" s="24" t="s">
        <v>181</v>
      </c>
      <c r="G74" s="7"/>
      <c r="H74" s="17">
        <v>2250.0</v>
      </c>
      <c r="I74" s="7"/>
      <c r="J74" s="18">
        <f t="shared" si="20"/>
        <v>3375</v>
      </c>
      <c r="K74" s="18">
        <f t="shared" si="21"/>
        <v>2925</v>
      </c>
      <c r="L74" s="19">
        <f t="shared" si="22"/>
        <v>2925</v>
      </c>
      <c r="M74" s="19">
        <f t="shared" si="23"/>
        <v>2700</v>
      </c>
      <c r="N74" s="19">
        <f t="shared" si="24"/>
        <v>2587.5</v>
      </c>
      <c r="O74" s="19">
        <f t="shared" si="25"/>
        <v>2475</v>
      </c>
    </row>
    <row r="75">
      <c r="A75" s="13" t="s">
        <v>134</v>
      </c>
      <c r="B75" s="22" t="s">
        <v>135</v>
      </c>
      <c r="C75" s="23" t="s">
        <v>136</v>
      </c>
      <c r="D75" s="23" t="s">
        <v>142</v>
      </c>
      <c r="E75" s="23" t="s">
        <v>182</v>
      </c>
      <c r="F75" s="24" t="s">
        <v>183</v>
      </c>
      <c r="G75" s="7"/>
      <c r="H75" s="17">
        <v>2250.0</v>
      </c>
      <c r="I75" s="7"/>
      <c r="J75" s="18">
        <f t="shared" si="20"/>
        <v>3375</v>
      </c>
      <c r="K75" s="18">
        <f t="shared" si="21"/>
        <v>2925</v>
      </c>
      <c r="L75" s="19">
        <f t="shared" si="22"/>
        <v>2925</v>
      </c>
      <c r="M75" s="19">
        <f t="shared" si="23"/>
        <v>2700</v>
      </c>
      <c r="N75" s="19">
        <f t="shared" si="24"/>
        <v>2587.5</v>
      </c>
      <c r="O75" s="19">
        <f t="shared" si="25"/>
        <v>2475</v>
      </c>
    </row>
    <row r="76">
      <c r="A76" s="13" t="s">
        <v>134</v>
      </c>
      <c r="B76" s="22" t="s">
        <v>135</v>
      </c>
      <c r="C76" s="23" t="s">
        <v>136</v>
      </c>
      <c r="D76" s="23" t="s">
        <v>184</v>
      </c>
      <c r="E76" s="23" t="s">
        <v>185</v>
      </c>
      <c r="F76" s="24" t="s">
        <v>186</v>
      </c>
      <c r="G76" s="7"/>
      <c r="H76" s="17">
        <v>7950.0</v>
      </c>
      <c r="I76" s="7"/>
      <c r="J76" s="18">
        <f t="shared" si="20"/>
        <v>11925</v>
      </c>
      <c r="K76" s="18">
        <f t="shared" si="21"/>
        <v>10335</v>
      </c>
      <c r="L76" s="19">
        <f t="shared" si="22"/>
        <v>10335</v>
      </c>
      <c r="M76" s="19">
        <f t="shared" si="23"/>
        <v>9540</v>
      </c>
      <c r="N76" s="19">
        <f t="shared" si="24"/>
        <v>9142.5</v>
      </c>
      <c r="O76" s="19">
        <f t="shared" si="25"/>
        <v>8745</v>
      </c>
    </row>
    <row r="77">
      <c r="A77" s="13" t="s">
        <v>134</v>
      </c>
      <c r="B77" s="22" t="s">
        <v>135</v>
      </c>
      <c r="C77" s="23" t="s">
        <v>136</v>
      </c>
      <c r="D77" s="23" t="s">
        <v>187</v>
      </c>
      <c r="E77" s="23" t="s">
        <v>188</v>
      </c>
      <c r="F77" s="24" t="s">
        <v>186</v>
      </c>
      <c r="G77" s="7"/>
      <c r="H77" s="17">
        <v>6400.0</v>
      </c>
      <c r="I77" s="7"/>
      <c r="J77" s="18">
        <f t="shared" si="20"/>
        <v>9600</v>
      </c>
      <c r="K77" s="18">
        <f t="shared" si="21"/>
        <v>8320</v>
      </c>
      <c r="L77" s="19">
        <f t="shared" si="22"/>
        <v>8320</v>
      </c>
      <c r="M77" s="19">
        <f t="shared" si="23"/>
        <v>7680</v>
      </c>
      <c r="N77" s="19">
        <f t="shared" si="24"/>
        <v>7360</v>
      </c>
      <c r="O77" s="19">
        <f t="shared" si="25"/>
        <v>7040</v>
      </c>
    </row>
    <row r="78">
      <c r="A78" s="13" t="s">
        <v>134</v>
      </c>
      <c r="B78" s="22" t="s">
        <v>135</v>
      </c>
      <c r="C78" s="23" t="s">
        <v>136</v>
      </c>
      <c r="D78" s="23" t="s">
        <v>189</v>
      </c>
      <c r="E78" s="23" t="s">
        <v>190</v>
      </c>
      <c r="F78" s="24" t="s">
        <v>191</v>
      </c>
      <c r="G78" s="7"/>
      <c r="H78" s="17">
        <v>2050.0</v>
      </c>
      <c r="I78" s="7"/>
      <c r="J78" s="18">
        <f t="shared" si="20"/>
        <v>3075</v>
      </c>
      <c r="K78" s="18">
        <f t="shared" si="21"/>
        <v>2665</v>
      </c>
      <c r="L78" s="19">
        <f t="shared" si="22"/>
        <v>2665</v>
      </c>
      <c r="M78" s="19">
        <f t="shared" si="23"/>
        <v>2460</v>
      </c>
      <c r="N78" s="19">
        <f t="shared" si="24"/>
        <v>2357.5</v>
      </c>
      <c r="O78" s="19">
        <f t="shared" si="25"/>
        <v>2255</v>
      </c>
    </row>
    <row r="79">
      <c r="A79" s="13" t="s">
        <v>134</v>
      </c>
      <c r="B79" s="22" t="s">
        <v>135</v>
      </c>
      <c r="C79" s="23" t="s">
        <v>136</v>
      </c>
      <c r="D79" s="23" t="s">
        <v>192</v>
      </c>
      <c r="E79" s="23" t="s">
        <v>193</v>
      </c>
      <c r="F79" s="24" t="s">
        <v>191</v>
      </c>
      <c r="G79" s="7"/>
      <c r="H79" s="17">
        <v>2250.0</v>
      </c>
      <c r="I79" s="7"/>
      <c r="J79" s="18">
        <f t="shared" si="20"/>
        <v>3375</v>
      </c>
      <c r="K79" s="18">
        <f t="shared" si="21"/>
        <v>2925</v>
      </c>
      <c r="L79" s="19">
        <f t="shared" si="22"/>
        <v>2925</v>
      </c>
      <c r="M79" s="19">
        <f t="shared" si="23"/>
        <v>2700</v>
      </c>
      <c r="N79" s="19">
        <f t="shared" si="24"/>
        <v>2587.5</v>
      </c>
      <c r="O79" s="19">
        <f t="shared" si="25"/>
        <v>2475</v>
      </c>
    </row>
    <row r="80">
      <c r="A80" s="13" t="s">
        <v>134</v>
      </c>
      <c r="B80" s="22" t="s">
        <v>135</v>
      </c>
      <c r="C80" s="23" t="s">
        <v>136</v>
      </c>
      <c r="D80" s="23" t="s">
        <v>192</v>
      </c>
      <c r="E80" s="25" t="s">
        <v>194</v>
      </c>
      <c r="F80" s="24" t="s">
        <v>191</v>
      </c>
      <c r="G80" s="7"/>
      <c r="H80" s="17">
        <v>2500.0</v>
      </c>
      <c r="I80" s="7"/>
      <c r="J80" s="18">
        <f t="shared" si="20"/>
        <v>3750</v>
      </c>
      <c r="K80" s="18">
        <f t="shared" si="21"/>
        <v>3250</v>
      </c>
      <c r="L80" s="19">
        <f t="shared" si="22"/>
        <v>3250</v>
      </c>
      <c r="M80" s="19">
        <f t="shared" si="23"/>
        <v>3000</v>
      </c>
      <c r="N80" s="19">
        <f t="shared" si="24"/>
        <v>2875</v>
      </c>
      <c r="O80" s="19">
        <f t="shared" si="25"/>
        <v>2750</v>
      </c>
    </row>
    <row r="81">
      <c r="A81" s="13" t="s">
        <v>134</v>
      </c>
      <c r="B81" s="22" t="s">
        <v>135</v>
      </c>
      <c r="C81" s="23" t="s">
        <v>136</v>
      </c>
      <c r="D81" s="23" t="s">
        <v>173</v>
      </c>
      <c r="E81" s="23" t="s">
        <v>195</v>
      </c>
      <c r="F81" s="24" t="s">
        <v>196</v>
      </c>
      <c r="G81" s="7"/>
      <c r="H81" s="17">
        <v>4600.0</v>
      </c>
      <c r="I81" s="7"/>
      <c r="J81" s="18">
        <f t="shared" si="20"/>
        <v>6900</v>
      </c>
      <c r="K81" s="18">
        <f t="shared" si="21"/>
        <v>5980</v>
      </c>
      <c r="L81" s="19">
        <f t="shared" si="22"/>
        <v>5980</v>
      </c>
      <c r="M81" s="19">
        <f t="shared" si="23"/>
        <v>5520</v>
      </c>
      <c r="N81" s="19">
        <f t="shared" si="24"/>
        <v>5290</v>
      </c>
      <c r="O81" s="19">
        <f t="shared" si="25"/>
        <v>5060</v>
      </c>
    </row>
    <row r="82">
      <c r="A82" s="13" t="s">
        <v>134</v>
      </c>
      <c r="B82" s="22" t="s">
        <v>135</v>
      </c>
      <c r="C82" s="23" t="s">
        <v>136</v>
      </c>
      <c r="D82" s="23" t="s">
        <v>173</v>
      </c>
      <c r="E82" s="23" t="s">
        <v>197</v>
      </c>
      <c r="F82" s="24" t="s">
        <v>198</v>
      </c>
      <c r="G82" s="7"/>
      <c r="H82" s="17">
        <v>3450.0</v>
      </c>
      <c r="I82" s="7"/>
      <c r="J82" s="18">
        <f t="shared" si="20"/>
        <v>5175</v>
      </c>
      <c r="K82" s="18">
        <f t="shared" si="21"/>
        <v>4485</v>
      </c>
      <c r="L82" s="19">
        <f t="shared" si="22"/>
        <v>4485</v>
      </c>
      <c r="M82" s="19">
        <f t="shared" si="23"/>
        <v>4140</v>
      </c>
      <c r="N82" s="19">
        <f t="shared" si="24"/>
        <v>3967.5</v>
      </c>
      <c r="O82" s="19">
        <f t="shared" si="25"/>
        <v>3795</v>
      </c>
    </row>
    <row r="83">
      <c r="A83" s="13" t="s">
        <v>134</v>
      </c>
      <c r="B83" s="22" t="s">
        <v>135</v>
      </c>
      <c r="C83" s="23" t="s">
        <v>136</v>
      </c>
      <c r="D83" s="23" t="s">
        <v>199</v>
      </c>
      <c r="E83" s="23" t="s">
        <v>200</v>
      </c>
      <c r="F83" s="24" t="s">
        <v>201</v>
      </c>
      <c r="G83" s="7"/>
      <c r="H83" s="17">
        <v>5300.0</v>
      </c>
      <c r="I83" s="7"/>
      <c r="J83" s="18">
        <f t="shared" si="20"/>
        <v>7950</v>
      </c>
      <c r="K83" s="18">
        <f t="shared" si="21"/>
        <v>6890</v>
      </c>
      <c r="L83" s="19">
        <f t="shared" si="22"/>
        <v>6890</v>
      </c>
      <c r="M83" s="19">
        <f t="shared" si="23"/>
        <v>6360</v>
      </c>
      <c r="N83" s="19">
        <f t="shared" si="24"/>
        <v>6095</v>
      </c>
      <c r="O83" s="19">
        <f t="shared" si="25"/>
        <v>5830</v>
      </c>
    </row>
    <row r="84">
      <c r="A84" s="13" t="s">
        <v>134</v>
      </c>
      <c r="B84" s="22" t="s">
        <v>135</v>
      </c>
      <c r="C84" s="23" t="s">
        <v>136</v>
      </c>
      <c r="D84" s="23" t="s">
        <v>202</v>
      </c>
      <c r="E84" s="23" t="s">
        <v>203</v>
      </c>
      <c r="F84" s="24" t="s">
        <v>204</v>
      </c>
      <c r="G84" s="7"/>
      <c r="H84" s="17">
        <v>57450.0</v>
      </c>
      <c r="I84" s="7"/>
      <c r="J84" s="18">
        <f t="shared" si="20"/>
        <v>86175</v>
      </c>
      <c r="K84" s="18">
        <f t="shared" si="21"/>
        <v>74685</v>
      </c>
      <c r="L84" s="19">
        <f t="shared" si="22"/>
        <v>74685</v>
      </c>
      <c r="M84" s="19">
        <f t="shared" si="23"/>
        <v>68940</v>
      </c>
      <c r="N84" s="19">
        <f t="shared" si="24"/>
        <v>66067.5</v>
      </c>
      <c r="O84" s="19">
        <f t="shared" si="25"/>
        <v>63195</v>
      </c>
    </row>
    <row r="85">
      <c r="A85" s="13" t="s">
        <v>134</v>
      </c>
      <c r="B85" s="22" t="s">
        <v>135</v>
      </c>
      <c r="C85" s="23" t="s">
        <v>136</v>
      </c>
      <c r="D85" s="23" t="s">
        <v>142</v>
      </c>
      <c r="E85" s="23" t="s">
        <v>205</v>
      </c>
      <c r="F85" s="24" t="s">
        <v>206</v>
      </c>
      <c r="G85" s="7"/>
      <c r="H85" s="17">
        <v>66650.0</v>
      </c>
      <c r="I85" s="7"/>
      <c r="J85" s="18">
        <f t="shared" si="20"/>
        <v>99975</v>
      </c>
      <c r="K85" s="18">
        <f t="shared" si="21"/>
        <v>86645</v>
      </c>
      <c r="L85" s="19">
        <f t="shared" si="22"/>
        <v>86645</v>
      </c>
      <c r="M85" s="19">
        <f t="shared" si="23"/>
        <v>79980</v>
      </c>
      <c r="N85" s="19">
        <f t="shared" si="24"/>
        <v>76647.5</v>
      </c>
      <c r="O85" s="19">
        <f t="shared" si="25"/>
        <v>73315</v>
      </c>
    </row>
    <row r="86">
      <c r="A86" s="13" t="s">
        <v>134</v>
      </c>
      <c r="B86" s="22" t="s">
        <v>135</v>
      </c>
      <c r="C86" s="23" t="s">
        <v>207</v>
      </c>
      <c r="D86" s="23" t="s">
        <v>208</v>
      </c>
      <c r="E86" s="23" t="s">
        <v>209</v>
      </c>
      <c r="F86" s="24" t="s">
        <v>210</v>
      </c>
      <c r="G86" s="7"/>
      <c r="H86" s="17">
        <v>43000.0</v>
      </c>
      <c r="I86" s="7"/>
      <c r="J86" s="18">
        <f t="shared" si="20"/>
        <v>64500</v>
      </c>
      <c r="K86" s="18">
        <f t="shared" si="21"/>
        <v>55900</v>
      </c>
      <c r="L86" s="19">
        <f t="shared" si="22"/>
        <v>55900</v>
      </c>
      <c r="M86" s="19">
        <f t="shared" si="23"/>
        <v>51600</v>
      </c>
      <c r="N86" s="19">
        <f t="shared" si="24"/>
        <v>49450</v>
      </c>
      <c r="O86" s="19">
        <f t="shared" si="25"/>
        <v>47300</v>
      </c>
    </row>
    <row r="87">
      <c r="A87" s="13" t="s">
        <v>134</v>
      </c>
      <c r="B87" s="22" t="s">
        <v>135</v>
      </c>
      <c r="C87" s="23" t="s">
        <v>207</v>
      </c>
      <c r="D87" s="23" t="s">
        <v>208</v>
      </c>
      <c r="E87" s="23" t="s">
        <v>211</v>
      </c>
      <c r="F87" s="24" t="s">
        <v>212</v>
      </c>
      <c r="G87" s="7"/>
      <c r="H87" s="17">
        <v>48800.0</v>
      </c>
      <c r="I87" s="7"/>
      <c r="J87" s="18">
        <f t="shared" si="20"/>
        <v>73200</v>
      </c>
      <c r="K87" s="18">
        <f t="shared" si="21"/>
        <v>63440</v>
      </c>
      <c r="L87" s="19">
        <f t="shared" si="22"/>
        <v>63440</v>
      </c>
      <c r="M87" s="19">
        <f t="shared" si="23"/>
        <v>58560</v>
      </c>
      <c r="N87" s="19">
        <f t="shared" si="24"/>
        <v>56120</v>
      </c>
      <c r="O87" s="19">
        <f t="shared" si="25"/>
        <v>53680</v>
      </c>
    </row>
    <row r="88">
      <c r="A88" s="13" t="s">
        <v>134</v>
      </c>
      <c r="B88" s="22" t="s">
        <v>135</v>
      </c>
      <c r="C88" s="23" t="s">
        <v>207</v>
      </c>
      <c r="D88" s="23" t="s">
        <v>208</v>
      </c>
      <c r="E88" s="23" t="s">
        <v>213</v>
      </c>
      <c r="F88" s="24" t="s">
        <v>214</v>
      </c>
      <c r="G88" s="7"/>
      <c r="H88" s="17">
        <v>40850.0</v>
      </c>
      <c r="I88" s="7"/>
      <c r="J88" s="18">
        <f t="shared" si="20"/>
        <v>61275</v>
      </c>
      <c r="K88" s="18">
        <f t="shared" si="21"/>
        <v>53105</v>
      </c>
      <c r="L88" s="19">
        <f t="shared" si="22"/>
        <v>53105</v>
      </c>
      <c r="M88" s="19">
        <f t="shared" si="23"/>
        <v>49020</v>
      </c>
      <c r="N88" s="19">
        <f t="shared" si="24"/>
        <v>46977.5</v>
      </c>
      <c r="O88" s="19">
        <f t="shared" si="25"/>
        <v>44935</v>
      </c>
    </row>
    <row r="89">
      <c r="A89" s="13" t="s">
        <v>134</v>
      </c>
      <c r="B89" s="22" t="s">
        <v>135</v>
      </c>
      <c r="C89" s="23" t="s">
        <v>207</v>
      </c>
      <c r="D89" s="23" t="s">
        <v>208</v>
      </c>
      <c r="E89" s="23" t="s">
        <v>215</v>
      </c>
      <c r="F89" s="24" t="s">
        <v>216</v>
      </c>
      <c r="G89" s="7"/>
      <c r="H89" s="17">
        <v>50750.0</v>
      </c>
      <c r="I89" s="7"/>
      <c r="J89" s="18">
        <f t="shared" si="20"/>
        <v>76125</v>
      </c>
      <c r="K89" s="18">
        <f t="shared" si="21"/>
        <v>65975</v>
      </c>
      <c r="L89" s="19">
        <f t="shared" si="22"/>
        <v>65975</v>
      </c>
      <c r="M89" s="19">
        <f t="shared" si="23"/>
        <v>60900</v>
      </c>
      <c r="N89" s="19">
        <f t="shared" si="24"/>
        <v>58362.5</v>
      </c>
      <c r="O89" s="19">
        <f t="shared" si="25"/>
        <v>55825</v>
      </c>
    </row>
    <row r="90">
      <c r="A90" s="13" t="s">
        <v>19</v>
      </c>
      <c r="B90" s="14" t="s">
        <v>217</v>
      </c>
      <c r="C90" s="15" t="s">
        <v>218</v>
      </c>
      <c r="D90" s="15" t="s">
        <v>219</v>
      </c>
      <c r="E90" s="15" t="s">
        <v>220</v>
      </c>
      <c r="F90" s="16" t="s">
        <v>221</v>
      </c>
      <c r="G90" s="7"/>
      <c r="H90" s="27">
        <v>16600.0</v>
      </c>
      <c r="I90" s="7"/>
      <c r="J90" s="18">
        <f t="shared" si="20"/>
        <v>24900</v>
      </c>
      <c r="K90" s="18">
        <f t="shared" si="21"/>
        <v>21580</v>
      </c>
      <c r="L90" s="19">
        <f t="shared" si="22"/>
        <v>21580</v>
      </c>
      <c r="M90" s="19">
        <f t="shared" si="23"/>
        <v>19920</v>
      </c>
      <c r="N90" s="19">
        <f t="shared" si="24"/>
        <v>19090</v>
      </c>
      <c r="O90" s="19">
        <f t="shared" si="25"/>
        <v>18260</v>
      </c>
    </row>
    <row r="91">
      <c r="A91" s="13" t="s">
        <v>19</v>
      </c>
      <c r="B91" s="14" t="s">
        <v>217</v>
      </c>
      <c r="C91" s="28" t="s">
        <v>222</v>
      </c>
      <c r="D91" s="28" t="s">
        <v>223</v>
      </c>
      <c r="E91" s="28" t="s">
        <v>224</v>
      </c>
      <c r="F91" s="29" t="s">
        <v>225</v>
      </c>
      <c r="G91" s="7"/>
      <c r="H91" s="27">
        <v>17400.0</v>
      </c>
      <c r="I91" s="7"/>
      <c r="J91" s="18">
        <f t="shared" si="20"/>
        <v>26100</v>
      </c>
      <c r="K91" s="18">
        <f t="shared" si="21"/>
        <v>22620</v>
      </c>
      <c r="L91" s="19">
        <f t="shared" si="22"/>
        <v>22620</v>
      </c>
      <c r="M91" s="19">
        <f t="shared" si="23"/>
        <v>20880</v>
      </c>
      <c r="N91" s="19">
        <f t="shared" si="24"/>
        <v>20010</v>
      </c>
      <c r="O91" s="19">
        <f t="shared" si="25"/>
        <v>19140</v>
      </c>
    </row>
    <row r="92">
      <c r="A92" s="13" t="s">
        <v>19</v>
      </c>
      <c r="B92" s="14" t="s">
        <v>217</v>
      </c>
      <c r="C92" s="15" t="s">
        <v>222</v>
      </c>
      <c r="D92" s="15" t="s">
        <v>223</v>
      </c>
      <c r="E92" s="15" t="s">
        <v>226</v>
      </c>
      <c r="F92" s="16" t="s">
        <v>227</v>
      </c>
      <c r="G92" s="7"/>
      <c r="H92" s="27">
        <v>16600.0</v>
      </c>
      <c r="I92" s="7"/>
      <c r="J92" s="18">
        <f t="shared" si="20"/>
        <v>24900</v>
      </c>
      <c r="K92" s="18">
        <f t="shared" si="21"/>
        <v>21580</v>
      </c>
      <c r="L92" s="19">
        <f t="shared" si="22"/>
        <v>21580</v>
      </c>
      <c r="M92" s="19">
        <f t="shared" si="23"/>
        <v>19920</v>
      </c>
      <c r="N92" s="19">
        <f t="shared" si="24"/>
        <v>19090</v>
      </c>
      <c r="O92" s="19">
        <f t="shared" si="25"/>
        <v>18260</v>
      </c>
    </row>
    <row r="93">
      <c r="A93" s="13" t="s">
        <v>19</v>
      </c>
      <c r="B93" s="14" t="s">
        <v>217</v>
      </c>
      <c r="C93" s="15" t="s">
        <v>222</v>
      </c>
      <c r="D93" s="15" t="s">
        <v>223</v>
      </c>
      <c r="E93" s="15" t="s">
        <v>228</v>
      </c>
      <c r="F93" s="16" t="s">
        <v>229</v>
      </c>
      <c r="G93" s="7"/>
      <c r="H93" s="27">
        <v>16600.0</v>
      </c>
      <c r="I93" s="7"/>
      <c r="J93" s="18">
        <f t="shared" si="20"/>
        <v>24900</v>
      </c>
      <c r="K93" s="18">
        <f t="shared" si="21"/>
        <v>21580</v>
      </c>
      <c r="L93" s="19">
        <f t="shared" si="22"/>
        <v>21580</v>
      </c>
      <c r="M93" s="19">
        <f t="shared" si="23"/>
        <v>19920</v>
      </c>
      <c r="N93" s="19">
        <f t="shared" si="24"/>
        <v>19090</v>
      </c>
      <c r="O93" s="19">
        <f t="shared" si="25"/>
        <v>18260</v>
      </c>
    </row>
    <row r="94">
      <c r="A94" s="13" t="s">
        <v>19</v>
      </c>
      <c r="B94" s="14" t="s">
        <v>217</v>
      </c>
      <c r="C94" s="15" t="s">
        <v>222</v>
      </c>
      <c r="D94" s="15" t="s">
        <v>223</v>
      </c>
      <c r="E94" s="15" t="s">
        <v>230</v>
      </c>
      <c r="F94" s="16" t="s">
        <v>231</v>
      </c>
      <c r="G94" s="7"/>
      <c r="H94" s="27">
        <v>16600.0</v>
      </c>
      <c r="I94" s="7"/>
      <c r="J94" s="18">
        <f t="shared" si="20"/>
        <v>24900</v>
      </c>
      <c r="K94" s="18">
        <f t="shared" si="21"/>
        <v>21580</v>
      </c>
      <c r="L94" s="19">
        <f t="shared" si="22"/>
        <v>21580</v>
      </c>
      <c r="M94" s="19">
        <f t="shared" si="23"/>
        <v>19920</v>
      </c>
      <c r="N94" s="19">
        <f t="shared" si="24"/>
        <v>19090</v>
      </c>
      <c r="O94" s="19">
        <f t="shared" si="25"/>
        <v>18260</v>
      </c>
    </row>
    <row r="95">
      <c r="A95" s="13" t="s">
        <v>19</v>
      </c>
      <c r="B95" s="14" t="s">
        <v>217</v>
      </c>
      <c r="C95" s="15" t="s">
        <v>222</v>
      </c>
      <c r="D95" s="15" t="s">
        <v>223</v>
      </c>
      <c r="E95" s="15" t="s">
        <v>232</v>
      </c>
      <c r="F95" s="16" t="s">
        <v>233</v>
      </c>
      <c r="G95" s="7"/>
      <c r="H95" s="27">
        <v>16600.0</v>
      </c>
      <c r="I95" s="7"/>
      <c r="J95" s="18">
        <f t="shared" si="20"/>
        <v>24900</v>
      </c>
      <c r="K95" s="18">
        <f t="shared" si="21"/>
        <v>21580</v>
      </c>
      <c r="L95" s="19">
        <f t="shared" si="22"/>
        <v>21580</v>
      </c>
      <c r="M95" s="19">
        <f t="shared" si="23"/>
        <v>19920</v>
      </c>
      <c r="N95" s="19">
        <f t="shared" si="24"/>
        <v>19090</v>
      </c>
      <c r="O95" s="19">
        <f t="shared" si="25"/>
        <v>18260</v>
      </c>
    </row>
    <row r="96">
      <c r="A96" s="13" t="s">
        <v>19</v>
      </c>
      <c r="B96" s="14" t="s">
        <v>217</v>
      </c>
      <c r="C96" s="15" t="s">
        <v>222</v>
      </c>
      <c r="D96" s="15" t="s">
        <v>223</v>
      </c>
      <c r="E96" s="15" t="s">
        <v>234</v>
      </c>
      <c r="F96" s="16" t="s">
        <v>235</v>
      </c>
      <c r="G96" s="7"/>
      <c r="H96" s="27">
        <v>16600.0</v>
      </c>
      <c r="I96" s="7"/>
      <c r="J96" s="18">
        <f t="shared" si="20"/>
        <v>24900</v>
      </c>
      <c r="K96" s="18">
        <f t="shared" si="21"/>
        <v>21580</v>
      </c>
      <c r="L96" s="19">
        <f t="shared" si="22"/>
        <v>21580</v>
      </c>
      <c r="M96" s="19">
        <f t="shared" si="23"/>
        <v>19920</v>
      </c>
      <c r="N96" s="19">
        <f t="shared" si="24"/>
        <v>19090</v>
      </c>
      <c r="O96" s="19">
        <f t="shared" si="25"/>
        <v>18260</v>
      </c>
    </row>
    <row r="97">
      <c r="A97" s="13" t="s">
        <v>19</v>
      </c>
      <c r="B97" s="14" t="s">
        <v>217</v>
      </c>
      <c r="C97" s="15" t="s">
        <v>222</v>
      </c>
      <c r="D97" s="15" t="s">
        <v>223</v>
      </c>
      <c r="E97" s="15" t="s">
        <v>236</v>
      </c>
      <c r="F97" s="16" t="s">
        <v>237</v>
      </c>
      <c r="G97" s="7"/>
      <c r="H97" s="27">
        <v>16600.0</v>
      </c>
      <c r="I97" s="7"/>
      <c r="J97" s="18">
        <f t="shared" si="20"/>
        <v>24900</v>
      </c>
      <c r="K97" s="18">
        <f t="shared" si="21"/>
        <v>21580</v>
      </c>
      <c r="L97" s="19">
        <f t="shared" si="22"/>
        <v>21580</v>
      </c>
      <c r="M97" s="19">
        <f t="shared" si="23"/>
        <v>19920</v>
      </c>
      <c r="N97" s="19">
        <f t="shared" si="24"/>
        <v>19090</v>
      </c>
      <c r="O97" s="19">
        <f t="shared" si="25"/>
        <v>18260</v>
      </c>
    </row>
    <row r="98">
      <c r="A98" s="13" t="s">
        <v>19</v>
      </c>
      <c r="B98" s="14" t="s">
        <v>217</v>
      </c>
      <c r="C98" s="15" t="s">
        <v>222</v>
      </c>
      <c r="D98" s="15" t="s">
        <v>223</v>
      </c>
      <c r="E98" s="15" t="s">
        <v>238</v>
      </c>
      <c r="F98" s="16" t="s">
        <v>239</v>
      </c>
      <c r="G98" s="7"/>
      <c r="H98" s="27">
        <v>16600.0</v>
      </c>
      <c r="I98" s="7"/>
      <c r="J98" s="18">
        <f t="shared" si="20"/>
        <v>24900</v>
      </c>
      <c r="K98" s="18">
        <f t="shared" si="21"/>
        <v>21580</v>
      </c>
      <c r="L98" s="19">
        <f t="shared" si="22"/>
        <v>21580</v>
      </c>
      <c r="M98" s="19">
        <f t="shared" si="23"/>
        <v>19920</v>
      </c>
      <c r="N98" s="19">
        <f t="shared" si="24"/>
        <v>19090</v>
      </c>
      <c r="O98" s="19">
        <f t="shared" si="25"/>
        <v>18260</v>
      </c>
    </row>
    <row r="99">
      <c r="A99" s="13" t="s">
        <v>19</v>
      </c>
      <c r="B99" s="14" t="s">
        <v>217</v>
      </c>
      <c r="C99" s="15" t="s">
        <v>222</v>
      </c>
      <c r="D99" s="15" t="s">
        <v>223</v>
      </c>
      <c r="E99" s="15" t="s">
        <v>240</v>
      </c>
      <c r="F99" s="16" t="s">
        <v>241</v>
      </c>
      <c r="G99" s="7"/>
      <c r="H99" s="27">
        <v>16600.0</v>
      </c>
      <c r="I99" s="7"/>
      <c r="J99" s="18">
        <f t="shared" si="20"/>
        <v>24900</v>
      </c>
      <c r="K99" s="18">
        <f t="shared" si="21"/>
        <v>21580</v>
      </c>
      <c r="L99" s="19">
        <f t="shared" si="22"/>
        <v>21580</v>
      </c>
      <c r="M99" s="19">
        <f t="shared" si="23"/>
        <v>19920</v>
      </c>
      <c r="N99" s="19">
        <f t="shared" si="24"/>
        <v>19090</v>
      </c>
      <c r="O99" s="19">
        <f t="shared" si="25"/>
        <v>18260</v>
      </c>
    </row>
    <row r="100">
      <c r="A100" s="13" t="s">
        <v>19</v>
      </c>
      <c r="B100" s="14" t="s">
        <v>217</v>
      </c>
      <c r="C100" s="15" t="s">
        <v>222</v>
      </c>
      <c r="D100" s="15" t="s">
        <v>223</v>
      </c>
      <c r="E100" s="15" t="s">
        <v>242</v>
      </c>
      <c r="F100" s="16" t="s">
        <v>243</v>
      </c>
      <c r="G100" s="7"/>
      <c r="H100" s="27">
        <v>16600.0</v>
      </c>
      <c r="I100" s="7"/>
      <c r="J100" s="18">
        <f t="shared" si="20"/>
        <v>24900</v>
      </c>
      <c r="K100" s="18">
        <f t="shared" si="21"/>
        <v>21580</v>
      </c>
      <c r="L100" s="19">
        <f t="shared" si="22"/>
        <v>21580</v>
      </c>
      <c r="M100" s="19">
        <f t="shared" si="23"/>
        <v>19920</v>
      </c>
      <c r="N100" s="19">
        <f t="shared" si="24"/>
        <v>19090</v>
      </c>
      <c r="O100" s="19">
        <f t="shared" si="25"/>
        <v>18260</v>
      </c>
    </row>
    <row r="101">
      <c r="A101" s="13" t="s">
        <v>19</v>
      </c>
      <c r="B101" s="14" t="s">
        <v>217</v>
      </c>
      <c r="C101" s="15" t="s">
        <v>222</v>
      </c>
      <c r="D101" s="15" t="s">
        <v>223</v>
      </c>
      <c r="E101" s="15" t="s">
        <v>244</v>
      </c>
      <c r="F101" s="16" t="s">
        <v>245</v>
      </c>
      <c r="G101" s="7"/>
      <c r="H101" s="27">
        <v>16600.0</v>
      </c>
      <c r="I101" s="7"/>
      <c r="J101" s="18">
        <f t="shared" si="20"/>
        <v>24900</v>
      </c>
      <c r="K101" s="18">
        <f t="shared" si="21"/>
        <v>21580</v>
      </c>
      <c r="L101" s="19">
        <f t="shared" si="22"/>
        <v>21580</v>
      </c>
      <c r="M101" s="19">
        <f t="shared" si="23"/>
        <v>19920</v>
      </c>
      <c r="N101" s="19">
        <f t="shared" si="24"/>
        <v>19090</v>
      </c>
      <c r="O101" s="19">
        <f t="shared" si="25"/>
        <v>18260</v>
      </c>
    </row>
    <row r="102">
      <c r="A102" s="13" t="s">
        <v>19</v>
      </c>
      <c r="B102" s="14" t="s">
        <v>217</v>
      </c>
      <c r="C102" s="15" t="s">
        <v>222</v>
      </c>
      <c r="D102" s="15" t="s">
        <v>223</v>
      </c>
      <c r="E102" s="15" t="s">
        <v>246</v>
      </c>
      <c r="F102" s="16" t="s">
        <v>247</v>
      </c>
      <c r="G102" s="7"/>
      <c r="H102" s="27">
        <v>16600.0</v>
      </c>
      <c r="I102" s="7"/>
      <c r="J102" s="18">
        <f t="shared" si="20"/>
        <v>24900</v>
      </c>
      <c r="K102" s="18">
        <f t="shared" si="21"/>
        <v>21580</v>
      </c>
      <c r="L102" s="19">
        <f t="shared" si="22"/>
        <v>21580</v>
      </c>
      <c r="M102" s="19">
        <f t="shared" si="23"/>
        <v>19920</v>
      </c>
      <c r="N102" s="19">
        <f t="shared" si="24"/>
        <v>19090</v>
      </c>
      <c r="O102" s="19">
        <f t="shared" si="25"/>
        <v>18260</v>
      </c>
    </row>
    <row r="103">
      <c r="A103" s="13" t="s">
        <v>19</v>
      </c>
      <c r="B103" s="14" t="s">
        <v>217</v>
      </c>
      <c r="C103" s="28" t="s">
        <v>222</v>
      </c>
      <c r="D103" s="28" t="s">
        <v>248</v>
      </c>
      <c r="E103" s="28" t="s">
        <v>249</v>
      </c>
      <c r="F103" s="29" t="s">
        <v>250</v>
      </c>
      <c r="G103" s="7"/>
      <c r="H103" s="27">
        <v>7900.0</v>
      </c>
      <c r="I103" s="7"/>
      <c r="J103" s="18">
        <f t="shared" si="20"/>
        <v>11850</v>
      </c>
      <c r="K103" s="18">
        <f t="shared" si="21"/>
        <v>10270</v>
      </c>
      <c r="L103" s="19">
        <f t="shared" si="22"/>
        <v>10270</v>
      </c>
      <c r="M103" s="19">
        <f t="shared" si="23"/>
        <v>9480</v>
      </c>
      <c r="N103" s="19">
        <f t="shared" si="24"/>
        <v>9085</v>
      </c>
      <c r="O103" s="19">
        <f t="shared" si="25"/>
        <v>8690</v>
      </c>
    </row>
    <row r="104">
      <c r="A104" s="13" t="s">
        <v>19</v>
      </c>
      <c r="B104" s="14" t="s">
        <v>217</v>
      </c>
      <c r="C104" s="28" t="s">
        <v>222</v>
      </c>
      <c r="D104" s="28" t="s">
        <v>248</v>
      </c>
      <c r="E104" s="28" t="s">
        <v>251</v>
      </c>
      <c r="F104" s="29" t="s">
        <v>252</v>
      </c>
      <c r="G104" s="7"/>
      <c r="H104" s="27">
        <v>7900.0</v>
      </c>
      <c r="I104" s="7"/>
      <c r="J104" s="18">
        <f t="shared" si="20"/>
        <v>11850</v>
      </c>
      <c r="K104" s="18">
        <f t="shared" si="21"/>
        <v>10270</v>
      </c>
      <c r="L104" s="19">
        <f t="shared" si="22"/>
        <v>10270</v>
      </c>
      <c r="M104" s="19">
        <f t="shared" si="23"/>
        <v>9480</v>
      </c>
      <c r="N104" s="19">
        <f t="shared" si="24"/>
        <v>9085</v>
      </c>
      <c r="O104" s="19">
        <f t="shared" si="25"/>
        <v>8690</v>
      </c>
    </row>
    <row r="105">
      <c r="A105" s="13" t="s">
        <v>19</v>
      </c>
      <c r="B105" s="14" t="s">
        <v>217</v>
      </c>
      <c r="C105" s="15" t="s">
        <v>222</v>
      </c>
      <c r="D105" s="15" t="s">
        <v>248</v>
      </c>
      <c r="E105" s="15" t="s">
        <v>253</v>
      </c>
      <c r="F105" s="16" t="s">
        <v>254</v>
      </c>
      <c r="G105" s="7"/>
      <c r="H105" s="27">
        <v>11450.0</v>
      </c>
      <c r="I105" s="7"/>
      <c r="J105" s="18">
        <f t="shared" si="20"/>
        <v>17175</v>
      </c>
      <c r="K105" s="18">
        <f t="shared" si="21"/>
        <v>14885</v>
      </c>
      <c r="L105" s="19">
        <f t="shared" si="22"/>
        <v>14885</v>
      </c>
      <c r="M105" s="19">
        <f t="shared" si="23"/>
        <v>13740</v>
      </c>
      <c r="N105" s="19">
        <f t="shared" si="24"/>
        <v>13167.5</v>
      </c>
      <c r="O105" s="19">
        <f t="shared" si="25"/>
        <v>12595</v>
      </c>
    </row>
    <row r="106">
      <c r="A106" s="13" t="s">
        <v>19</v>
      </c>
      <c r="B106" s="14" t="s">
        <v>217</v>
      </c>
      <c r="C106" s="15" t="s">
        <v>222</v>
      </c>
      <c r="D106" s="15" t="s">
        <v>248</v>
      </c>
      <c r="E106" s="15" t="s">
        <v>255</v>
      </c>
      <c r="F106" s="16" t="s">
        <v>256</v>
      </c>
      <c r="G106" s="7"/>
      <c r="H106" s="27">
        <v>11450.0</v>
      </c>
      <c r="I106" s="7"/>
      <c r="J106" s="18">
        <f t="shared" si="20"/>
        <v>17175</v>
      </c>
      <c r="K106" s="18">
        <f t="shared" si="21"/>
        <v>14885</v>
      </c>
      <c r="L106" s="19">
        <f t="shared" si="22"/>
        <v>14885</v>
      </c>
      <c r="M106" s="19">
        <f t="shared" si="23"/>
        <v>13740</v>
      </c>
      <c r="N106" s="19">
        <f t="shared" si="24"/>
        <v>13167.5</v>
      </c>
      <c r="O106" s="19">
        <f t="shared" si="25"/>
        <v>12595</v>
      </c>
    </row>
    <row r="107">
      <c r="A107" s="13" t="s">
        <v>19</v>
      </c>
      <c r="B107" s="14" t="s">
        <v>217</v>
      </c>
      <c r="C107" s="15" t="s">
        <v>257</v>
      </c>
      <c r="D107" s="15" t="s">
        <v>258</v>
      </c>
      <c r="E107" s="15" t="s">
        <v>259</v>
      </c>
      <c r="F107" s="16" t="s">
        <v>260</v>
      </c>
      <c r="G107" s="7"/>
      <c r="H107" s="27">
        <v>6250.0</v>
      </c>
      <c r="I107" s="7"/>
      <c r="J107" s="18">
        <f t="shared" si="20"/>
        <v>9375</v>
      </c>
      <c r="K107" s="18">
        <f t="shared" si="21"/>
        <v>8125</v>
      </c>
      <c r="L107" s="19">
        <f t="shared" si="22"/>
        <v>8125</v>
      </c>
      <c r="M107" s="19">
        <f t="shared" si="23"/>
        <v>7500</v>
      </c>
      <c r="N107" s="19">
        <f t="shared" si="24"/>
        <v>7187.5</v>
      </c>
      <c r="O107" s="19">
        <f t="shared" si="25"/>
        <v>6875</v>
      </c>
    </row>
    <row r="108">
      <c r="A108" s="13" t="s">
        <v>19</v>
      </c>
      <c r="B108" s="14" t="s">
        <v>217</v>
      </c>
      <c r="C108" s="28" t="s">
        <v>257</v>
      </c>
      <c r="D108" s="28" t="s">
        <v>258</v>
      </c>
      <c r="E108" s="28" t="s">
        <v>261</v>
      </c>
      <c r="F108" s="29" t="s">
        <v>262</v>
      </c>
      <c r="G108" s="7"/>
      <c r="H108" s="27">
        <v>6250.0</v>
      </c>
      <c r="I108" s="7"/>
      <c r="J108" s="18">
        <f t="shared" si="20"/>
        <v>9375</v>
      </c>
      <c r="K108" s="18">
        <f t="shared" si="21"/>
        <v>8125</v>
      </c>
      <c r="L108" s="19">
        <f t="shared" si="22"/>
        <v>8125</v>
      </c>
      <c r="M108" s="19">
        <f t="shared" si="23"/>
        <v>7500</v>
      </c>
      <c r="N108" s="19">
        <f t="shared" si="24"/>
        <v>7187.5</v>
      </c>
      <c r="O108" s="19">
        <f t="shared" si="25"/>
        <v>6875</v>
      </c>
    </row>
    <row r="109">
      <c r="A109" s="13" t="s">
        <v>19</v>
      </c>
      <c r="B109" s="14" t="s">
        <v>217</v>
      </c>
      <c r="C109" s="28" t="s">
        <v>257</v>
      </c>
      <c r="D109" s="28" t="s">
        <v>258</v>
      </c>
      <c r="E109" s="28" t="s">
        <v>263</v>
      </c>
      <c r="F109" s="29" t="s">
        <v>264</v>
      </c>
      <c r="G109" s="7"/>
      <c r="H109" s="27">
        <v>6250.0</v>
      </c>
      <c r="I109" s="7"/>
      <c r="J109" s="18">
        <f t="shared" si="20"/>
        <v>9375</v>
      </c>
      <c r="K109" s="18">
        <f t="shared" si="21"/>
        <v>8125</v>
      </c>
      <c r="L109" s="19">
        <f t="shared" si="22"/>
        <v>8125</v>
      </c>
      <c r="M109" s="19">
        <f t="shared" si="23"/>
        <v>7500</v>
      </c>
      <c r="N109" s="19">
        <f t="shared" si="24"/>
        <v>7187.5</v>
      </c>
      <c r="O109" s="19">
        <f t="shared" si="25"/>
        <v>6875</v>
      </c>
    </row>
    <row r="110">
      <c r="A110" s="13" t="s">
        <v>19</v>
      </c>
      <c r="B110" s="14" t="s">
        <v>217</v>
      </c>
      <c r="C110" s="15" t="s">
        <v>265</v>
      </c>
      <c r="D110" s="15" t="s">
        <v>258</v>
      </c>
      <c r="E110" s="15" t="s">
        <v>266</v>
      </c>
      <c r="F110" s="16" t="s">
        <v>267</v>
      </c>
      <c r="G110" s="7"/>
      <c r="H110" s="27">
        <v>9800.0</v>
      </c>
      <c r="I110" s="7"/>
      <c r="J110" s="18">
        <f t="shared" si="20"/>
        <v>14700</v>
      </c>
      <c r="K110" s="18">
        <f t="shared" si="21"/>
        <v>12740</v>
      </c>
      <c r="L110" s="19">
        <f t="shared" si="22"/>
        <v>12740</v>
      </c>
      <c r="M110" s="19">
        <f t="shared" si="23"/>
        <v>11760</v>
      </c>
      <c r="N110" s="19">
        <f t="shared" si="24"/>
        <v>11270</v>
      </c>
      <c r="O110" s="19">
        <f t="shared" si="25"/>
        <v>10780</v>
      </c>
    </row>
    <row r="111">
      <c r="A111" s="13" t="s">
        <v>19</v>
      </c>
      <c r="B111" s="14" t="s">
        <v>217</v>
      </c>
      <c r="C111" s="15" t="s">
        <v>265</v>
      </c>
      <c r="D111" s="15" t="s">
        <v>258</v>
      </c>
      <c r="E111" s="15" t="s">
        <v>268</v>
      </c>
      <c r="F111" s="16" t="s">
        <v>269</v>
      </c>
      <c r="G111" s="7"/>
      <c r="H111" s="27">
        <v>6650.0</v>
      </c>
      <c r="I111" s="7"/>
      <c r="J111" s="18">
        <f t="shared" si="20"/>
        <v>9975</v>
      </c>
      <c r="K111" s="18">
        <f t="shared" si="21"/>
        <v>8645</v>
      </c>
      <c r="L111" s="19">
        <f t="shared" si="22"/>
        <v>8645</v>
      </c>
      <c r="M111" s="19">
        <f t="shared" si="23"/>
        <v>7980</v>
      </c>
      <c r="N111" s="19">
        <f t="shared" si="24"/>
        <v>7647.5</v>
      </c>
      <c r="O111" s="19">
        <f t="shared" si="25"/>
        <v>7315</v>
      </c>
    </row>
    <row r="112">
      <c r="A112" s="13" t="s">
        <v>19</v>
      </c>
      <c r="B112" s="14" t="s">
        <v>217</v>
      </c>
      <c r="C112" s="15" t="s">
        <v>265</v>
      </c>
      <c r="D112" s="15" t="s">
        <v>258</v>
      </c>
      <c r="E112" s="15" t="s">
        <v>270</v>
      </c>
      <c r="F112" s="16" t="s">
        <v>271</v>
      </c>
      <c r="G112" s="7"/>
      <c r="H112" s="27">
        <v>9800.0</v>
      </c>
      <c r="I112" s="7"/>
      <c r="J112" s="18">
        <f t="shared" si="20"/>
        <v>14700</v>
      </c>
      <c r="K112" s="18">
        <f t="shared" si="21"/>
        <v>12740</v>
      </c>
      <c r="L112" s="19">
        <f t="shared" si="22"/>
        <v>12740</v>
      </c>
      <c r="M112" s="19">
        <f t="shared" si="23"/>
        <v>11760</v>
      </c>
      <c r="N112" s="19">
        <f t="shared" si="24"/>
        <v>11270</v>
      </c>
      <c r="O112" s="19">
        <f t="shared" si="25"/>
        <v>10780</v>
      </c>
    </row>
    <row r="113">
      <c r="A113" s="13" t="s">
        <v>19</v>
      </c>
      <c r="B113" s="14" t="s">
        <v>217</v>
      </c>
      <c r="C113" s="15" t="s">
        <v>265</v>
      </c>
      <c r="D113" s="15" t="s">
        <v>258</v>
      </c>
      <c r="E113" s="15" t="s">
        <v>272</v>
      </c>
      <c r="F113" s="16" t="s">
        <v>273</v>
      </c>
      <c r="G113" s="7"/>
      <c r="H113" s="27">
        <v>5000.0</v>
      </c>
      <c r="I113" s="7"/>
      <c r="J113" s="18">
        <f t="shared" si="20"/>
        <v>7500</v>
      </c>
      <c r="K113" s="18">
        <f t="shared" si="21"/>
        <v>6500</v>
      </c>
      <c r="L113" s="19">
        <f t="shared" si="22"/>
        <v>6500</v>
      </c>
      <c r="M113" s="19">
        <f t="shared" si="23"/>
        <v>6000</v>
      </c>
      <c r="N113" s="19">
        <f t="shared" si="24"/>
        <v>5750</v>
      </c>
      <c r="O113" s="19">
        <f t="shared" si="25"/>
        <v>5500</v>
      </c>
    </row>
    <row r="114">
      <c r="A114" s="13" t="s">
        <v>19</v>
      </c>
      <c r="B114" s="14" t="s">
        <v>217</v>
      </c>
      <c r="C114" s="15" t="s">
        <v>265</v>
      </c>
      <c r="D114" s="15" t="s">
        <v>258</v>
      </c>
      <c r="E114" s="15" t="s">
        <v>274</v>
      </c>
      <c r="F114" s="16" t="s">
        <v>275</v>
      </c>
      <c r="G114" s="7"/>
      <c r="H114" s="27">
        <v>5000.0</v>
      </c>
      <c r="I114" s="7"/>
      <c r="J114" s="18">
        <f t="shared" si="20"/>
        <v>7500</v>
      </c>
      <c r="K114" s="18">
        <f t="shared" si="21"/>
        <v>6500</v>
      </c>
      <c r="L114" s="19">
        <f t="shared" si="22"/>
        <v>6500</v>
      </c>
      <c r="M114" s="19">
        <f t="shared" si="23"/>
        <v>6000</v>
      </c>
      <c r="N114" s="19">
        <f t="shared" si="24"/>
        <v>5750</v>
      </c>
      <c r="O114" s="19">
        <f t="shared" si="25"/>
        <v>5500</v>
      </c>
    </row>
    <row r="115">
      <c r="A115" s="13" t="s">
        <v>19</v>
      </c>
      <c r="B115" s="14" t="s">
        <v>217</v>
      </c>
      <c r="C115" s="15" t="s">
        <v>276</v>
      </c>
      <c r="D115" s="15" t="s">
        <v>277</v>
      </c>
      <c r="E115" s="15" t="s">
        <v>278</v>
      </c>
      <c r="F115" s="16" t="s">
        <v>279</v>
      </c>
      <c r="G115" s="7"/>
      <c r="H115" s="27">
        <v>11800.0</v>
      </c>
      <c r="I115" s="7"/>
      <c r="J115" s="18">
        <f t="shared" si="20"/>
        <v>17700</v>
      </c>
      <c r="K115" s="18">
        <f t="shared" si="21"/>
        <v>15340</v>
      </c>
      <c r="L115" s="19">
        <f t="shared" si="22"/>
        <v>15340</v>
      </c>
      <c r="M115" s="19">
        <f t="shared" si="23"/>
        <v>14160</v>
      </c>
      <c r="N115" s="19">
        <f t="shared" si="24"/>
        <v>13570</v>
      </c>
      <c r="O115" s="19">
        <f t="shared" si="25"/>
        <v>12980</v>
      </c>
    </row>
    <row r="116">
      <c r="A116" s="13" t="s">
        <v>19</v>
      </c>
      <c r="B116" s="14" t="s">
        <v>217</v>
      </c>
      <c r="C116" s="28" t="s">
        <v>276</v>
      </c>
      <c r="D116" s="28" t="s">
        <v>277</v>
      </c>
      <c r="E116" s="28" t="s">
        <v>280</v>
      </c>
      <c r="F116" s="29" t="s">
        <v>281</v>
      </c>
      <c r="G116" s="7"/>
      <c r="H116" s="27">
        <v>8950.0</v>
      </c>
      <c r="I116" s="7"/>
      <c r="J116" s="18">
        <f t="shared" si="20"/>
        <v>13425</v>
      </c>
      <c r="K116" s="18">
        <f t="shared" si="21"/>
        <v>11635</v>
      </c>
      <c r="L116" s="19">
        <f t="shared" si="22"/>
        <v>11635</v>
      </c>
      <c r="M116" s="19">
        <f t="shared" si="23"/>
        <v>10740</v>
      </c>
      <c r="N116" s="19">
        <f t="shared" si="24"/>
        <v>10292.5</v>
      </c>
      <c r="O116" s="19">
        <f t="shared" si="25"/>
        <v>9845</v>
      </c>
    </row>
    <row r="117">
      <c r="A117" s="13" t="s">
        <v>19</v>
      </c>
      <c r="B117" s="14" t="s">
        <v>217</v>
      </c>
      <c r="C117" s="28" t="s">
        <v>276</v>
      </c>
      <c r="D117" s="28" t="s">
        <v>277</v>
      </c>
      <c r="E117" s="28" t="s">
        <v>282</v>
      </c>
      <c r="F117" s="29" t="s">
        <v>281</v>
      </c>
      <c r="G117" s="7"/>
      <c r="H117" s="27">
        <v>8950.0</v>
      </c>
      <c r="I117" s="7"/>
      <c r="J117" s="18">
        <f t="shared" si="20"/>
        <v>13425</v>
      </c>
      <c r="K117" s="18">
        <f t="shared" si="21"/>
        <v>11635</v>
      </c>
      <c r="L117" s="19">
        <f t="shared" si="22"/>
        <v>11635</v>
      </c>
      <c r="M117" s="19">
        <f t="shared" si="23"/>
        <v>10740</v>
      </c>
      <c r="N117" s="19">
        <f t="shared" si="24"/>
        <v>10292.5</v>
      </c>
      <c r="O117" s="19">
        <f t="shared" si="25"/>
        <v>9845</v>
      </c>
    </row>
    <row r="118">
      <c r="A118" s="13" t="s">
        <v>19</v>
      </c>
      <c r="B118" s="14" t="s">
        <v>217</v>
      </c>
      <c r="C118" s="28" t="s">
        <v>265</v>
      </c>
      <c r="D118" s="28" t="s">
        <v>258</v>
      </c>
      <c r="E118" s="28" t="s">
        <v>283</v>
      </c>
      <c r="F118" s="29" t="s">
        <v>284</v>
      </c>
      <c r="G118" s="7"/>
      <c r="H118" s="27">
        <v>6250.0</v>
      </c>
      <c r="I118" s="7"/>
      <c r="J118" s="18">
        <f t="shared" si="20"/>
        <v>9375</v>
      </c>
      <c r="K118" s="18">
        <f t="shared" si="21"/>
        <v>8125</v>
      </c>
      <c r="L118" s="19">
        <f t="shared" si="22"/>
        <v>8125</v>
      </c>
      <c r="M118" s="19">
        <f t="shared" si="23"/>
        <v>7500</v>
      </c>
      <c r="N118" s="19">
        <f t="shared" si="24"/>
        <v>7187.5</v>
      </c>
      <c r="O118" s="19">
        <f t="shared" si="25"/>
        <v>6875</v>
      </c>
    </row>
    <row r="119">
      <c r="A119" s="13" t="s">
        <v>19</v>
      </c>
      <c r="B119" s="14" t="s">
        <v>217</v>
      </c>
      <c r="C119" s="28" t="s">
        <v>265</v>
      </c>
      <c r="D119" s="28" t="s">
        <v>258</v>
      </c>
      <c r="E119" s="28" t="s">
        <v>285</v>
      </c>
      <c r="F119" s="29" t="s">
        <v>286</v>
      </c>
      <c r="G119" s="7"/>
      <c r="H119" s="27">
        <v>6250.0</v>
      </c>
      <c r="I119" s="7"/>
      <c r="J119" s="18">
        <f t="shared" si="20"/>
        <v>9375</v>
      </c>
      <c r="K119" s="18">
        <f t="shared" si="21"/>
        <v>8125</v>
      </c>
      <c r="L119" s="19">
        <f t="shared" si="22"/>
        <v>8125</v>
      </c>
      <c r="M119" s="19">
        <f t="shared" si="23"/>
        <v>7500</v>
      </c>
      <c r="N119" s="19">
        <f t="shared" si="24"/>
        <v>7187.5</v>
      </c>
      <c r="O119" s="19">
        <f t="shared" si="25"/>
        <v>6875</v>
      </c>
    </row>
    <row r="120">
      <c r="A120" s="13" t="s">
        <v>19</v>
      </c>
      <c r="B120" s="14" t="s">
        <v>217</v>
      </c>
      <c r="C120" s="15" t="s">
        <v>265</v>
      </c>
      <c r="D120" s="15" t="s">
        <v>287</v>
      </c>
      <c r="E120" s="15" t="s">
        <v>288</v>
      </c>
      <c r="F120" s="16" t="s">
        <v>289</v>
      </c>
      <c r="G120" s="7"/>
      <c r="H120" s="27">
        <v>3600.0</v>
      </c>
      <c r="I120" s="7"/>
      <c r="J120" s="18">
        <f t="shared" si="20"/>
        <v>5400</v>
      </c>
      <c r="K120" s="18">
        <f t="shared" si="21"/>
        <v>4680</v>
      </c>
      <c r="L120" s="19">
        <f t="shared" si="22"/>
        <v>4680</v>
      </c>
      <c r="M120" s="19">
        <f t="shared" si="23"/>
        <v>4320</v>
      </c>
      <c r="N120" s="19">
        <f t="shared" si="24"/>
        <v>4140</v>
      </c>
      <c r="O120" s="19">
        <f t="shared" si="25"/>
        <v>3960</v>
      </c>
    </row>
    <row r="121">
      <c r="A121" s="13" t="s">
        <v>19</v>
      </c>
      <c r="B121" s="14" t="s">
        <v>217</v>
      </c>
      <c r="C121" s="23" t="s">
        <v>265</v>
      </c>
      <c r="D121" s="23" t="s">
        <v>290</v>
      </c>
      <c r="E121" s="23" t="s">
        <v>291</v>
      </c>
      <c r="F121" s="24" t="s">
        <v>292</v>
      </c>
      <c r="G121" s="7"/>
      <c r="H121" s="27">
        <v>10000.0</v>
      </c>
      <c r="I121" s="7"/>
      <c r="J121" s="18">
        <f t="shared" si="20"/>
        <v>15000</v>
      </c>
      <c r="K121" s="18">
        <f t="shared" si="21"/>
        <v>13000</v>
      </c>
      <c r="L121" s="19">
        <f t="shared" si="22"/>
        <v>13000</v>
      </c>
      <c r="M121" s="19">
        <f t="shared" si="23"/>
        <v>12000</v>
      </c>
      <c r="N121" s="19">
        <f t="shared" si="24"/>
        <v>11500</v>
      </c>
      <c r="O121" s="19">
        <f t="shared" si="25"/>
        <v>11000</v>
      </c>
    </row>
    <row r="122">
      <c r="A122" s="13" t="s">
        <v>19</v>
      </c>
      <c r="B122" s="14" t="s">
        <v>217</v>
      </c>
      <c r="C122" s="15" t="s">
        <v>265</v>
      </c>
      <c r="D122" s="15" t="s">
        <v>293</v>
      </c>
      <c r="E122" s="15" t="s">
        <v>294</v>
      </c>
      <c r="F122" s="16" t="s">
        <v>295</v>
      </c>
      <c r="G122" s="7"/>
      <c r="H122" s="27">
        <v>7000.0</v>
      </c>
      <c r="I122" s="7"/>
      <c r="J122" s="18">
        <f t="shared" si="20"/>
        <v>10500</v>
      </c>
      <c r="K122" s="18">
        <f t="shared" si="21"/>
        <v>9100</v>
      </c>
      <c r="L122" s="19">
        <f t="shared" si="22"/>
        <v>9100</v>
      </c>
      <c r="M122" s="19">
        <f t="shared" si="23"/>
        <v>8400</v>
      </c>
      <c r="N122" s="19">
        <f t="shared" si="24"/>
        <v>8050</v>
      </c>
      <c r="O122" s="19">
        <f t="shared" si="25"/>
        <v>7700</v>
      </c>
    </row>
    <row r="123">
      <c r="A123" s="13" t="s">
        <v>19</v>
      </c>
      <c r="B123" s="14" t="s">
        <v>217</v>
      </c>
      <c r="C123" s="23" t="s">
        <v>265</v>
      </c>
      <c r="D123" s="23" t="s">
        <v>293</v>
      </c>
      <c r="E123" s="23" t="s">
        <v>296</v>
      </c>
      <c r="F123" s="30" t="s">
        <v>297</v>
      </c>
      <c r="G123" s="7"/>
      <c r="H123" s="27">
        <v>4150.0</v>
      </c>
      <c r="I123" s="7"/>
      <c r="J123" s="18">
        <f t="shared" si="20"/>
        <v>6225</v>
      </c>
      <c r="K123" s="18">
        <f t="shared" si="21"/>
        <v>5395</v>
      </c>
      <c r="L123" s="19">
        <f t="shared" si="22"/>
        <v>5395</v>
      </c>
      <c r="M123" s="19">
        <f t="shared" si="23"/>
        <v>4980</v>
      </c>
      <c r="N123" s="19">
        <f t="shared" si="24"/>
        <v>4772.5</v>
      </c>
      <c r="O123" s="19">
        <f t="shared" si="25"/>
        <v>4565</v>
      </c>
    </row>
    <row r="124">
      <c r="A124" s="13" t="s">
        <v>19</v>
      </c>
      <c r="B124" s="14" t="s">
        <v>217</v>
      </c>
      <c r="C124" s="23" t="s">
        <v>265</v>
      </c>
      <c r="D124" s="23" t="s">
        <v>298</v>
      </c>
      <c r="E124" s="23" t="s">
        <v>299</v>
      </c>
      <c r="F124" s="24" t="s">
        <v>300</v>
      </c>
      <c r="G124" s="7"/>
      <c r="H124" s="27">
        <v>5750.0</v>
      </c>
      <c r="I124" s="7"/>
      <c r="J124" s="18">
        <f t="shared" si="20"/>
        <v>8625</v>
      </c>
      <c r="K124" s="18">
        <f t="shared" si="21"/>
        <v>7475</v>
      </c>
      <c r="L124" s="19">
        <f t="shared" si="22"/>
        <v>7475</v>
      </c>
      <c r="M124" s="19">
        <f t="shared" si="23"/>
        <v>6900</v>
      </c>
      <c r="N124" s="19">
        <f t="shared" si="24"/>
        <v>6612.5</v>
      </c>
      <c r="O124" s="19">
        <f t="shared" si="25"/>
        <v>6325</v>
      </c>
    </row>
    <row r="125">
      <c r="A125" s="13" t="s">
        <v>19</v>
      </c>
      <c r="B125" s="14" t="s">
        <v>217</v>
      </c>
      <c r="C125" s="23" t="s">
        <v>265</v>
      </c>
      <c r="D125" s="23" t="s">
        <v>301</v>
      </c>
      <c r="E125" s="23" t="s">
        <v>302</v>
      </c>
      <c r="F125" s="24" t="s">
        <v>303</v>
      </c>
      <c r="G125" s="7"/>
      <c r="H125" s="27">
        <v>11350.0</v>
      </c>
      <c r="I125" s="7"/>
      <c r="J125" s="18">
        <f t="shared" si="20"/>
        <v>17025</v>
      </c>
      <c r="K125" s="18">
        <f t="shared" si="21"/>
        <v>14755</v>
      </c>
      <c r="L125" s="19">
        <f t="shared" si="22"/>
        <v>14755</v>
      </c>
      <c r="M125" s="19">
        <f t="shared" si="23"/>
        <v>13620</v>
      </c>
      <c r="N125" s="19">
        <f t="shared" si="24"/>
        <v>13052.5</v>
      </c>
      <c r="O125" s="19">
        <f t="shared" si="25"/>
        <v>12485</v>
      </c>
    </row>
    <row r="126">
      <c r="A126" s="13" t="s">
        <v>19</v>
      </c>
      <c r="B126" s="14" t="s">
        <v>217</v>
      </c>
      <c r="C126" s="23" t="s">
        <v>265</v>
      </c>
      <c r="D126" s="23" t="s">
        <v>301</v>
      </c>
      <c r="E126" s="23" t="s">
        <v>302</v>
      </c>
      <c r="F126" s="24" t="s">
        <v>304</v>
      </c>
      <c r="G126" s="7"/>
      <c r="H126" s="27">
        <v>13850.0</v>
      </c>
      <c r="I126" s="7"/>
      <c r="J126" s="18">
        <f t="shared" si="20"/>
        <v>20775</v>
      </c>
      <c r="K126" s="18">
        <f t="shared" si="21"/>
        <v>18005</v>
      </c>
      <c r="L126" s="19">
        <f t="shared" si="22"/>
        <v>18005</v>
      </c>
      <c r="M126" s="19">
        <f t="shared" si="23"/>
        <v>16620</v>
      </c>
      <c r="N126" s="19">
        <f t="shared" si="24"/>
        <v>15927.5</v>
      </c>
      <c r="O126" s="19">
        <f t="shared" si="25"/>
        <v>15235</v>
      </c>
    </row>
    <row r="127">
      <c r="A127" s="13" t="s">
        <v>19</v>
      </c>
      <c r="B127" s="14" t="s">
        <v>217</v>
      </c>
      <c r="C127" s="23" t="s">
        <v>265</v>
      </c>
      <c r="D127" s="23" t="s">
        <v>301</v>
      </c>
      <c r="E127" s="23" t="s">
        <v>305</v>
      </c>
      <c r="F127" s="24" t="s">
        <v>306</v>
      </c>
      <c r="G127" s="7"/>
      <c r="H127" s="27">
        <v>12200.0</v>
      </c>
      <c r="I127" s="7"/>
      <c r="J127" s="18">
        <f t="shared" si="20"/>
        <v>18300</v>
      </c>
      <c r="K127" s="18">
        <f t="shared" si="21"/>
        <v>15860</v>
      </c>
      <c r="L127" s="19">
        <f t="shared" si="22"/>
        <v>15860</v>
      </c>
      <c r="M127" s="19">
        <f t="shared" si="23"/>
        <v>14640</v>
      </c>
      <c r="N127" s="19">
        <f t="shared" si="24"/>
        <v>14030</v>
      </c>
      <c r="O127" s="19">
        <f t="shared" si="25"/>
        <v>13420</v>
      </c>
    </row>
    <row r="128">
      <c r="A128" s="13" t="s">
        <v>19</v>
      </c>
      <c r="B128" s="14" t="s">
        <v>217</v>
      </c>
      <c r="C128" s="23" t="s">
        <v>265</v>
      </c>
      <c r="D128" s="23" t="s">
        <v>301</v>
      </c>
      <c r="E128" s="23" t="s">
        <v>307</v>
      </c>
      <c r="F128" s="24" t="s">
        <v>308</v>
      </c>
      <c r="G128" s="7"/>
      <c r="H128" s="27">
        <v>13850.0</v>
      </c>
      <c r="I128" s="7"/>
      <c r="J128" s="18">
        <f t="shared" si="20"/>
        <v>20775</v>
      </c>
      <c r="K128" s="18">
        <f t="shared" si="21"/>
        <v>18005</v>
      </c>
      <c r="L128" s="19">
        <f t="shared" si="22"/>
        <v>18005</v>
      </c>
      <c r="M128" s="19">
        <f t="shared" si="23"/>
        <v>16620</v>
      </c>
      <c r="N128" s="19">
        <f t="shared" si="24"/>
        <v>15927.5</v>
      </c>
      <c r="O128" s="19">
        <f t="shared" si="25"/>
        <v>15235</v>
      </c>
    </row>
    <row r="129">
      <c r="A129" s="13" t="s">
        <v>19</v>
      </c>
      <c r="B129" s="14" t="s">
        <v>217</v>
      </c>
      <c r="C129" s="15" t="s">
        <v>309</v>
      </c>
      <c r="D129" s="15" t="s">
        <v>310</v>
      </c>
      <c r="E129" s="15" t="s">
        <v>311</v>
      </c>
      <c r="F129" s="16" t="s">
        <v>312</v>
      </c>
      <c r="G129" s="7"/>
      <c r="H129" s="27">
        <v>13250.0</v>
      </c>
      <c r="I129" s="7"/>
      <c r="J129" s="18">
        <f t="shared" si="20"/>
        <v>19875</v>
      </c>
      <c r="K129" s="18">
        <f t="shared" si="21"/>
        <v>17225</v>
      </c>
      <c r="L129" s="19">
        <f t="shared" si="22"/>
        <v>17225</v>
      </c>
      <c r="M129" s="19">
        <f t="shared" si="23"/>
        <v>15900</v>
      </c>
      <c r="N129" s="19">
        <f t="shared" si="24"/>
        <v>15237.5</v>
      </c>
      <c r="O129" s="19">
        <f t="shared" si="25"/>
        <v>14575</v>
      </c>
    </row>
    <row r="130">
      <c r="A130" s="13" t="s">
        <v>19</v>
      </c>
      <c r="B130" s="14" t="s">
        <v>217</v>
      </c>
      <c r="C130" s="15" t="s">
        <v>309</v>
      </c>
      <c r="D130" s="15" t="s">
        <v>310</v>
      </c>
      <c r="E130" s="15" t="s">
        <v>313</v>
      </c>
      <c r="F130" s="16" t="s">
        <v>314</v>
      </c>
      <c r="G130" s="7"/>
      <c r="H130" s="27">
        <v>12050.0</v>
      </c>
      <c r="I130" s="7"/>
      <c r="J130" s="18">
        <f t="shared" si="20"/>
        <v>18075</v>
      </c>
      <c r="K130" s="18">
        <f t="shared" si="21"/>
        <v>15665</v>
      </c>
      <c r="L130" s="19">
        <f t="shared" si="22"/>
        <v>15665</v>
      </c>
      <c r="M130" s="19">
        <f t="shared" si="23"/>
        <v>14460</v>
      </c>
      <c r="N130" s="19">
        <f t="shared" si="24"/>
        <v>13857.5</v>
      </c>
      <c r="O130" s="19">
        <f t="shared" si="25"/>
        <v>13255</v>
      </c>
    </row>
    <row r="131">
      <c r="A131" s="13" t="s">
        <v>19</v>
      </c>
      <c r="B131" s="14" t="s">
        <v>217</v>
      </c>
      <c r="C131" s="15" t="s">
        <v>309</v>
      </c>
      <c r="D131" s="15" t="s">
        <v>310</v>
      </c>
      <c r="E131" s="15" t="s">
        <v>315</v>
      </c>
      <c r="F131" s="16" t="s">
        <v>316</v>
      </c>
      <c r="G131" s="7"/>
      <c r="H131" s="27">
        <v>14500.0</v>
      </c>
      <c r="I131" s="7"/>
      <c r="J131" s="18">
        <f t="shared" si="20"/>
        <v>21750</v>
      </c>
      <c r="K131" s="18">
        <f t="shared" si="21"/>
        <v>18850</v>
      </c>
      <c r="L131" s="19">
        <f t="shared" si="22"/>
        <v>18850</v>
      </c>
      <c r="M131" s="19">
        <f t="shared" si="23"/>
        <v>17400</v>
      </c>
      <c r="N131" s="19">
        <f t="shared" si="24"/>
        <v>16675</v>
      </c>
      <c r="O131" s="19">
        <f t="shared" si="25"/>
        <v>15950</v>
      </c>
    </row>
    <row r="132">
      <c r="A132" s="13" t="s">
        <v>19</v>
      </c>
      <c r="B132" s="14" t="s">
        <v>217</v>
      </c>
      <c r="C132" s="16" t="s">
        <v>317</v>
      </c>
      <c r="D132" s="16" t="s">
        <v>318</v>
      </c>
      <c r="E132" s="15" t="s">
        <v>319</v>
      </c>
      <c r="F132" s="16" t="s">
        <v>320</v>
      </c>
      <c r="G132" s="7"/>
      <c r="H132" s="27">
        <v>15100.0</v>
      </c>
      <c r="I132" s="7"/>
      <c r="J132" s="18">
        <f t="shared" si="20"/>
        <v>22650</v>
      </c>
      <c r="K132" s="18">
        <f t="shared" si="21"/>
        <v>19630</v>
      </c>
      <c r="L132" s="19">
        <f t="shared" si="22"/>
        <v>19630</v>
      </c>
      <c r="M132" s="19">
        <f t="shared" si="23"/>
        <v>18120</v>
      </c>
      <c r="N132" s="19">
        <f t="shared" si="24"/>
        <v>17365</v>
      </c>
      <c r="O132" s="19">
        <f t="shared" si="25"/>
        <v>16610</v>
      </c>
    </row>
    <row r="133">
      <c r="A133" s="13" t="s">
        <v>19</v>
      </c>
      <c r="B133" s="14" t="s">
        <v>217</v>
      </c>
      <c r="C133" s="15" t="s">
        <v>321</v>
      </c>
      <c r="D133" s="15" t="s">
        <v>322</v>
      </c>
      <c r="E133" s="15" t="s">
        <v>323</v>
      </c>
      <c r="F133" s="31" t="s">
        <v>324</v>
      </c>
      <c r="G133" s="7"/>
      <c r="H133" s="27">
        <v>21550.0</v>
      </c>
      <c r="I133" s="7"/>
      <c r="J133" s="18">
        <f t="shared" si="20"/>
        <v>32325</v>
      </c>
      <c r="K133" s="18">
        <f t="shared" si="21"/>
        <v>28015</v>
      </c>
      <c r="L133" s="19">
        <f t="shared" si="22"/>
        <v>28015</v>
      </c>
      <c r="M133" s="19">
        <f t="shared" si="23"/>
        <v>25860</v>
      </c>
      <c r="N133" s="19">
        <f t="shared" si="24"/>
        <v>24782.5</v>
      </c>
      <c r="O133" s="19">
        <f t="shared" si="25"/>
        <v>23705</v>
      </c>
    </row>
    <row r="134">
      <c r="A134" s="13" t="s">
        <v>19</v>
      </c>
      <c r="B134" s="14" t="s">
        <v>217</v>
      </c>
      <c r="C134" s="15" t="s">
        <v>321</v>
      </c>
      <c r="D134" s="15" t="s">
        <v>322</v>
      </c>
      <c r="E134" s="15" t="s">
        <v>325</v>
      </c>
      <c r="F134" s="16" t="s">
        <v>326</v>
      </c>
      <c r="G134" s="7"/>
      <c r="H134" s="27">
        <v>9800.0</v>
      </c>
      <c r="I134" s="7"/>
      <c r="J134" s="18">
        <f t="shared" si="20"/>
        <v>14700</v>
      </c>
      <c r="K134" s="18">
        <f t="shared" si="21"/>
        <v>12740</v>
      </c>
      <c r="L134" s="19">
        <f t="shared" si="22"/>
        <v>12740</v>
      </c>
      <c r="M134" s="19">
        <f t="shared" si="23"/>
        <v>11760</v>
      </c>
      <c r="N134" s="19">
        <f t="shared" si="24"/>
        <v>11270</v>
      </c>
      <c r="O134" s="19">
        <f t="shared" si="25"/>
        <v>10780</v>
      </c>
    </row>
    <row r="135">
      <c r="A135" s="13" t="s">
        <v>19</v>
      </c>
      <c r="B135" s="14" t="s">
        <v>217</v>
      </c>
      <c r="C135" s="15" t="s">
        <v>321</v>
      </c>
      <c r="D135" s="15" t="s">
        <v>322</v>
      </c>
      <c r="E135" s="15" t="s">
        <v>327</v>
      </c>
      <c r="F135" s="16" t="s">
        <v>328</v>
      </c>
      <c r="G135" s="7"/>
      <c r="H135" s="27">
        <v>9800.0</v>
      </c>
      <c r="I135" s="7"/>
      <c r="J135" s="18">
        <f t="shared" si="20"/>
        <v>14700</v>
      </c>
      <c r="K135" s="18">
        <f t="shared" si="21"/>
        <v>12740</v>
      </c>
      <c r="L135" s="19">
        <f t="shared" si="22"/>
        <v>12740</v>
      </c>
      <c r="M135" s="19">
        <f t="shared" si="23"/>
        <v>11760</v>
      </c>
      <c r="N135" s="19">
        <f t="shared" si="24"/>
        <v>11270</v>
      </c>
      <c r="O135" s="19">
        <f t="shared" si="25"/>
        <v>10780</v>
      </c>
    </row>
    <row r="136">
      <c r="A136" s="13" t="s">
        <v>19</v>
      </c>
      <c r="B136" s="14" t="s">
        <v>217</v>
      </c>
      <c r="C136" s="15" t="s">
        <v>257</v>
      </c>
      <c r="D136" s="15" t="s">
        <v>322</v>
      </c>
      <c r="E136" s="15" t="s">
        <v>329</v>
      </c>
      <c r="F136" s="16" t="s">
        <v>330</v>
      </c>
      <c r="G136" s="7"/>
      <c r="H136" s="27">
        <v>13100.0</v>
      </c>
      <c r="I136" s="7"/>
      <c r="J136" s="18">
        <f t="shared" si="20"/>
        <v>19650</v>
      </c>
      <c r="K136" s="18">
        <f t="shared" si="21"/>
        <v>17030</v>
      </c>
      <c r="L136" s="19">
        <f t="shared" si="22"/>
        <v>17030</v>
      </c>
      <c r="M136" s="19">
        <f t="shared" si="23"/>
        <v>15720</v>
      </c>
      <c r="N136" s="19">
        <f t="shared" si="24"/>
        <v>15065</v>
      </c>
      <c r="O136" s="19">
        <f t="shared" si="25"/>
        <v>14410</v>
      </c>
    </row>
    <row r="137">
      <c r="A137" s="13" t="s">
        <v>19</v>
      </c>
      <c r="B137" s="14" t="s">
        <v>217</v>
      </c>
      <c r="C137" s="15" t="s">
        <v>321</v>
      </c>
      <c r="D137" s="15" t="s">
        <v>322</v>
      </c>
      <c r="E137" s="15" t="s">
        <v>331</v>
      </c>
      <c r="F137" s="16" t="s">
        <v>332</v>
      </c>
      <c r="G137" s="7"/>
      <c r="H137" s="27">
        <v>12300.0</v>
      </c>
      <c r="I137" s="7"/>
      <c r="J137" s="18">
        <f t="shared" si="20"/>
        <v>18450</v>
      </c>
      <c r="K137" s="18">
        <f t="shared" si="21"/>
        <v>15990</v>
      </c>
      <c r="L137" s="19">
        <f t="shared" si="22"/>
        <v>15990</v>
      </c>
      <c r="M137" s="19">
        <f t="shared" si="23"/>
        <v>14760</v>
      </c>
      <c r="N137" s="19">
        <f t="shared" si="24"/>
        <v>14145</v>
      </c>
      <c r="O137" s="19">
        <f t="shared" si="25"/>
        <v>13530</v>
      </c>
    </row>
    <row r="138">
      <c r="A138" s="13" t="s">
        <v>19</v>
      </c>
      <c r="B138" s="14" t="s">
        <v>217</v>
      </c>
      <c r="C138" s="15" t="s">
        <v>257</v>
      </c>
      <c r="D138" s="15" t="s">
        <v>322</v>
      </c>
      <c r="E138" s="15" t="s">
        <v>333</v>
      </c>
      <c r="F138" s="16" t="s">
        <v>334</v>
      </c>
      <c r="G138" s="7"/>
      <c r="H138" s="27">
        <v>14000.0</v>
      </c>
      <c r="I138" s="7"/>
      <c r="J138" s="18">
        <f t="shared" si="20"/>
        <v>21000</v>
      </c>
      <c r="K138" s="18">
        <f t="shared" si="21"/>
        <v>18200</v>
      </c>
      <c r="L138" s="19">
        <f t="shared" si="22"/>
        <v>18200</v>
      </c>
      <c r="M138" s="19">
        <f t="shared" si="23"/>
        <v>16800</v>
      </c>
      <c r="N138" s="19">
        <f t="shared" si="24"/>
        <v>16100</v>
      </c>
      <c r="O138" s="19">
        <f t="shared" si="25"/>
        <v>15400</v>
      </c>
    </row>
    <row r="139">
      <c r="A139" s="13" t="s">
        <v>19</v>
      </c>
      <c r="B139" s="14" t="s">
        <v>217</v>
      </c>
      <c r="C139" s="15" t="s">
        <v>257</v>
      </c>
      <c r="D139" s="15" t="s">
        <v>322</v>
      </c>
      <c r="E139" s="15" t="s">
        <v>335</v>
      </c>
      <c r="F139" s="16" t="s">
        <v>336</v>
      </c>
      <c r="G139" s="7"/>
      <c r="H139" s="27">
        <v>14000.0</v>
      </c>
      <c r="I139" s="7"/>
      <c r="J139" s="18">
        <f t="shared" si="20"/>
        <v>21000</v>
      </c>
      <c r="K139" s="18">
        <f t="shared" si="21"/>
        <v>18200</v>
      </c>
      <c r="L139" s="19">
        <f t="shared" si="22"/>
        <v>18200</v>
      </c>
      <c r="M139" s="19">
        <f t="shared" si="23"/>
        <v>16800</v>
      </c>
      <c r="N139" s="19">
        <f t="shared" si="24"/>
        <v>16100</v>
      </c>
      <c r="O139" s="19">
        <f t="shared" si="25"/>
        <v>15400</v>
      </c>
    </row>
    <row r="140">
      <c r="A140" s="13" t="s">
        <v>19</v>
      </c>
      <c r="B140" s="14" t="s">
        <v>217</v>
      </c>
      <c r="C140" s="15" t="s">
        <v>257</v>
      </c>
      <c r="D140" s="15" t="s">
        <v>322</v>
      </c>
      <c r="E140" s="15" t="s">
        <v>337</v>
      </c>
      <c r="F140" s="16" t="s">
        <v>338</v>
      </c>
      <c r="G140" s="7"/>
      <c r="H140" s="27">
        <v>14000.0</v>
      </c>
      <c r="I140" s="7"/>
      <c r="J140" s="18">
        <f t="shared" si="20"/>
        <v>21000</v>
      </c>
      <c r="K140" s="18">
        <f t="shared" si="21"/>
        <v>18200</v>
      </c>
      <c r="L140" s="19">
        <f t="shared" si="22"/>
        <v>18200</v>
      </c>
      <c r="M140" s="19">
        <f t="shared" si="23"/>
        <v>16800</v>
      </c>
      <c r="N140" s="19">
        <f t="shared" si="24"/>
        <v>16100</v>
      </c>
      <c r="O140" s="19">
        <f t="shared" si="25"/>
        <v>15400</v>
      </c>
    </row>
    <row r="141">
      <c r="A141" s="13" t="s">
        <v>19</v>
      </c>
      <c r="B141" s="14" t="s">
        <v>217</v>
      </c>
      <c r="C141" s="15" t="s">
        <v>257</v>
      </c>
      <c r="D141" s="15" t="s">
        <v>322</v>
      </c>
      <c r="E141" s="15" t="s">
        <v>339</v>
      </c>
      <c r="F141" s="16" t="s">
        <v>340</v>
      </c>
      <c r="G141" s="7"/>
      <c r="H141" s="27">
        <v>14000.0</v>
      </c>
      <c r="I141" s="7"/>
      <c r="J141" s="18">
        <f t="shared" si="20"/>
        <v>21000</v>
      </c>
      <c r="K141" s="18">
        <f t="shared" si="21"/>
        <v>18200</v>
      </c>
      <c r="L141" s="19">
        <f t="shared" si="22"/>
        <v>18200</v>
      </c>
      <c r="M141" s="19">
        <f t="shared" si="23"/>
        <v>16800</v>
      </c>
      <c r="N141" s="19">
        <f t="shared" si="24"/>
        <v>16100</v>
      </c>
      <c r="O141" s="19">
        <f t="shared" si="25"/>
        <v>15400</v>
      </c>
    </row>
    <row r="142">
      <c r="A142" s="13" t="s">
        <v>19</v>
      </c>
      <c r="B142" s="14" t="s">
        <v>217</v>
      </c>
      <c r="C142" s="15" t="s">
        <v>341</v>
      </c>
      <c r="D142" s="15" t="s">
        <v>322</v>
      </c>
      <c r="E142" s="15" t="s">
        <v>342</v>
      </c>
      <c r="F142" s="16" t="s">
        <v>343</v>
      </c>
      <c r="G142" s="7"/>
      <c r="H142" s="27">
        <v>8300.0</v>
      </c>
      <c r="I142" s="7"/>
      <c r="J142" s="18">
        <f t="shared" si="20"/>
        <v>12450</v>
      </c>
      <c r="K142" s="18">
        <f t="shared" si="21"/>
        <v>10790</v>
      </c>
      <c r="L142" s="19">
        <f t="shared" si="22"/>
        <v>10790</v>
      </c>
      <c r="M142" s="19">
        <f t="shared" si="23"/>
        <v>9960</v>
      </c>
      <c r="N142" s="19">
        <f t="shared" si="24"/>
        <v>9545</v>
      </c>
      <c r="O142" s="19">
        <f t="shared" si="25"/>
        <v>9130</v>
      </c>
    </row>
    <row r="143">
      <c r="A143" s="13" t="s">
        <v>19</v>
      </c>
      <c r="B143" s="14" t="s">
        <v>217</v>
      </c>
      <c r="C143" s="15" t="s">
        <v>344</v>
      </c>
      <c r="D143" s="15" t="s">
        <v>322</v>
      </c>
      <c r="E143" s="15" t="s">
        <v>345</v>
      </c>
      <c r="F143" s="16" t="s">
        <v>346</v>
      </c>
      <c r="G143" s="7"/>
      <c r="H143" s="27">
        <v>9150.0</v>
      </c>
      <c r="I143" s="7"/>
      <c r="J143" s="18">
        <f t="shared" si="20"/>
        <v>13725</v>
      </c>
      <c r="K143" s="18">
        <f t="shared" si="21"/>
        <v>11895</v>
      </c>
      <c r="L143" s="19">
        <f t="shared" si="22"/>
        <v>11895</v>
      </c>
      <c r="M143" s="19">
        <f t="shared" si="23"/>
        <v>10980</v>
      </c>
      <c r="N143" s="19">
        <f t="shared" si="24"/>
        <v>10522.5</v>
      </c>
      <c r="O143" s="19">
        <f t="shared" si="25"/>
        <v>10065</v>
      </c>
    </row>
    <row r="144">
      <c r="A144" s="13" t="s">
        <v>19</v>
      </c>
      <c r="B144" s="14" t="s">
        <v>217</v>
      </c>
      <c r="C144" s="15" t="s">
        <v>344</v>
      </c>
      <c r="D144" s="15" t="s">
        <v>322</v>
      </c>
      <c r="E144" s="15" t="s">
        <v>347</v>
      </c>
      <c r="F144" s="16" t="s">
        <v>348</v>
      </c>
      <c r="G144" s="7"/>
      <c r="H144" s="27">
        <v>9550.0</v>
      </c>
      <c r="I144" s="7"/>
      <c r="J144" s="18">
        <f t="shared" si="20"/>
        <v>14325</v>
      </c>
      <c r="K144" s="18">
        <f t="shared" si="21"/>
        <v>12415</v>
      </c>
      <c r="L144" s="19">
        <f t="shared" si="22"/>
        <v>12415</v>
      </c>
      <c r="M144" s="19">
        <f t="shared" si="23"/>
        <v>11460</v>
      </c>
      <c r="N144" s="19">
        <f t="shared" si="24"/>
        <v>10982.5</v>
      </c>
      <c r="O144" s="19">
        <f t="shared" si="25"/>
        <v>10505</v>
      </c>
    </row>
    <row r="145">
      <c r="A145" s="13" t="s">
        <v>19</v>
      </c>
      <c r="B145" s="14" t="s">
        <v>217</v>
      </c>
      <c r="C145" s="15" t="s">
        <v>257</v>
      </c>
      <c r="D145" s="15" t="s">
        <v>322</v>
      </c>
      <c r="E145" s="15" t="s">
        <v>349</v>
      </c>
      <c r="F145" s="16" t="s">
        <v>350</v>
      </c>
      <c r="G145" s="7"/>
      <c r="H145" s="27">
        <v>16150.0</v>
      </c>
      <c r="I145" s="7"/>
      <c r="J145" s="18">
        <f t="shared" si="20"/>
        <v>24225</v>
      </c>
      <c r="K145" s="18">
        <f t="shared" si="21"/>
        <v>20995</v>
      </c>
      <c r="L145" s="19">
        <f t="shared" si="22"/>
        <v>20995</v>
      </c>
      <c r="M145" s="19">
        <f t="shared" si="23"/>
        <v>19380</v>
      </c>
      <c r="N145" s="19">
        <f t="shared" si="24"/>
        <v>18572.5</v>
      </c>
      <c r="O145" s="19">
        <f t="shared" si="25"/>
        <v>17765</v>
      </c>
    </row>
    <row r="146">
      <c r="A146" s="13" t="s">
        <v>19</v>
      </c>
      <c r="B146" s="14" t="s">
        <v>217</v>
      </c>
      <c r="C146" s="15" t="s">
        <v>257</v>
      </c>
      <c r="D146" s="15" t="s">
        <v>322</v>
      </c>
      <c r="E146" s="15" t="s">
        <v>351</v>
      </c>
      <c r="F146" s="16" t="s">
        <v>352</v>
      </c>
      <c r="G146" s="7"/>
      <c r="H146" s="27">
        <v>33200.0</v>
      </c>
      <c r="I146" s="7"/>
      <c r="J146" s="18">
        <f t="shared" si="20"/>
        <v>49800</v>
      </c>
      <c r="K146" s="18">
        <f t="shared" si="21"/>
        <v>43160</v>
      </c>
      <c r="L146" s="19">
        <f t="shared" si="22"/>
        <v>43160</v>
      </c>
      <c r="M146" s="19">
        <f t="shared" si="23"/>
        <v>39840</v>
      </c>
      <c r="N146" s="19">
        <f t="shared" si="24"/>
        <v>38180</v>
      </c>
      <c r="O146" s="19">
        <f t="shared" si="25"/>
        <v>36520</v>
      </c>
    </row>
    <row r="147">
      <c r="A147" s="13" t="s">
        <v>19</v>
      </c>
      <c r="B147" s="14" t="s">
        <v>217</v>
      </c>
      <c r="C147" s="15" t="s">
        <v>321</v>
      </c>
      <c r="D147" s="15" t="s">
        <v>277</v>
      </c>
      <c r="E147" s="15" t="s">
        <v>353</v>
      </c>
      <c r="F147" s="16" t="s">
        <v>354</v>
      </c>
      <c r="G147" s="7"/>
      <c r="H147" s="27">
        <v>22800.0</v>
      </c>
      <c r="I147" s="7"/>
      <c r="J147" s="18">
        <f t="shared" si="20"/>
        <v>34200</v>
      </c>
      <c r="K147" s="18">
        <f t="shared" si="21"/>
        <v>29640</v>
      </c>
      <c r="L147" s="19">
        <f t="shared" si="22"/>
        <v>29640</v>
      </c>
      <c r="M147" s="19">
        <f t="shared" si="23"/>
        <v>27360</v>
      </c>
      <c r="N147" s="19">
        <f t="shared" si="24"/>
        <v>26220</v>
      </c>
      <c r="O147" s="19">
        <f t="shared" si="25"/>
        <v>25080</v>
      </c>
    </row>
    <row r="148">
      <c r="A148" s="13" t="s">
        <v>19</v>
      </c>
      <c r="B148" s="14" t="s">
        <v>217</v>
      </c>
      <c r="C148" s="15" t="s">
        <v>321</v>
      </c>
      <c r="D148" s="15" t="s">
        <v>277</v>
      </c>
      <c r="E148" s="15" t="s">
        <v>355</v>
      </c>
      <c r="F148" s="16" t="s">
        <v>356</v>
      </c>
      <c r="G148" s="7"/>
      <c r="H148" s="27">
        <v>9150.0</v>
      </c>
      <c r="I148" s="7"/>
      <c r="J148" s="18">
        <f t="shared" si="20"/>
        <v>13725</v>
      </c>
      <c r="K148" s="18">
        <f t="shared" si="21"/>
        <v>11895</v>
      </c>
      <c r="L148" s="19">
        <f t="shared" si="22"/>
        <v>11895</v>
      </c>
      <c r="M148" s="19">
        <f t="shared" si="23"/>
        <v>10980</v>
      </c>
      <c r="N148" s="19">
        <f t="shared" si="24"/>
        <v>10522.5</v>
      </c>
      <c r="O148" s="19">
        <f t="shared" si="25"/>
        <v>10065</v>
      </c>
    </row>
    <row r="149">
      <c r="A149" s="13" t="s">
        <v>19</v>
      </c>
      <c r="B149" s="14" t="s">
        <v>217</v>
      </c>
      <c r="C149" s="15" t="s">
        <v>357</v>
      </c>
      <c r="D149" s="15" t="s">
        <v>277</v>
      </c>
      <c r="E149" s="15" t="s">
        <v>358</v>
      </c>
      <c r="F149" s="16" t="s">
        <v>359</v>
      </c>
      <c r="G149" s="7"/>
      <c r="H149" s="27">
        <v>9550.0</v>
      </c>
      <c r="I149" s="7"/>
      <c r="J149" s="18">
        <f t="shared" si="20"/>
        <v>14325</v>
      </c>
      <c r="K149" s="18">
        <f t="shared" si="21"/>
        <v>12415</v>
      </c>
      <c r="L149" s="19">
        <f t="shared" si="22"/>
        <v>12415</v>
      </c>
      <c r="M149" s="19">
        <f t="shared" si="23"/>
        <v>11460</v>
      </c>
      <c r="N149" s="19">
        <f t="shared" si="24"/>
        <v>10982.5</v>
      </c>
      <c r="O149" s="19">
        <f t="shared" si="25"/>
        <v>10505</v>
      </c>
    </row>
    <row r="150">
      <c r="A150" s="13" t="s">
        <v>19</v>
      </c>
      <c r="B150" s="14" t="s">
        <v>217</v>
      </c>
      <c r="C150" s="15" t="s">
        <v>257</v>
      </c>
      <c r="D150" s="15" t="s">
        <v>277</v>
      </c>
      <c r="E150" s="15" t="s">
        <v>360</v>
      </c>
      <c r="F150" s="16" t="s">
        <v>361</v>
      </c>
      <c r="G150" s="7"/>
      <c r="H150" s="27">
        <v>9950.0</v>
      </c>
      <c r="I150" s="7"/>
      <c r="J150" s="18">
        <f t="shared" si="20"/>
        <v>14925</v>
      </c>
      <c r="K150" s="18">
        <f t="shared" si="21"/>
        <v>12935</v>
      </c>
      <c r="L150" s="19">
        <f t="shared" si="22"/>
        <v>12935</v>
      </c>
      <c r="M150" s="19">
        <f t="shared" si="23"/>
        <v>11940</v>
      </c>
      <c r="N150" s="19">
        <f t="shared" si="24"/>
        <v>11442.5</v>
      </c>
      <c r="O150" s="19">
        <f t="shared" si="25"/>
        <v>10945</v>
      </c>
    </row>
    <row r="151">
      <c r="A151" s="13" t="s">
        <v>19</v>
      </c>
      <c r="B151" s="14" t="s">
        <v>217</v>
      </c>
      <c r="C151" s="15" t="s">
        <v>321</v>
      </c>
      <c r="D151" s="15" t="s">
        <v>277</v>
      </c>
      <c r="E151" s="15" t="s">
        <v>362</v>
      </c>
      <c r="F151" s="16" t="s">
        <v>363</v>
      </c>
      <c r="G151" s="7"/>
      <c r="H151" s="27">
        <v>9150.0</v>
      </c>
      <c r="I151" s="7"/>
      <c r="J151" s="18">
        <f t="shared" si="20"/>
        <v>13725</v>
      </c>
      <c r="K151" s="18">
        <f t="shared" si="21"/>
        <v>11895</v>
      </c>
      <c r="L151" s="19">
        <f t="shared" si="22"/>
        <v>11895</v>
      </c>
      <c r="M151" s="19">
        <f t="shared" si="23"/>
        <v>10980</v>
      </c>
      <c r="N151" s="19">
        <f t="shared" si="24"/>
        <v>10522.5</v>
      </c>
      <c r="O151" s="19">
        <f t="shared" si="25"/>
        <v>10065</v>
      </c>
    </row>
    <row r="152">
      <c r="A152" s="13" t="s">
        <v>19</v>
      </c>
      <c r="B152" s="14" t="s">
        <v>217</v>
      </c>
      <c r="C152" s="15" t="s">
        <v>257</v>
      </c>
      <c r="D152" s="15" t="s">
        <v>277</v>
      </c>
      <c r="E152" s="15" t="s">
        <v>364</v>
      </c>
      <c r="F152" s="16" t="s">
        <v>365</v>
      </c>
      <c r="G152" s="7"/>
      <c r="H152" s="27">
        <v>9950.0</v>
      </c>
      <c r="I152" s="7"/>
      <c r="J152" s="18">
        <f t="shared" si="20"/>
        <v>14925</v>
      </c>
      <c r="K152" s="18">
        <f t="shared" si="21"/>
        <v>12935</v>
      </c>
      <c r="L152" s="19">
        <f t="shared" si="22"/>
        <v>12935</v>
      </c>
      <c r="M152" s="19">
        <f t="shared" si="23"/>
        <v>11940</v>
      </c>
      <c r="N152" s="19">
        <f t="shared" si="24"/>
        <v>11442.5</v>
      </c>
      <c r="O152" s="19">
        <f t="shared" si="25"/>
        <v>10945</v>
      </c>
    </row>
    <row r="153">
      <c r="A153" s="13" t="s">
        <v>19</v>
      </c>
      <c r="B153" s="14" t="s">
        <v>217</v>
      </c>
      <c r="C153" s="15" t="s">
        <v>321</v>
      </c>
      <c r="D153" s="15" t="s">
        <v>277</v>
      </c>
      <c r="E153" s="15" t="s">
        <v>366</v>
      </c>
      <c r="F153" s="16" t="s">
        <v>363</v>
      </c>
      <c r="G153" s="7"/>
      <c r="H153" s="27">
        <v>9150.0</v>
      </c>
      <c r="I153" s="7"/>
      <c r="J153" s="18">
        <f t="shared" si="20"/>
        <v>13725</v>
      </c>
      <c r="K153" s="18">
        <f t="shared" si="21"/>
        <v>11895</v>
      </c>
      <c r="L153" s="19">
        <f t="shared" si="22"/>
        <v>11895</v>
      </c>
      <c r="M153" s="19">
        <f t="shared" si="23"/>
        <v>10980</v>
      </c>
      <c r="N153" s="19">
        <f t="shared" si="24"/>
        <v>10522.5</v>
      </c>
      <c r="O153" s="19">
        <f t="shared" si="25"/>
        <v>10065</v>
      </c>
    </row>
    <row r="154">
      <c r="A154" s="13" t="s">
        <v>19</v>
      </c>
      <c r="B154" s="14" t="s">
        <v>217</v>
      </c>
      <c r="C154" s="15" t="s">
        <v>257</v>
      </c>
      <c r="D154" s="15" t="s">
        <v>277</v>
      </c>
      <c r="E154" s="15" t="s">
        <v>367</v>
      </c>
      <c r="F154" s="16" t="s">
        <v>365</v>
      </c>
      <c r="G154" s="7"/>
      <c r="H154" s="27">
        <v>9950.0</v>
      </c>
      <c r="I154" s="7"/>
      <c r="J154" s="18">
        <f t="shared" si="20"/>
        <v>14925</v>
      </c>
      <c r="K154" s="18">
        <f t="shared" si="21"/>
        <v>12935</v>
      </c>
      <c r="L154" s="19">
        <f t="shared" si="22"/>
        <v>12935</v>
      </c>
      <c r="M154" s="19">
        <f t="shared" si="23"/>
        <v>11940</v>
      </c>
      <c r="N154" s="19">
        <f t="shared" si="24"/>
        <v>11442.5</v>
      </c>
      <c r="O154" s="19">
        <f t="shared" si="25"/>
        <v>10945</v>
      </c>
    </row>
    <row r="155">
      <c r="A155" s="13" t="s">
        <v>19</v>
      </c>
      <c r="B155" s="14" t="s">
        <v>217</v>
      </c>
      <c r="C155" s="15" t="s">
        <v>257</v>
      </c>
      <c r="D155" s="15" t="s">
        <v>277</v>
      </c>
      <c r="E155" s="15" t="s">
        <v>368</v>
      </c>
      <c r="F155" s="16" t="s">
        <v>369</v>
      </c>
      <c r="G155" s="7"/>
      <c r="H155" s="27">
        <v>9950.0</v>
      </c>
      <c r="I155" s="7"/>
      <c r="J155" s="18">
        <f t="shared" si="20"/>
        <v>14925</v>
      </c>
      <c r="K155" s="18">
        <f t="shared" si="21"/>
        <v>12935</v>
      </c>
      <c r="L155" s="19">
        <f t="shared" si="22"/>
        <v>12935</v>
      </c>
      <c r="M155" s="19">
        <f t="shared" si="23"/>
        <v>11940</v>
      </c>
      <c r="N155" s="19">
        <f t="shared" si="24"/>
        <v>11442.5</v>
      </c>
      <c r="O155" s="19">
        <f t="shared" si="25"/>
        <v>10945</v>
      </c>
    </row>
    <row r="156">
      <c r="A156" s="13" t="s">
        <v>19</v>
      </c>
      <c r="B156" s="14" t="s">
        <v>217</v>
      </c>
      <c r="C156" s="15" t="s">
        <v>321</v>
      </c>
      <c r="D156" s="15" t="s">
        <v>277</v>
      </c>
      <c r="E156" s="15" t="s">
        <v>370</v>
      </c>
      <c r="F156" s="16" t="s">
        <v>371</v>
      </c>
      <c r="G156" s="7"/>
      <c r="H156" s="27">
        <v>9150.0</v>
      </c>
      <c r="I156" s="7"/>
      <c r="J156" s="18">
        <f t="shared" si="20"/>
        <v>13725</v>
      </c>
      <c r="K156" s="18">
        <f t="shared" si="21"/>
        <v>11895</v>
      </c>
      <c r="L156" s="19">
        <f t="shared" si="22"/>
        <v>11895</v>
      </c>
      <c r="M156" s="19">
        <f t="shared" si="23"/>
        <v>10980</v>
      </c>
      <c r="N156" s="19">
        <f t="shared" si="24"/>
        <v>10522.5</v>
      </c>
      <c r="O156" s="19">
        <f t="shared" si="25"/>
        <v>10065</v>
      </c>
    </row>
    <row r="157">
      <c r="A157" s="13" t="s">
        <v>19</v>
      </c>
      <c r="B157" s="14" t="s">
        <v>217</v>
      </c>
      <c r="C157" s="15" t="s">
        <v>321</v>
      </c>
      <c r="D157" s="15" t="s">
        <v>277</v>
      </c>
      <c r="E157" s="15" t="s">
        <v>372</v>
      </c>
      <c r="F157" s="16" t="s">
        <v>373</v>
      </c>
      <c r="G157" s="7"/>
      <c r="H157" s="27">
        <v>9150.0</v>
      </c>
      <c r="I157" s="7"/>
      <c r="J157" s="18">
        <f t="shared" si="20"/>
        <v>13725</v>
      </c>
      <c r="K157" s="18">
        <f t="shared" si="21"/>
        <v>11895</v>
      </c>
      <c r="L157" s="19">
        <f t="shared" si="22"/>
        <v>11895</v>
      </c>
      <c r="M157" s="19">
        <f t="shared" si="23"/>
        <v>10980</v>
      </c>
      <c r="N157" s="19">
        <f t="shared" si="24"/>
        <v>10522.5</v>
      </c>
      <c r="O157" s="19">
        <f t="shared" si="25"/>
        <v>10065</v>
      </c>
    </row>
    <row r="158">
      <c r="A158" s="13" t="s">
        <v>19</v>
      </c>
      <c r="B158" s="14" t="s">
        <v>217</v>
      </c>
      <c r="C158" s="16" t="s">
        <v>374</v>
      </c>
      <c r="D158" s="16" t="s">
        <v>375</v>
      </c>
      <c r="E158" s="15" t="s">
        <v>376</v>
      </c>
      <c r="F158" s="16" t="s">
        <v>377</v>
      </c>
      <c r="G158" s="7"/>
      <c r="H158" s="27">
        <v>7500.0</v>
      </c>
      <c r="I158" s="7"/>
      <c r="J158" s="18">
        <f t="shared" si="20"/>
        <v>11250</v>
      </c>
      <c r="K158" s="18">
        <f t="shared" si="21"/>
        <v>9750</v>
      </c>
      <c r="L158" s="19">
        <f t="shared" si="22"/>
        <v>9750</v>
      </c>
      <c r="M158" s="19">
        <f t="shared" si="23"/>
        <v>9000</v>
      </c>
      <c r="N158" s="19">
        <f t="shared" si="24"/>
        <v>8625</v>
      </c>
      <c r="O158" s="19">
        <f t="shared" si="25"/>
        <v>8250</v>
      </c>
    </row>
    <row r="159">
      <c r="A159" s="13" t="s">
        <v>19</v>
      </c>
      <c r="B159" s="14" t="s">
        <v>217</v>
      </c>
      <c r="C159" s="15" t="s">
        <v>321</v>
      </c>
      <c r="D159" s="15" t="s">
        <v>248</v>
      </c>
      <c r="E159" s="15" t="s">
        <v>378</v>
      </c>
      <c r="F159" s="16" t="s">
        <v>379</v>
      </c>
      <c r="G159" s="7"/>
      <c r="H159" s="27">
        <v>8950.0</v>
      </c>
      <c r="I159" s="7"/>
      <c r="J159" s="18">
        <f t="shared" si="20"/>
        <v>13425</v>
      </c>
      <c r="K159" s="18">
        <f t="shared" si="21"/>
        <v>11635</v>
      </c>
      <c r="L159" s="19">
        <f t="shared" si="22"/>
        <v>11635</v>
      </c>
      <c r="M159" s="19">
        <f t="shared" si="23"/>
        <v>10740</v>
      </c>
      <c r="N159" s="19">
        <f t="shared" si="24"/>
        <v>10292.5</v>
      </c>
      <c r="O159" s="19">
        <f t="shared" si="25"/>
        <v>9845</v>
      </c>
    </row>
    <row r="160">
      <c r="A160" s="13" t="s">
        <v>19</v>
      </c>
      <c r="B160" s="14" t="s">
        <v>217</v>
      </c>
      <c r="C160" s="15" t="s">
        <v>321</v>
      </c>
      <c r="D160" s="15" t="s">
        <v>277</v>
      </c>
      <c r="E160" s="15" t="s">
        <v>380</v>
      </c>
      <c r="F160" s="16" t="s">
        <v>381</v>
      </c>
      <c r="G160" s="7"/>
      <c r="H160" s="27">
        <v>8300.0</v>
      </c>
      <c r="I160" s="7"/>
      <c r="J160" s="18">
        <f t="shared" si="20"/>
        <v>12450</v>
      </c>
      <c r="K160" s="18">
        <f t="shared" si="21"/>
        <v>10790</v>
      </c>
      <c r="L160" s="19">
        <f t="shared" si="22"/>
        <v>10790</v>
      </c>
      <c r="M160" s="19">
        <f t="shared" si="23"/>
        <v>9960</v>
      </c>
      <c r="N160" s="19">
        <f t="shared" si="24"/>
        <v>9545</v>
      </c>
      <c r="O160" s="19">
        <f t="shared" si="25"/>
        <v>9130</v>
      </c>
    </row>
    <row r="161">
      <c r="A161" s="13" t="s">
        <v>19</v>
      </c>
      <c r="B161" s="14" t="s">
        <v>217</v>
      </c>
      <c r="C161" s="15" t="s">
        <v>321</v>
      </c>
      <c r="D161" s="15" t="s">
        <v>277</v>
      </c>
      <c r="E161" s="15" t="s">
        <v>382</v>
      </c>
      <c r="F161" s="16" t="s">
        <v>383</v>
      </c>
      <c r="G161" s="7"/>
      <c r="H161" s="27">
        <v>8700.0</v>
      </c>
      <c r="I161" s="7"/>
      <c r="J161" s="18">
        <f t="shared" si="20"/>
        <v>13050</v>
      </c>
      <c r="K161" s="18">
        <f t="shared" si="21"/>
        <v>11310</v>
      </c>
      <c r="L161" s="19">
        <f t="shared" si="22"/>
        <v>11310</v>
      </c>
      <c r="M161" s="19">
        <f t="shared" si="23"/>
        <v>10440</v>
      </c>
      <c r="N161" s="19">
        <f t="shared" si="24"/>
        <v>10005</v>
      </c>
      <c r="O161" s="19">
        <f t="shared" si="25"/>
        <v>9570</v>
      </c>
    </row>
    <row r="162">
      <c r="A162" s="13" t="s">
        <v>19</v>
      </c>
      <c r="B162" s="14" t="s">
        <v>217</v>
      </c>
      <c r="C162" s="15" t="s">
        <v>321</v>
      </c>
      <c r="D162" s="15" t="s">
        <v>277</v>
      </c>
      <c r="E162" s="15" t="s">
        <v>384</v>
      </c>
      <c r="F162" s="16" t="s">
        <v>385</v>
      </c>
      <c r="G162" s="7"/>
      <c r="H162" s="27">
        <v>8300.0</v>
      </c>
      <c r="I162" s="7"/>
      <c r="J162" s="18">
        <f t="shared" si="20"/>
        <v>12450</v>
      </c>
      <c r="K162" s="18">
        <f t="shared" si="21"/>
        <v>10790</v>
      </c>
      <c r="L162" s="19">
        <f t="shared" si="22"/>
        <v>10790</v>
      </c>
      <c r="M162" s="19">
        <f t="shared" si="23"/>
        <v>9960</v>
      </c>
      <c r="N162" s="19">
        <f t="shared" si="24"/>
        <v>9545</v>
      </c>
      <c r="O162" s="19">
        <f t="shared" si="25"/>
        <v>9130</v>
      </c>
    </row>
    <row r="163">
      <c r="A163" s="13" t="s">
        <v>19</v>
      </c>
      <c r="B163" s="14" t="s">
        <v>217</v>
      </c>
      <c r="C163" s="15" t="s">
        <v>321</v>
      </c>
      <c r="D163" s="15" t="s">
        <v>277</v>
      </c>
      <c r="E163" s="15" t="s">
        <v>386</v>
      </c>
      <c r="F163" s="16" t="s">
        <v>387</v>
      </c>
      <c r="G163" s="7"/>
      <c r="H163" s="27">
        <v>9150.0</v>
      </c>
      <c r="I163" s="7"/>
      <c r="J163" s="18">
        <f t="shared" si="20"/>
        <v>13725</v>
      </c>
      <c r="K163" s="18">
        <f t="shared" si="21"/>
        <v>11895</v>
      </c>
      <c r="L163" s="19">
        <f t="shared" si="22"/>
        <v>11895</v>
      </c>
      <c r="M163" s="19">
        <f t="shared" si="23"/>
        <v>10980</v>
      </c>
      <c r="N163" s="19">
        <f t="shared" si="24"/>
        <v>10522.5</v>
      </c>
      <c r="O163" s="19">
        <f t="shared" si="25"/>
        <v>10065</v>
      </c>
    </row>
    <row r="164">
      <c r="A164" s="13" t="s">
        <v>19</v>
      </c>
      <c r="B164" s="14" t="s">
        <v>217</v>
      </c>
      <c r="C164" s="15" t="s">
        <v>321</v>
      </c>
      <c r="D164" s="15" t="s">
        <v>277</v>
      </c>
      <c r="E164" s="15" t="s">
        <v>388</v>
      </c>
      <c r="F164" s="16" t="s">
        <v>389</v>
      </c>
      <c r="G164" s="7"/>
      <c r="H164" s="27">
        <v>9150.0</v>
      </c>
      <c r="I164" s="7"/>
      <c r="J164" s="18">
        <f t="shared" si="20"/>
        <v>13725</v>
      </c>
      <c r="K164" s="18">
        <f t="shared" si="21"/>
        <v>11895</v>
      </c>
      <c r="L164" s="19">
        <f t="shared" si="22"/>
        <v>11895</v>
      </c>
      <c r="M164" s="19">
        <f t="shared" si="23"/>
        <v>10980</v>
      </c>
      <c r="N164" s="19">
        <f t="shared" si="24"/>
        <v>10522.5</v>
      </c>
      <c r="O164" s="19">
        <f t="shared" si="25"/>
        <v>10065</v>
      </c>
    </row>
    <row r="165">
      <c r="A165" s="13" t="s">
        <v>19</v>
      </c>
      <c r="B165" s="14" t="s">
        <v>217</v>
      </c>
      <c r="C165" s="15" t="s">
        <v>321</v>
      </c>
      <c r="D165" s="15" t="s">
        <v>277</v>
      </c>
      <c r="E165" s="15" t="s">
        <v>390</v>
      </c>
      <c r="F165" s="16" t="s">
        <v>391</v>
      </c>
      <c r="G165" s="7"/>
      <c r="H165" s="27">
        <v>8300.0</v>
      </c>
      <c r="I165" s="7"/>
      <c r="J165" s="18">
        <f t="shared" si="20"/>
        <v>12450</v>
      </c>
      <c r="K165" s="18">
        <f t="shared" si="21"/>
        <v>10790</v>
      </c>
      <c r="L165" s="19">
        <f t="shared" si="22"/>
        <v>10790</v>
      </c>
      <c r="M165" s="19">
        <f t="shared" si="23"/>
        <v>9960</v>
      </c>
      <c r="N165" s="19">
        <f t="shared" si="24"/>
        <v>9545</v>
      </c>
      <c r="O165" s="19">
        <f t="shared" si="25"/>
        <v>9130</v>
      </c>
    </row>
    <row r="166">
      <c r="A166" s="13" t="s">
        <v>19</v>
      </c>
      <c r="B166" s="14" t="s">
        <v>217</v>
      </c>
      <c r="C166" s="28" t="s">
        <v>321</v>
      </c>
      <c r="D166" s="28" t="s">
        <v>277</v>
      </c>
      <c r="E166" s="28" t="s">
        <v>392</v>
      </c>
      <c r="F166" s="29" t="s">
        <v>393</v>
      </c>
      <c r="G166" s="7"/>
      <c r="H166" s="27">
        <v>8300.0</v>
      </c>
      <c r="I166" s="7"/>
      <c r="J166" s="18">
        <f t="shared" si="20"/>
        <v>12450</v>
      </c>
      <c r="K166" s="18">
        <f t="shared" si="21"/>
        <v>10790</v>
      </c>
      <c r="L166" s="19">
        <f t="shared" si="22"/>
        <v>10790</v>
      </c>
      <c r="M166" s="19">
        <f t="shared" si="23"/>
        <v>9960</v>
      </c>
      <c r="N166" s="19">
        <f t="shared" si="24"/>
        <v>9545</v>
      </c>
      <c r="O166" s="19">
        <f t="shared" si="25"/>
        <v>9130</v>
      </c>
    </row>
    <row r="167">
      <c r="A167" s="13" t="s">
        <v>19</v>
      </c>
      <c r="B167" s="14" t="s">
        <v>217</v>
      </c>
      <c r="C167" s="28" t="s">
        <v>321</v>
      </c>
      <c r="D167" s="28" t="s">
        <v>277</v>
      </c>
      <c r="E167" s="28" t="s">
        <v>394</v>
      </c>
      <c r="F167" s="29" t="s">
        <v>395</v>
      </c>
      <c r="G167" s="7"/>
      <c r="H167" s="27">
        <v>8300.0</v>
      </c>
      <c r="I167" s="7"/>
      <c r="J167" s="18">
        <f t="shared" si="20"/>
        <v>12450</v>
      </c>
      <c r="K167" s="18">
        <f t="shared" si="21"/>
        <v>10790</v>
      </c>
      <c r="L167" s="19">
        <f t="shared" si="22"/>
        <v>10790</v>
      </c>
      <c r="M167" s="19">
        <f t="shared" si="23"/>
        <v>9960</v>
      </c>
      <c r="N167" s="19">
        <f t="shared" si="24"/>
        <v>9545</v>
      </c>
      <c r="O167" s="19">
        <f t="shared" si="25"/>
        <v>9130</v>
      </c>
    </row>
    <row r="168">
      <c r="A168" s="13" t="s">
        <v>19</v>
      </c>
      <c r="B168" s="14" t="s">
        <v>217</v>
      </c>
      <c r="C168" s="15" t="s">
        <v>321</v>
      </c>
      <c r="D168" s="15" t="s">
        <v>277</v>
      </c>
      <c r="E168" s="15" t="s">
        <v>396</v>
      </c>
      <c r="F168" s="16" t="s">
        <v>397</v>
      </c>
      <c r="G168" s="7"/>
      <c r="H168" s="27">
        <v>8300.0</v>
      </c>
      <c r="I168" s="7"/>
      <c r="J168" s="18">
        <f t="shared" si="20"/>
        <v>12450</v>
      </c>
      <c r="K168" s="18">
        <f t="shared" si="21"/>
        <v>10790</v>
      </c>
      <c r="L168" s="19">
        <f t="shared" si="22"/>
        <v>10790</v>
      </c>
      <c r="M168" s="19">
        <f t="shared" si="23"/>
        <v>9960</v>
      </c>
      <c r="N168" s="19">
        <f t="shared" si="24"/>
        <v>9545</v>
      </c>
      <c r="O168" s="19">
        <f t="shared" si="25"/>
        <v>9130</v>
      </c>
    </row>
    <row r="169">
      <c r="A169" s="13" t="s">
        <v>19</v>
      </c>
      <c r="B169" s="14" t="s">
        <v>217</v>
      </c>
      <c r="C169" s="15" t="s">
        <v>321</v>
      </c>
      <c r="D169" s="15" t="s">
        <v>277</v>
      </c>
      <c r="E169" s="15" t="s">
        <v>398</v>
      </c>
      <c r="F169" s="16" t="s">
        <v>399</v>
      </c>
      <c r="G169" s="7"/>
      <c r="H169" s="27">
        <v>8300.0</v>
      </c>
      <c r="I169" s="7"/>
      <c r="J169" s="18">
        <f t="shared" si="20"/>
        <v>12450</v>
      </c>
      <c r="K169" s="18">
        <f t="shared" si="21"/>
        <v>10790</v>
      </c>
      <c r="L169" s="19">
        <f t="shared" si="22"/>
        <v>10790</v>
      </c>
      <c r="M169" s="19">
        <f t="shared" si="23"/>
        <v>9960</v>
      </c>
      <c r="N169" s="19">
        <f t="shared" si="24"/>
        <v>9545</v>
      </c>
      <c r="O169" s="19">
        <f t="shared" si="25"/>
        <v>9130</v>
      </c>
    </row>
    <row r="170">
      <c r="A170" s="13" t="s">
        <v>19</v>
      </c>
      <c r="B170" s="14" t="s">
        <v>217</v>
      </c>
      <c r="C170" s="28" t="s">
        <v>321</v>
      </c>
      <c r="D170" s="28" t="s">
        <v>277</v>
      </c>
      <c r="E170" s="28" t="s">
        <v>400</v>
      </c>
      <c r="F170" s="29" t="s">
        <v>401</v>
      </c>
      <c r="G170" s="7"/>
      <c r="H170" s="27">
        <v>9150.0</v>
      </c>
      <c r="I170" s="7"/>
      <c r="J170" s="18">
        <f t="shared" si="20"/>
        <v>13725</v>
      </c>
      <c r="K170" s="18">
        <f t="shared" si="21"/>
        <v>11895</v>
      </c>
      <c r="L170" s="19">
        <f t="shared" si="22"/>
        <v>11895</v>
      </c>
      <c r="M170" s="19">
        <f t="shared" si="23"/>
        <v>10980</v>
      </c>
      <c r="N170" s="19">
        <f t="shared" si="24"/>
        <v>10522.5</v>
      </c>
      <c r="O170" s="19">
        <f t="shared" si="25"/>
        <v>10065</v>
      </c>
    </row>
    <row r="171">
      <c r="A171" s="13" t="s">
        <v>19</v>
      </c>
      <c r="B171" s="14" t="s">
        <v>217</v>
      </c>
      <c r="C171" s="15" t="s">
        <v>321</v>
      </c>
      <c r="D171" s="15" t="s">
        <v>277</v>
      </c>
      <c r="E171" s="15" t="s">
        <v>402</v>
      </c>
      <c r="F171" s="16" t="s">
        <v>401</v>
      </c>
      <c r="G171" s="7"/>
      <c r="H171" s="27">
        <v>8700.0</v>
      </c>
      <c r="I171" s="7"/>
      <c r="J171" s="18">
        <f t="shared" si="20"/>
        <v>13050</v>
      </c>
      <c r="K171" s="18">
        <f t="shared" si="21"/>
        <v>11310</v>
      </c>
      <c r="L171" s="19">
        <f t="shared" si="22"/>
        <v>11310</v>
      </c>
      <c r="M171" s="19">
        <f t="shared" si="23"/>
        <v>10440</v>
      </c>
      <c r="N171" s="19">
        <f t="shared" si="24"/>
        <v>10005</v>
      </c>
      <c r="O171" s="19">
        <f t="shared" si="25"/>
        <v>9570</v>
      </c>
    </row>
    <row r="172">
      <c r="A172" s="13" t="s">
        <v>19</v>
      </c>
      <c r="B172" s="14" t="s">
        <v>217</v>
      </c>
      <c r="C172" s="28" t="s">
        <v>321</v>
      </c>
      <c r="D172" s="28" t="s">
        <v>277</v>
      </c>
      <c r="E172" s="28" t="s">
        <v>403</v>
      </c>
      <c r="F172" s="29" t="s">
        <v>404</v>
      </c>
      <c r="G172" s="7"/>
      <c r="H172" s="27">
        <v>8300.0</v>
      </c>
      <c r="I172" s="7"/>
      <c r="J172" s="18">
        <f t="shared" si="20"/>
        <v>12450</v>
      </c>
      <c r="K172" s="18">
        <f t="shared" si="21"/>
        <v>10790</v>
      </c>
      <c r="L172" s="19">
        <f t="shared" si="22"/>
        <v>10790</v>
      </c>
      <c r="M172" s="19">
        <f t="shared" si="23"/>
        <v>9960</v>
      </c>
      <c r="N172" s="19">
        <f t="shared" si="24"/>
        <v>9545</v>
      </c>
      <c r="O172" s="19">
        <f t="shared" si="25"/>
        <v>9130</v>
      </c>
    </row>
    <row r="173">
      <c r="A173" s="13" t="s">
        <v>19</v>
      </c>
      <c r="B173" s="14" t="s">
        <v>217</v>
      </c>
      <c r="C173" s="15" t="s">
        <v>321</v>
      </c>
      <c r="D173" s="15" t="s">
        <v>277</v>
      </c>
      <c r="E173" s="15" t="s">
        <v>405</v>
      </c>
      <c r="F173" s="16" t="s">
        <v>404</v>
      </c>
      <c r="G173" s="7"/>
      <c r="H173" s="27">
        <v>7900.0</v>
      </c>
      <c r="I173" s="7"/>
      <c r="J173" s="18">
        <f t="shared" si="20"/>
        <v>11850</v>
      </c>
      <c r="K173" s="18">
        <f t="shared" si="21"/>
        <v>10270</v>
      </c>
      <c r="L173" s="19">
        <f t="shared" si="22"/>
        <v>10270</v>
      </c>
      <c r="M173" s="19">
        <f t="shared" si="23"/>
        <v>9480</v>
      </c>
      <c r="N173" s="19">
        <f t="shared" si="24"/>
        <v>9085</v>
      </c>
      <c r="O173" s="19">
        <f t="shared" si="25"/>
        <v>8690</v>
      </c>
    </row>
    <row r="174">
      <c r="A174" s="13" t="s">
        <v>19</v>
      </c>
      <c r="B174" s="14" t="s">
        <v>217</v>
      </c>
      <c r="C174" s="28" t="s">
        <v>321</v>
      </c>
      <c r="D174" s="28" t="s">
        <v>277</v>
      </c>
      <c r="E174" s="28" t="s">
        <v>406</v>
      </c>
      <c r="F174" s="29" t="s">
        <v>407</v>
      </c>
      <c r="G174" s="7"/>
      <c r="H174" s="27">
        <v>9550.0</v>
      </c>
      <c r="I174" s="7"/>
      <c r="J174" s="18">
        <f t="shared" si="20"/>
        <v>14325</v>
      </c>
      <c r="K174" s="18">
        <f t="shared" si="21"/>
        <v>12415</v>
      </c>
      <c r="L174" s="19">
        <f t="shared" si="22"/>
        <v>12415</v>
      </c>
      <c r="M174" s="19">
        <f t="shared" si="23"/>
        <v>11460</v>
      </c>
      <c r="N174" s="19">
        <f t="shared" si="24"/>
        <v>10982.5</v>
      </c>
      <c r="O174" s="19">
        <f t="shared" si="25"/>
        <v>10505</v>
      </c>
    </row>
    <row r="175">
      <c r="A175" s="13" t="s">
        <v>19</v>
      </c>
      <c r="B175" s="14" t="s">
        <v>217</v>
      </c>
      <c r="C175" s="29"/>
      <c r="D175" s="29"/>
      <c r="E175" s="29"/>
      <c r="F175" s="29"/>
      <c r="G175" s="7"/>
      <c r="H175" s="32"/>
      <c r="I175" s="7"/>
      <c r="J175" s="18">
        <f t="shared" si="20"/>
        <v>0</v>
      </c>
      <c r="K175" s="18">
        <f t="shared" si="21"/>
        <v>0</v>
      </c>
      <c r="L175" s="19">
        <f t="shared" si="22"/>
        <v>0</v>
      </c>
      <c r="M175" s="19">
        <f t="shared" si="23"/>
        <v>0</v>
      </c>
      <c r="N175" s="19">
        <f t="shared" si="24"/>
        <v>0</v>
      </c>
      <c r="O175" s="19">
        <f t="shared" si="25"/>
        <v>0</v>
      </c>
    </row>
    <row r="176">
      <c r="A176" s="13" t="s">
        <v>19</v>
      </c>
      <c r="B176" s="14" t="s">
        <v>217</v>
      </c>
      <c r="C176" s="15" t="s">
        <v>321</v>
      </c>
      <c r="D176" s="15" t="s">
        <v>277</v>
      </c>
      <c r="E176" s="15" t="s">
        <v>408</v>
      </c>
      <c r="F176" s="16" t="s">
        <v>407</v>
      </c>
      <c r="G176" s="7"/>
      <c r="H176" s="27">
        <v>9150.0</v>
      </c>
      <c r="I176" s="7"/>
      <c r="J176" s="18">
        <f t="shared" si="20"/>
        <v>13725</v>
      </c>
      <c r="K176" s="18">
        <f t="shared" si="21"/>
        <v>11895</v>
      </c>
      <c r="L176" s="19">
        <f t="shared" si="22"/>
        <v>11895</v>
      </c>
      <c r="M176" s="19">
        <f t="shared" si="23"/>
        <v>10980</v>
      </c>
      <c r="N176" s="19">
        <f t="shared" si="24"/>
        <v>10522.5</v>
      </c>
      <c r="O176" s="19">
        <f t="shared" si="25"/>
        <v>10065</v>
      </c>
    </row>
    <row r="177">
      <c r="A177" s="13" t="s">
        <v>19</v>
      </c>
      <c r="B177" s="14" t="s">
        <v>217</v>
      </c>
      <c r="C177" s="28" t="s">
        <v>257</v>
      </c>
      <c r="D177" s="28" t="s">
        <v>409</v>
      </c>
      <c r="E177" s="28" t="s">
        <v>410</v>
      </c>
      <c r="F177" s="29" t="s">
        <v>411</v>
      </c>
      <c r="G177" s="7"/>
      <c r="H177" s="27">
        <v>7900.0</v>
      </c>
      <c r="I177" s="7"/>
      <c r="J177" s="18">
        <f t="shared" si="20"/>
        <v>11850</v>
      </c>
      <c r="K177" s="18">
        <f t="shared" si="21"/>
        <v>10270</v>
      </c>
      <c r="L177" s="19">
        <f t="shared" si="22"/>
        <v>10270</v>
      </c>
      <c r="M177" s="19">
        <f t="shared" si="23"/>
        <v>9480</v>
      </c>
      <c r="N177" s="19">
        <f t="shared" si="24"/>
        <v>9085</v>
      </c>
      <c r="O177" s="19">
        <f t="shared" si="25"/>
        <v>8690</v>
      </c>
    </row>
    <row r="178">
      <c r="A178" s="13" t="s">
        <v>19</v>
      </c>
      <c r="B178" s="14" t="s">
        <v>217</v>
      </c>
      <c r="C178" s="28" t="s">
        <v>257</v>
      </c>
      <c r="D178" s="28" t="s">
        <v>409</v>
      </c>
      <c r="E178" s="28" t="s">
        <v>412</v>
      </c>
      <c r="F178" s="29" t="s">
        <v>413</v>
      </c>
      <c r="G178" s="7"/>
      <c r="H178" s="27">
        <v>8700.0</v>
      </c>
      <c r="I178" s="7"/>
      <c r="J178" s="18">
        <f t="shared" si="20"/>
        <v>13050</v>
      </c>
      <c r="K178" s="18">
        <f t="shared" si="21"/>
        <v>11310</v>
      </c>
      <c r="L178" s="19">
        <f t="shared" si="22"/>
        <v>11310</v>
      </c>
      <c r="M178" s="19">
        <f t="shared" si="23"/>
        <v>10440</v>
      </c>
      <c r="N178" s="19">
        <f t="shared" si="24"/>
        <v>10005</v>
      </c>
      <c r="O178" s="19">
        <f t="shared" si="25"/>
        <v>9570</v>
      </c>
    </row>
    <row r="179">
      <c r="A179" s="13" t="s">
        <v>19</v>
      </c>
      <c r="B179" s="14" t="s">
        <v>217</v>
      </c>
      <c r="C179" s="15" t="s">
        <v>341</v>
      </c>
      <c r="D179" s="15" t="s">
        <v>277</v>
      </c>
      <c r="E179" s="15" t="s">
        <v>414</v>
      </c>
      <c r="F179" s="16" t="s">
        <v>415</v>
      </c>
      <c r="G179" s="7"/>
      <c r="H179" s="27">
        <v>7100.0</v>
      </c>
      <c r="I179" s="7"/>
      <c r="J179" s="18">
        <f t="shared" si="20"/>
        <v>10650</v>
      </c>
      <c r="K179" s="18">
        <f t="shared" si="21"/>
        <v>9230</v>
      </c>
      <c r="L179" s="19">
        <f t="shared" si="22"/>
        <v>9230</v>
      </c>
      <c r="M179" s="19">
        <f t="shared" si="23"/>
        <v>8520</v>
      </c>
      <c r="N179" s="19">
        <f t="shared" si="24"/>
        <v>8165</v>
      </c>
      <c r="O179" s="19">
        <f t="shared" si="25"/>
        <v>7810</v>
      </c>
    </row>
    <row r="180">
      <c r="A180" s="13" t="s">
        <v>19</v>
      </c>
      <c r="B180" s="14" t="s">
        <v>217</v>
      </c>
      <c r="C180" s="15" t="s">
        <v>416</v>
      </c>
      <c r="D180" s="15" t="s">
        <v>258</v>
      </c>
      <c r="E180" s="15" t="s">
        <v>417</v>
      </c>
      <c r="F180" s="16" t="s">
        <v>418</v>
      </c>
      <c r="G180" s="7"/>
      <c r="H180" s="27">
        <v>6500.0</v>
      </c>
      <c r="I180" s="7"/>
      <c r="J180" s="18">
        <f t="shared" si="20"/>
        <v>9750</v>
      </c>
      <c r="K180" s="18">
        <f t="shared" si="21"/>
        <v>8450</v>
      </c>
      <c r="L180" s="19">
        <f t="shared" si="22"/>
        <v>8450</v>
      </c>
      <c r="M180" s="19">
        <f t="shared" si="23"/>
        <v>7800</v>
      </c>
      <c r="N180" s="19">
        <f t="shared" si="24"/>
        <v>7475</v>
      </c>
      <c r="O180" s="19">
        <f t="shared" si="25"/>
        <v>7150</v>
      </c>
    </row>
    <row r="181">
      <c r="A181" s="13" t="s">
        <v>19</v>
      </c>
      <c r="B181" s="14" t="s">
        <v>217</v>
      </c>
      <c r="C181" s="15" t="s">
        <v>416</v>
      </c>
      <c r="D181" s="15" t="s">
        <v>258</v>
      </c>
      <c r="E181" s="15" t="s">
        <v>419</v>
      </c>
      <c r="F181" s="16" t="s">
        <v>420</v>
      </c>
      <c r="G181" s="7"/>
      <c r="H181" s="27">
        <v>9800.0</v>
      </c>
      <c r="I181" s="7"/>
      <c r="J181" s="18">
        <f t="shared" si="20"/>
        <v>14700</v>
      </c>
      <c r="K181" s="18">
        <f t="shared" si="21"/>
        <v>12740</v>
      </c>
      <c r="L181" s="19">
        <f t="shared" si="22"/>
        <v>12740</v>
      </c>
      <c r="M181" s="19">
        <f t="shared" si="23"/>
        <v>11760</v>
      </c>
      <c r="N181" s="19">
        <f t="shared" si="24"/>
        <v>11270</v>
      </c>
      <c r="O181" s="19">
        <f t="shared" si="25"/>
        <v>10780</v>
      </c>
    </row>
    <row r="182">
      <c r="A182" s="13" t="s">
        <v>19</v>
      </c>
      <c r="B182" s="14" t="s">
        <v>217</v>
      </c>
      <c r="C182" s="28" t="s">
        <v>421</v>
      </c>
      <c r="D182" s="28" t="s">
        <v>258</v>
      </c>
      <c r="E182" s="28" t="s">
        <v>422</v>
      </c>
      <c r="F182" s="29" t="s">
        <v>423</v>
      </c>
      <c r="G182" s="7"/>
      <c r="H182" s="27">
        <v>6250.0</v>
      </c>
      <c r="I182" s="7"/>
      <c r="J182" s="18">
        <f t="shared" si="20"/>
        <v>9375</v>
      </c>
      <c r="K182" s="18">
        <f t="shared" si="21"/>
        <v>8125</v>
      </c>
      <c r="L182" s="19">
        <f t="shared" si="22"/>
        <v>8125</v>
      </c>
      <c r="M182" s="19">
        <f t="shared" si="23"/>
        <v>7500</v>
      </c>
      <c r="N182" s="19">
        <f t="shared" si="24"/>
        <v>7187.5</v>
      </c>
      <c r="O182" s="19">
        <f t="shared" si="25"/>
        <v>6875</v>
      </c>
    </row>
    <row r="183">
      <c r="A183" s="13" t="s">
        <v>19</v>
      </c>
      <c r="B183" s="14" t="s">
        <v>217</v>
      </c>
      <c r="C183" s="28" t="s">
        <v>421</v>
      </c>
      <c r="D183" s="28" t="s">
        <v>258</v>
      </c>
      <c r="E183" s="28" t="s">
        <v>424</v>
      </c>
      <c r="F183" s="29" t="s">
        <v>425</v>
      </c>
      <c r="G183" s="7"/>
      <c r="H183" s="27">
        <v>6250.0</v>
      </c>
      <c r="I183" s="7"/>
      <c r="J183" s="18">
        <f t="shared" si="20"/>
        <v>9375</v>
      </c>
      <c r="K183" s="18">
        <f t="shared" si="21"/>
        <v>8125</v>
      </c>
      <c r="L183" s="19">
        <f t="shared" si="22"/>
        <v>8125</v>
      </c>
      <c r="M183" s="19">
        <f t="shared" si="23"/>
        <v>7500</v>
      </c>
      <c r="N183" s="19">
        <f t="shared" si="24"/>
        <v>7187.5</v>
      </c>
      <c r="O183" s="19">
        <f t="shared" si="25"/>
        <v>6875</v>
      </c>
    </row>
    <row r="184">
      <c r="A184" s="13" t="s">
        <v>19</v>
      </c>
      <c r="B184" s="14" t="s">
        <v>217</v>
      </c>
      <c r="C184" s="15" t="s">
        <v>421</v>
      </c>
      <c r="D184" s="15" t="s">
        <v>258</v>
      </c>
      <c r="E184" s="15" t="s">
        <v>426</v>
      </c>
      <c r="F184" s="16" t="s">
        <v>427</v>
      </c>
      <c r="G184" s="7"/>
      <c r="H184" s="27">
        <v>5000.0</v>
      </c>
      <c r="I184" s="7"/>
      <c r="J184" s="18">
        <f t="shared" si="20"/>
        <v>7500</v>
      </c>
      <c r="K184" s="18">
        <f t="shared" si="21"/>
        <v>6500</v>
      </c>
      <c r="L184" s="19">
        <f t="shared" si="22"/>
        <v>6500</v>
      </c>
      <c r="M184" s="19">
        <f t="shared" si="23"/>
        <v>6000</v>
      </c>
      <c r="N184" s="19">
        <f t="shared" si="24"/>
        <v>5750</v>
      </c>
      <c r="O184" s="19">
        <f t="shared" si="25"/>
        <v>5500</v>
      </c>
    </row>
    <row r="185">
      <c r="A185" s="13" t="s">
        <v>19</v>
      </c>
      <c r="B185" s="14" t="s">
        <v>217</v>
      </c>
      <c r="C185" s="15" t="s">
        <v>421</v>
      </c>
      <c r="D185" s="15" t="s">
        <v>258</v>
      </c>
      <c r="E185" s="15" t="s">
        <v>428</v>
      </c>
      <c r="F185" s="16" t="s">
        <v>429</v>
      </c>
      <c r="G185" s="7"/>
      <c r="H185" s="27">
        <v>5000.0</v>
      </c>
      <c r="I185" s="7"/>
      <c r="J185" s="18">
        <f t="shared" si="20"/>
        <v>7500</v>
      </c>
      <c r="K185" s="18">
        <f t="shared" si="21"/>
        <v>6500</v>
      </c>
      <c r="L185" s="19">
        <f t="shared" si="22"/>
        <v>6500</v>
      </c>
      <c r="M185" s="19">
        <f t="shared" si="23"/>
        <v>6000</v>
      </c>
      <c r="N185" s="19">
        <f t="shared" si="24"/>
        <v>5750</v>
      </c>
      <c r="O185" s="19">
        <f t="shared" si="25"/>
        <v>5500</v>
      </c>
    </row>
    <row r="186">
      <c r="A186" s="13" t="s">
        <v>19</v>
      </c>
      <c r="B186" s="14" t="s">
        <v>217</v>
      </c>
      <c r="C186" s="15" t="s">
        <v>430</v>
      </c>
      <c r="D186" s="15" t="s">
        <v>258</v>
      </c>
      <c r="E186" s="15" t="s">
        <v>431</v>
      </c>
      <c r="F186" s="16" t="s">
        <v>432</v>
      </c>
      <c r="G186" s="7"/>
      <c r="H186" s="27">
        <v>4150.0</v>
      </c>
      <c r="I186" s="7"/>
      <c r="J186" s="18">
        <f t="shared" si="20"/>
        <v>6225</v>
      </c>
      <c r="K186" s="18">
        <f t="shared" si="21"/>
        <v>5395</v>
      </c>
      <c r="L186" s="19">
        <f t="shared" si="22"/>
        <v>5395</v>
      </c>
      <c r="M186" s="19">
        <f t="shared" si="23"/>
        <v>4980</v>
      </c>
      <c r="N186" s="19">
        <f t="shared" si="24"/>
        <v>4772.5</v>
      </c>
      <c r="O186" s="19">
        <f t="shared" si="25"/>
        <v>4565</v>
      </c>
    </row>
    <row r="187">
      <c r="A187" s="13" t="s">
        <v>19</v>
      </c>
      <c r="B187" s="14" t="s">
        <v>217</v>
      </c>
      <c r="C187" s="15" t="s">
        <v>430</v>
      </c>
      <c r="D187" s="15" t="s">
        <v>258</v>
      </c>
      <c r="E187" s="15" t="s">
        <v>433</v>
      </c>
      <c r="F187" s="16" t="s">
        <v>434</v>
      </c>
      <c r="G187" s="7"/>
      <c r="H187" s="27">
        <v>4350.0</v>
      </c>
      <c r="I187" s="7"/>
      <c r="J187" s="18">
        <f t="shared" si="20"/>
        <v>6525</v>
      </c>
      <c r="K187" s="18">
        <f t="shared" si="21"/>
        <v>5655</v>
      </c>
      <c r="L187" s="19">
        <f t="shared" si="22"/>
        <v>5655</v>
      </c>
      <c r="M187" s="19">
        <f t="shared" si="23"/>
        <v>5220</v>
      </c>
      <c r="N187" s="19">
        <f t="shared" si="24"/>
        <v>5002.5</v>
      </c>
      <c r="O187" s="19">
        <f t="shared" si="25"/>
        <v>4785</v>
      </c>
    </row>
    <row r="188">
      <c r="A188" s="13" t="s">
        <v>19</v>
      </c>
      <c r="B188" s="14" t="s">
        <v>217</v>
      </c>
      <c r="C188" s="15" t="s">
        <v>430</v>
      </c>
      <c r="D188" s="15" t="s">
        <v>258</v>
      </c>
      <c r="E188" s="15" t="s">
        <v>435</v>
      </c>
      <c r="F188" s="16" t="s">
        <v>436</v>
      </c>
      <c r="G188" s="7"/>
      <c r="H188" s="27">
        <v>4350.0</v>
      </c>
      <c r="I188" s="7"/>
      <c r="J188" s="18">
        <f t="shared" si="20"/>
        <v>6525</v>
      </c>
      <c r="K188" s="18">
        <f t="shared" si="21"/>
        <v>5655</v>
      </c>
      <c r="L188" s="19">
        <f t="shared" si="22"/>
        <v>5655</v>
      </c>
      <c r="M188" s="19">
        <f t="shared" si="23"/>
        <v>5220</v>
      </c>
      <c r="N188" s="19">
        <f t="shared" si="24"/>
        <v>5002.5</v>
      </c>
      <c r="O188" s="19">
        <f t="shared" si="25"/>
        <v>4785</v>
      </c>
    </row>
    <row r="189">
      <c r="A189" s="13" t="s">
        <v>19</v>
      </c>
      <c r="B189" s="14" t="s">
        <v>217</v>
      </c>
      <c r="C189" s="15" t="s">
        <v>276</v>
      </c>
      <c r="D189" s="15" t="s">
        <v>258</v>
      </c>
      <c r="E189" s="15" t="s">
        <v>437</v>
      </c>
      <c r="F189" s="31" t="s">
        <v>438</v>
      </c>
      <c r="G189" s="7"/>
      <c r="H189" s="27">
        <v>5150.0</v>
      </c>
      <c r="I189" s="7"/>
      <c r="J189" s="18">
        <f t="shared" si="20"/>
        <v>7725</v>
      </c>
      <c r="K189" s="18">
        <f t="shared" si="21"/>
        <v>6695</v>
      </c>
      <c r="L189" s="19">
        <f t="shared" si="22"/>
        <v>6695</v>
      </c>
      <c r="M189" s="19">
        <f t="shared" si="23"/>
        <v>6180</v>
      </c>
      <c r="N189" s="19">
        <f t="shared" si="24"/>
        <v>5922.5</v>
      </c>
      <c r="O189" s="19">
        <f t="shared" si="25"/>
        <v>5665</v>
      </c>
    </row>
    <row r="190">
      <c r="A190" s="13" t="s">
        <v>19</v>
      </c>
      <c r="B190" s="14" t="s">
        <v>217</v>
      </c>
      <c r="C190" s="15" t="s">
        <v>321</v>
      </c>
      <c r="D190" s="15" t="s">
        <v>248</v>
      </c>
      <c r="E190" s="15" t="s">
        <v>439</v>
      </c>
      <c r="F190" s="16" t="s">
        <v>440</v>
      </c>
      <c r="G190" s="7"/>
      <c r="H190" s="27">
        <v>6800.0</v>
      </c>
      <c r="I190" s="7"/>
      <c r="J190" s="18">
        <f t="shared" si="20"/>
        <v>10200</v>
      </c>
      <c r="K190" s="18">
        <f t="shared" si="21"/>
        <v>8840</v>
      </c>
      <c r="L190" s="19">
        <f t="shared" si="22"/>
        <v>8840</v>
      </c>
      <c r="M190" s="19">
        <f t="shared" si="23"/>
        <v>8160</v>
      </c>
      <c r="N190" s="19">
        <f t="shared" si="24"/>
        <v>7820</v>
      </c>
      <c r="O190" s="19">
        <f t="shared" si="25"/>
        <v>7480</v>
      </c>
    </row>
    <row r="191">
      <c r="A191" s="13" t="s">
        <v>19</v>
      </c>
      <c r="B191" s="14" t="s">
        <v>217</v>
      </c>
      <c r="C191" s="15" t="s">
        <v>276</v>
      </c>
      <c r="D191" s="15" t="s">
        <v>248</v>
      </c>
      <c r="E191" s="15" t="s">
        <v>441</v>
      </c>
      <c r="F191" s="16" t="s">
        <v>442</v>
      </c>
      <c r="G191" s="7"/>
      <c r="H191" s="27">
        <v>5150.0</v>
      </c>
      <c r="I191" s="7"/>
      <c r="J191" s="18">
        <f t="shared" si="20"/>
        <v>7725</v>
      </c>
      <c r="K191" s="18">
        <f t="shared" si="21"/>
        <v>6695</v>
      </c>
      <c r="L191" s="19">
        <f t="shared" si="22"/>
        <v>6695</v>
      </c>
      <c r="M191" s="19">
        <f t="shared" si="23"/>
        <v>6180</v>
      </c>
      <c r="N191" s="19">
        <f t="shared" si="24"/>
        <v>5922.5</v>
      </c>
      <c r="O191" s="19">
        <f t="shared" si="25"/>
        <v>5665</v>
      </c>
    </row>
    <row r="192">
      <c r="A192" s="13" t="s">
        <v>19</v>
      </c>
      <c r="B192" s="14" t="s">
        <v>217</v>
      </c>
      <c r="C192" s="15" t="s">
        <v>321</v>
      </c>
      <c r="D192" s="15" t="s">
        <v>248</v>
      </c>
      <c r="E192" s="15" t="s">
        <v>443</v>
      </c>
      <c r="F192" s="16" t="s">
        <v>444</v>
      </c>
      <c r="G192" s="7"/>
      <c r="H192" s="27">
        <v>3700.0</v>
      </c>
      <c r="I192" s="7"/>
      <c r="J192" s="18">
        <f t="shared" si="20"/>
        <v>5550</v>
      </c>
      <c r="K192" s="18">
        <f t="shared" si="21"/>
        <v>4810</v>
      </c>
      <c r="L192" s="19">
        <f t="shared" si="22"/>
        <v>4810</v>
      </c>
      <c r="M192" s="19">
        <f t="shared" si="23"/>
        <v>4440</v>
      </c>
      <c r="N192" s="19">
        <f t="shared" si="24"/>
        <v>4255</v>
      </c>
      <c r="O192" s="19">
        <f t="shared" si="25"/>
        <v>4070</v>
      </c>
    </row>
    <row r="193">
      <c r="A193" s="13" t="s">
        <v>19</v>
      </c>
      <c r="B193" s="14" t="s">
        <v>217</v>
      </c>
      <c r="C193" s="15" t="s">
        <v>321</v>
      </c>
      <c r="D193" s="15" t="s">
        <v>248</v>
      </c>
      <c r="E193" s="15" t="s">
        <v>445</v>
      </c>
      <c r="F193" s="16" t="s">
        <v>444</v>
      </c>
      <c r="G193" s="7"/>
      <c r="H193" s="27">
        <v>3150.0</v>
      </c>
      <c r="I193" s="7"/>
      <c r="J193" s="18">
        <f t="shared" si="20"/>
        <v>4725</v>
      </c>
      <c r="K193" s="18">
        <f t="shared" si="21"/>
        <v>4095</v>
      </c>
      <c r="L193" s="19">
        <f t="shared" si="22"/>
        <v>4095</v>
      </c>
      <c r="M193" s="19">
        <f t="shared" si="23"/>
        <v>3780</v>
      </c>
      <c r="N193" s="19">
        <f t="shared" si="24"/>
        <v>3622.5</v>
      </c>
      <c r="O193" s="19">
        <f t="shared" si="25"/>
        <v>3465</v>
      </c>
    </row>
    <row r="194">
      <c r="A194" s="13" t="s">
        <v>19</v>
      </c>
      <c r="B194" s="14" t="s">
        <v>217</v>
      </c>
      <c r="C194" s="15" t="s">
        <v>321</v>
      </c>
      <c r="D194" s="15" t="s">
        <v>248</v>
      </c>
      <c r="E194" s="15" t="s">
        <v>446</v>
      </c>
      <c r="F194" s="16" t="s">
        <v>444</v>
      </c>
      <c r="G194" s="7"/>
      <c r="H194" s="27">
        <v>3150.0</v>
      </c>
      <c r="I194" s="7"/>
      <c r="J194" s="18">
        <f t="shared" si="20"/>
        <v>4725</v>
      </c>
      <c r="K194" s="18">
        <f t="shared" si="21"/>
        <v>4095</v>
      </c>
      <c r="L194" s="19">
        <f t="shared" si="22"/>
        <v>4095</v>
      </c>
      <c r="M194" s="19">
        <f t="shared" si="23"/>
        <v>3780</v>
      </c>
      <c r="N194" s="19">
        <f t="shared" si="24"/>
        <v>3622.5</v>
      </c>
      <c r="O194" s="19">
        <f t="shared" si="25"/>
        <v>3465</v>
      </c>
    </row>
    <row r="195">
      <c r="A195" s="13" t="s">
        <v>19</v>
      </c>
      <c r="B195" s="14" t="s">
        <v>217</v>
      </c>
      <c r="C195" s="15" t="s">
        <v>321</v>
      </c>
      <c r="D195" s="15" t="s">
        <v>248</v>
      </c>
      <c r="E195" s="15" t="s">
        <v>447</v>
      </c>
      <c r="F195" s="16" t="s">
        <v>444</v>
      </c>
      <c r="G195" s="7"/>
      <c r="H195" s="27">
        <v>3150.0</v>
      </c>
      <c r="I195" s="7"/>
      <c r="J195" s="18">
        <f t="shared" si="20"/>
        <v>4725</v>
      </c>
      <c r="K195" s="18">
        <f t="shared" si="21"/>
        <v>4095</v>
      </c>
      <c r="L195" s="19">
        <f t="shared" si="22"/>
        <v>4095</v>
      </c>
      <c r="M195" s="19">
        <f t="shared" si="23"/>
        <v>3780</v>
      </c>
      <c r="N195" s="19">
        <f t="shared" si="24"/>
        <v>3622.5</v>
      </c>
      <c r="O195" s="19">
        <f t="shared" si="25"/>
        <v>3465</v>
      </c>
    </row>
    <row r="196">
      <c r="A196" s="13" t="s">
        <v>19</v>
      </c>
      <c r="B196" s="14" t="s">
        <v>217</v>
      </c>
      <c r="C196" s="15" t="s">
        <v>321</v>
      </c>
      <c r="D196" s="15" t="s">
        <v>248</v>
      </c>
      <c r="E196" s="15" t="s">
        <v>448</v>
      </c>
      <c r="F196" s="16" t="s">
        <v>444</v>
      </c>
      <c r="G196" s="7"/>
      <c r="H196" s="27">
        <v>3150.0</v>
      </c>
      <c r="I196" s="7"/>
      <c r="J196" s="18">
        <f t="shared" si="20"/>
        <v>4725</v>
      </c>
      <c r="K196" s="18">
        <f t="shared" si="21"/>
        <v>4095</v>
      </c>
      <c r="L196" s="19">
        <f t="shared" si="22"/>
        <v>4095</v>
      </c>
      <c r="M196" s="19">
        <f t="shared" si="23"/>
        <v>3780</v>
      </c>
      <c r="N196" s="19">
        <f t="shared" si="24"/>
        <v>3622.5</v>
      </c>
      <c r="O196" s="19">
        <f t="shared" si="25"/>
        <v>3465</v>
      </c>
    </row>
    <row r="197">
      <c r="A197" s="13" t="s">
        <v>19</v>
      </c>
      <c r="B197" s="14" t="s">
        <v>217</v>
      </c>
      <c r="C197" s="33" t="s">
        <v>449</v>
      </c>
      <c r="D197" s="33" t="s">
        <v>450</v>
      </c>
      <c r="E197" s="33" t="s">
        <v>451</v>
      </c>
      <c r="F197" s="16" t="s">
        <v>452</v>
      </c>
      <c r="G197" s="7"/>
      <c r="H197" s="27">
        <v>248500.0</v>
      </c>
      <c r="I197" s="7"/>
      <c r="J197" s="18">
        <f t="shared" si="20"/>
        <v>372750</v>
      </c>
      <c r="K197" s="18">
        <f t="shared" si="21"/>
        <v>323050</v>
      </c>
      <c r="L197" s="19">
        <f t="shared" si="22"/>
        <v>323050</v>
      </c>
      <c r="M197" s="19">
        <f t="shared" si="23"/>
        <v>298200</v>
      </c>
      <c r="N197" s="19">
        <f t="shared" si="24"/>
        <v>285775</v>
      </c>
      <c r="O197" s="19">
        <f t="shared" si="25"/>
        <v>273350</v>
      </c>
    </row>
    <row r="198">
      <c r="A198" s="13" t="s">
        <v>19</v>
      </c>
      <c r="B198" s="14" t="s">
        <v>217</v>
      </c>
      <c r="C198" s="34"/>
      <c r="D198" s="34"/>
      <c r="E198" s="34"/>
      <c r="F198" s="16" t="s">
        <v>453</v>
      </c>
      <c r="G198" s="7"/>
      <c r="H198" s="27">
        <v>66250.0</v>
      </c>
      <c r="I198" s="7"/>
      <c r="J198" s="18">
        <f t="shared" si="20"/>
        <v>99375</v>
      </c>
      <c r="K198" s="18">
        <f t="shared" si="21"/>
        <v>86125</v>
      </c>
      <c r="L198" s="19">
        <f t="shared" si="22"/>
        <v>86125</v>
      </c>
      <c r="M198" s="19">
        <f t="shared" si="23"/>
        <v>79500</v>
      </c>
      <c r="N198" s="19">
        <f t="shared" si="24"/>
        <v>76187.5</v>
      </c>
      <c r="O198" s="19">
        <f t="shared" si="25"/>
        <v>72875</v>
      </c>
    </row>
    <row r="199">
      <c r="A199" s="13" t="s">
        <v>19</v>
      </c>
      <c r="B199" s="14" t="s">
        <v>217</v>
      </c>
      <c r="C199" s="34"/>
      <c r="D199" s="34"/>
      <c r="E199" s="35"/>
      <c r="F199" s="16" t="s">
        <v>454</v>
      </c>
      <c r="G199" s="7"/>
      <c r="H199" s="27">
        <v>82900.0</v>
      </c>
      <c r="I199" s="7"/>
      <c r="J199" s="18">
        <f t="shared" si="20"/>
        <v>124350</v>
      </c>
      <c r="K199" s="18">
        <f t="shared" si="21"/>
        <v>107770</v>
      </c>
      <c r="L199" s="19">
        <f t="shared" si="22"/>
        <v>107770</v>
      </c>
      <c r="M199" s="19">
        <f t="shared" si="23"/>
        <v>99480</v>
      </c>
      <c r="N199" s="19">
        <f t="shared" si="24"/>
        <v>95335</v>
      </c>
      <c r="O199" s="19">
        <f t="shared" si="25"/>
        <v>91190</v>
      </c>
    </row>
    <row r="200">
      <c r="A200" s="13" t="s">
        <v>19</v>
      </c>
      <c r="B200" s="14" t="s">
        <v>217</v>
      </c>
      <c r="C200" s="34"/>
      <c r="D200" s="34"/>
      <c r="E200" s="33" t="s">
        <v>455</v>
      </c>
      <c r="F200" s="16" t="s">
        <v>456</v>
      </c>
      <c r="G200" s="7"/>
      <c r="H200" s="27">
        <v>248500.0</v>
      </c>
      <c r="I200" s="7"/>
      <c r="J200" s="18">
        <f t="shared" si="20"/>
        <v>372750</v>
      </c>
      <c r="K200" s="18">
        <f t="shared" si="21"/>
        <v>323050</v>
      </c>
      <c r="L200" s="19">
        <f t="shared" si="22"/>
        <v>323050</v>
      </c>
      <c r="M200" s="19">
        <f t="shared" si="23"/>
        <v>298200</v>
      </c>
      <c r="N200" s="19">
        <f t="shared" si="24"/>
        <v>285775</v>
      </c>
      <c r="O200" s="19">
        <f t="shared" si="25"/>
        <v>273350</v>
      </c>
    </row>
    <row r="201">
      <c r="A201" s="13" t="s">
        <v>19</v>
      </c>
      <c r="B201" s="14" t="s">
        <v>217</v>
      </c>
      <c r="C201" s="34"/>
      <c r="D201" s="34"/>
      <c r="E201" s="34"/>
      <c r="F201" s="16" t="s">
        <v>453</v>
      </c>
      <c r="G201" s="7"/>
      <c r="H201" s="27">
        <v>66250.0</v>
      </c>
      <c r="I201" s="7"/>
      <c r="J201" s="18">
        <f t="shared" si="20"/>
        <v>99375</v>
      </c>
      <c r="K201" s="18">
        <f t="shared" si="21"/>
        <v>86125</v>
      </c>
      <c r="L201" s="19">
        <f t="shared" si="22"/>
        <v>86125</v>
      </c>
      <c r="M201" s="19">
        <f t="shared" si="23"/>
        <v>79500</v>
      </c>
      <c r="N201" s="19">
        <f t="shared" si="24"/>
        <v>76187.5</v>
      </c>
      <c r="O201" s="19">
        <f t="shared" si="25"/>
        <v>72875</v>
      </c>
    </row>
    <row r="202">
      <c r="A202" s="13" t="s">
        <v>19</v>
      </c>
      <c r="B202" s="14" t="s">
        <v>217</v>
      </c>
      <c r="C202" s="35"/>
      <c r="D202" s="35"/>
      <c r="E202" s="35"/>
      <c r="F202" s="16" t="s">
        <v>454</v>
      </c>
      <c r="G202" s="7"/>
      <c r="H202" s="27">
        <v>82900.0</v>
      </c>
      <c r="I202" s="7"/>
      <c r="J202" s="18">
        <f t="shared" si="20"/>
        <v>124350</v>
      </c>
      <c r="K202" s="18">
        <f t="shared" si="21"/>
        <v>107770</v>
      </c>
      <c r="L202" s="19">
        <f t="shared" si="22"/>
        <v>107770</v>
      </c>
      <c r="M202" s="19">
        <f t="shared" si="23"/>
        <v>99480</v>
      </c>
      <c r="N202" s="19">
        <f t="shared" si="24"/>
        <v>95335</v>
      </c>
      <c r="O202" s="19">
        <f t="shared" si="25"/>
        <v>91190</v>
      </c>
    </row>
    <row r="203">
      <c r="A203" s="13" t="s">
        <v>19</v>
      </c>
      <c r="B203" s="14" t="s">
        <v>217</v>
      </c>
      <c r="C203" s="15" t="s">
        <v>449</v>
      </c>
      <c r="D203" s="15" t="s">
        <v>457</v>
      </c>
      <c r="E203" s="15" t="s">
        <v>458</v>
      </c>
      <c r="F203" s="16" t="s">
        <v>459</v>
      </c>
      <c r="G203" s="7"/>
      <c r="H203" s="16"/>
      <c r="I203" s="7"/>
      <c r="J203" s="18">
        <f t="shared" si="20"/>
        <v>0</v>
      </c>
      <c r="K203" s="18">
        <f t="shared" si="21"/>
        <v>0</v>
      </c>
      <c r="L203" s="19">
        <f t="shared" si="22"/>
        <v>0</v>
      </c>
      <c r="M203" s="19">
        <f t="shared" si="23"/>
        <v>0</v>
      </c>
      <c r="N203" s="19">
        <f t="shared" si="24"/>
        <v>0</v>
      </c>
      <c r="O203" s="19">
        <f t="shared" si="25"/>
        <v>0</v>
      </c>
    </row>
    <row r="204">
      <c r="A204" s="13" t="s">
        <v>19</v>
      </c>
      <c r="B204" s="14" t="s">
        <v>460</v>
      </c>
      <c r="C204" s="15" t="s">
        <v>461</v>
      </c>
      <c r="D204" s="7"/>
      <c r="E204" s="15" t="s">
        <v>462</v>
      </c>
      <c r="F204" s="16" t="s">
        <v>463</v>
      </c>
      <c r="G204" s="7"/>
      <c r="H204" s="27">
        <v>700.0</v>
      </c>
      <c r="I204" s="16"/>
      <c r="J204" s="18">
        <f t="shared" si="20"/>
        <v>1050</v>
      </c>
      <c r="K204" s="18">
        <f t="shared" si="21"/>
        <v>910</v>
      </c>
      <c r="L204" s="19">
        <f t="shared" si="22"/>
        <v>910</v>
      </c>
      <c r="M204" s="19">
        <f t="shared" si="23"/>
        <v>840</v>
      </c>
      <c r="N204" s="19">
        <f t="shared" si="24"/>
        <v>805</v>
      </c>
      <c r="O204" s="19">
        <f t="shared" si="25"/>
        <v>770</v>
      </c>
    </row>
    <row r="205">
      <c r="A205" s="13" t="s">
        <v>19</v>
      </c>
      <c r="B205" s="14" t="s">
        <v>460</v>
      </c>
      <c r="C205" s="15" t="s">
        <v>461</v>
      </c>
      <c r="D205" s="7"/>
      <c r="E205" s="15" t="s">
        <v>464</v>
      </c>
      <c r="F205" s="16"/>
      <c r="G205" s="7"/>
      <c r="H205" s="27">
        <v>1900.0</v>
      </c>
      <c r="I205" s="16"/>
      <c r="J205" s="18">
        <f t="shared" si="20"/>
        <v>2850</v>
      </c>
      <c r="K205" s="18">
        <f t="shared" si="21"/>
        <v>2470</v>
      </c>
      <c r="L205" s="19">
        <f t="shared" si="22"/>
        <v>2470</v>
      </c>
      <c r="M205" s="19">
        <f t="shared" si="23"/>
        <v>2280</v>
      </c>
      <c r="N205" s="19">
        <f t="shared" si="24"/>
        <v>2185</v>
      </c>
      <c r="O205" s="19">
        <f t="shared" si="25"/>
        <v>2090</v>
      </c>
    </row>
    <row r="206">
      <c r="A206" s="13" t="s">
        <v>19</v>
      </c>
      <c r="B206" s="14" t="s">
        <v>460</v>
      </c>
      <c r="C206" s="15" t="s">
        <v>461</v>
      </c>
      <c r="D206" s="7"/>
      <c r="E206" s="15" t="s">
        <v>465</v>
      </c>
      <c r="F206" s="16" t="s">
        <v>466</v>
      </c>
      <c r="G206" s="7"/>
      <c r="H206" s="27">
        <v>2500.0</v>
      </c>
      <c r="I206" s="16"/>
      <c r="J206" s="18">
        <f t="shared" si="20"/>
        <v>3750</v>
      </c>
      <c r="K206" s="18">
        <f t="shared" si="21"/>
        <v>3250</v>
      </c>
      <c r="L206" s="19">
        <f t="shared" si="22"/>
        <v>3250</v>
      </c>
      <c r="M206" s="19">
        <f t="shared" si="23"/>
        <v>3000</v>
      </c>
      <c r="N206" s="19">
        <f t="shared" si="24"/>
        <v>2875</v>
      </c>
      <c r="O206" s="19">
        <f t="shared" si="25"/>
        <v>2750</v>
      </c>
    </row>
    <row r="207">
      <c r="A207" s="13" t="s">
        <v>19</v>
      </c>
      <c r="B207" s="14" t="s">
        <v>460</v>
      </c>
      <c r="C207" s="15" t="s">
        <v>461</v>
      </c>
      <c r="D207" s="7"/>
      <c r="E207" s="15" t="s">
        <v>467</v>
      </c>
      <c r="F207" s="16" t="s">
        <v>468</v>
      </c>
      <c r="G207" s="7"/>
      <c r="H207" s="27">
        <v>9900.0</v>
      </c>
      <c r="I207" s="16"/>
      <c r="J207" s="18">
        <f t="shared" si="20"/>
        <v>14850</v>
      </c>
      <c r="K207" s="18">
        <f t="shared" si="21"/>
        <v>12870</v>
      </c>
      <c r="L207" s="19">
        <f t="shared" si="22"/>
        <v>12870</v>
      </c>
      <c r="M207" s="19">
        <f t="shared" si="23"/>
        <v>11880</v>
      </c>
      <c r="N207" s="19">
        <f t="shared" si="24"/>
        <v>11385</v>
      </c>
      <c r="O207" s="19">
        <f t="shared" si="25"/>
        <v>10890</v>
      </c>
    </row>
    <row r="208">
      <c r="A208" s="13" t="s">
        <v>19</v>
      </c>
      <c r="B208" s="14" t="s">
        <v>460</v>
      </c>
      <c r="C208" s="15" t="s">
        <v>461</v>
      </c>
      <c r="D208" s="7"/>
      <c r="E208" s="15" t="s">
        <v>469</v>
      </c>
      <c r="F208" s="16" t="s">
        <v>468</v>
      </c>
      <c r="G208" s="7"/>
      <c r="H208" s="27">
        <v>130.0</v>
      </c>
      <c r="I208" s="16"/>
      <c r="J208" s="18">
        <f t="shared" si="20"/>
        <v>195</v>
      </c>
      <c r="K208" s="18">
        <f t="shared" si="21"/>
        <v>169</v>
      </c>
      <c r="L208" s="19">
        <f t="shared" si="22"/>
        <v>169</v>
      </c>
      <c r="M208" s="19">
        <f t="shared" si="23"/>
        <v>156</v>
      </c>
      <c r="N208" s="19">
        <f t="shared" si="24"/>
        <v>149.5</v>
      </c>
      <c r="O208" s="19">
        <f t="shared" si="25"/>
        <v>143</v>
      </c>
    </row>
    <row r="209">
      <c r="A209" s="13" t="s">
        <v>19</v>
      </c>
      <c r="B209" s="14" t="s">
        <v>460</v>
      </c>
      <c r="C209" s="15" t="s">
        <v>461</v>
      </c>
      <c r="D209" s="7"/>
      <c r="E209" s="15" t="s">
        <v>470</v>
      </c>
      <c r="F209" s="16" t="s">
        <v>468</v>
      </c>
      <c r="G209" s="7"/>
      <c r="H209" s="27">
        <v>130.0</v>
      </c>
      <c r="I209" s="16"/>
      <c r="J209" s="18">
        <f t="shared" si="20"/>
        <v>195</v>
      </c>
      <c r="K209" s="18">
        <f t="shared" si="21"/>
        <v>169</v>
      </c>
      <c r="L209" s="19">
        <f t="shared" si="22"/>
        <v>169</v>
      </c>
      <c r="M209" s="19">
        <f t="shared" si="23"/>
        <v>156</v>
      </c>
      <c r="N209" s="19">
        <f t="shared" si="24"/>
        <v>149.5</v>
      </c>
      <c r="O209" s="19">
        <f t="shared" si="25"/>
        <v>143</v>
      </c>
    </row>
    <row r="210">
      <c r="A210" s="13" t="s">
        <v>19</v>
      </c>
      <c r="B210" s="14" t="s">
        <v>460</v>
      </c>
      <c r="C210" s="15" t="s">
        <v>461</v>
      </c>
      <c r="D210" s="7"/>
      <c r="E210" s="15" t="s">
        <v>471</v>
      </c>
      <c r="F210" s="16" t="s">
        <v>468</v>
      </c>
      <c r="G210" s="7"/>
      <c r="H210" s="27">
        <v>40.0</v>
      </c>
      <c r="I210" s="16"/>
      <c r="J210" s="18">
        <f t="shared" si="20"/>
        <v>60</v>
      </c>
      <c r="K210" s="18">
        <f t="shared" si="21"/>
        <v>52</v>
      </c>
      <c r="L210" s="19">
        <f t="shared" si="22"/>
        <v>52</v>
      </c>
      <c r="M210" s="19">
        <f t="shared" si="23"/>
        <v>48</v>
      </c>
      <c r="N210" s="19">
        <f t="shared" si="24"/>
        <v>46</v>
      </c>
      <c r="O210" s="19">
        <f t="shared" si="25"/>
        <v>44</v>
      </c>
    </row>
    <row r="211">
      <c r="A211" s="13" t="s">
        <v>19</v>
      </c>
      <c r="B211" s="14" t="s">
        <v>460</v>
      </c>
      <c r="C211" s="15" t="s">
        <v>461</v>
      </c>
      <c r="D211" s="7"/>
      <c r="E211" s="15" t="s">
        <v>472</v>
      </c>
      <c r="F211" s="16" t="s">
        <v>468</v>
      </c>
      <c r="G211" s="7"/>
      <c r="H211" s="27">
        <v>2500.0</v>
      </c>
      <c r="I211" s="16"/>
      <c r="J211" s="18">
        <f t="shared" si="20"/>
        <v>3750</v>
      </c>
      <c r="K211" s="18">
        <f t="shared" si="21"/>
        <v>3250</v>
      </c>
      <c r="L211" s="19">
        <f t="shared" si="22"/>
        <v>3250</v>
      </c>
      <c r="M211" s="19">
        <f t="shared" si="23"/>
        <v>3000</v>
      </c>
      <c r="N211" s="19">
        <f t="shared" si="24"/>
        <v>2875</v>
      </c>
      <c r="O211" s="19">
        <f t="shared" si="25"/>
        <v>2750</v>
      </c>
    </row>
    <row r="212">
      <c r="A212" s="13" t="s">
        <v>19</v>
      </c>
      <c r="B212" s="14" t="s">
        <v>460</v>
      </c>
      <c r="C212" s="15" t="s">
        <v>461</v>
      </c>
      <c r="D212" s="7"/>
      <c r="E212" s="15" t="s">
        <v>473</v>
      </c>
      <c r="F212" s="16" t="s">
        <v>468</v>
      </c>
      <c r="G212" s="7"/>
      <c r="H212" s="27">
        <v>1500.0</v>
      </c>
      <c r="I212" s="16"/>
      <c r="J212" s="18">
        <f t="shared" si="20"/>
        <v>2250</v>
      </c>
      <c r="K212" s="18">
        <f t="shared" si="21"/>
        <v>1950</v>
      </c>
      <c r="L212" s="19">
        <f t="shared" si="22"/>
        <v>1950</v>
      </c>
      <c r="M212" s="19">
        <f t="shared" si="23"/>
        <v>1800</v>
      </c>
      <c r="N212" s="19">
        <f t="shared" si="24"/>
        <v>1725</v>
      </c>
      <c r="O212" s="19">
        <f t="shared" si="25"/>
        <v>1650</v>
      </c>
    </row>
    <row r="213">
      <c r="A213" s="13" t="s">
        <v>19</v>
      </c>
      <c r="B213" s="14" t="s">
        <v>460</v>
      </c>
      <c r="C213" s="15" t="s">
        <v>461</v>
      </c>
      <c r="D213" s="7"/>
      <c r="E213" s="15" t="s">
        <v>474</v>
      </c>
      <c r="F213" s="16" t="s">
        <v>475</v>
      </c>
      <c r="G213" s="7"/>
      <c r="H213" s="27">
        <v>3500.0</v>
      </c>
      <c r="I213" s="16"/>
      <c r="J213" s="18">
        <f t="shared" si="20"/>
        <v>5250</v>
      </c>
      <c r="K213" s="18">
        <f t="shared" si="21"/>
        <v>4550</v>
      </c>
      <c r="L213" s="19">
        <f t="shared" si="22"/>
        <v>4550</v>
      </c>
      <c r="M213" s="19">
        <f t="shared" si="23"/>
        <v>4200</v>
      </c>
      <c r="N213" s="19">
        <f t="shared" si="24"/>
        <v>4025</v>
      </c>
      <c r="O213" s="19">
        <f t="shared" si="25"/>
        <v>3850</v>
      </c>
    </row>
    <row r="214">
      <c r="A214" s="13" t="s">
        <v>19</v>
      </c>
      <c r="B214" s="14" t="s">
        <v>460</v>
      </c>
      <c r="C214" s="15" t="s">
        <v>461</v>
      </c>
      <c r="D214" s="7"/>
      <c r="E214" s="15" t="s">
        <v>476</v>
      </c>
      <c r="F214" s="16" t="s">
        <v>477</v>
      </c>
      <c r="G214" s="7"/>
      <c r="H214" s="27">
        <v>130.0</v>
      </c>
      <c r="I214" s="16"/>
      <c r="J214" s="18">
        <f t="shared" si="20"/>
        <v>195</v>
      </c>
      <c r="K214" s="18">
        <f t="shared" si="21"/>
        <v>169</v>
      </c>
      <c r="L214" s="19">
        <f t="shared" si="22"/>
        <v>169</v>
      </c>
      <c r="M214" s="19">
        <f t="shared" si="23"/>
        <v>156</v>
      </c>
      <c r="N214" s="19">
        <f t="shared" si="24"/>
        <v>149.5</v>
      </c>
      <c r="O214" s="19">
        <f t="shared" si="25"/>
        <v>143</v>
      </c>
    </row>
    <row r="215">
      <c r="A215" s="13" t="s">
        <v>19</v>
      </c>
      <c r="B215" s="14" t="s">
        <v>460</v>
      </c>
      <c r="C215" s="15" t="s">
        <v>461</v>
      </c>
      <c r="D215" s="7"/>
      <c r="E215" s="15" t="s">
        <v>478</v>
      </c>
      <c r="F215" s="16" t="s">
        <v>477</v>
      </c>
      <c r="G215" s="7"/>
      <c r="H215" s="27">
        <v>130.0</v>
      </c>
      <c r="I215" s="16"/>
      <c r="J215" s="18">
        <f t="shared" si="20"/>
        <v>195</v>
      </c>
      <c r="K215" s="18">
        <f t="shared" si="21"/>
        <v>169</v>
      </c>
      <c r="L215" s="19">
        <f t="shared" si="22"/>
        <v>169</v>
      </c>
      <c r="M215" s="19">
        <f t="shared" si="23"/>
        <v>156</v>
      </c>
      <c r="N215" s="19">
        <f t="shared" si="24"/>
        <v>149.5</v>
      </c>
      <c r="O215" s="19">
        <f t="shared" si="25"/>
        <v>143</v>
      </c>
    </row>
    <row r="216">
      <c r="A216" s="13" t="s">
        <v>19</v>
      </c>
      <c r="B216" s="14" t="s">
        <v>460</v>
      </c>
      <c r="C216" s="15" t="s">
        <v>461</v>
      </c>
      <c r="D216" s="7"/>
      <c r="E216" s="15" t="s">
        <v>479</v>
      </c>
      <c r="F216" s="16" t="s">
        <v>477</v>
      </c>
      <c r="G216" s="7"/>
      <c r="H216" s="27">
        <v>130.0</v>
      </c>
      <c r="I216" s="16"/>
      <c r="J216" s="18">
        <f t="shared" si="20"/>
        <v>195</v>
      </c>
      <c r="K216" s="18">
        <f t="shared" si="21"/>
        <v>169</v>
      </c>
      <c r="L216" s="19">
        <f t="shared" si="22"/>
        <v>169</v>
      </c>
      <c r="M216" s="19">
        <f t="shared" si="23"/>
        <v>156</v>
      </c>
      <c r="N216" s="19">
        <f t="shared" si="24"/>
        <v>149.5</v>
      </c>
      <c r="O216" s="19">
        <f t="shared" si="25"/>
        <v>143</v>
      </c>
    </row>
    <row r="217">
      <c r="A217" s="13" t="s">
        <v>19</v>
      </c>
      <c r="B217" s="14" t="s">
        <v>460</v>
      </c>
      <c r="C217" s="15" t="s">
        <v>461</v>
      </c>
      <c r="D217" s="7"/>
      <c r="E217" s="15" t="s">
        <v>480</v>
      </c>
      <c r="F217" s="16" t="s">
        <v>481</v>
      </c>
      <c r="G217" s="7"/>
      <c r="H217" s="27">
        <v>2500.0</v>
      </c>
      <c r="I217" s="16"/>
      <c r="J217" s="18">
        <f t="shared" si="20"/>
        <v>3750</v>
      </c>
      <c r="K217" s="18">
        <f t="shared" si="21"/>
        <v>3250</v>
      </c>
      <c r="L217" s="19">
        <f t="shared" si="22"/>
        <v>3250</v>
      </c>
      <c r="M217" s="19">
        <f t="shared" si="23"/>
        <v>3000</v>
      </c>
      <c r="N217" s="19">
        <f t="shared" si="24"/>
        <v>2875</v>
      </c>
      <c r="O217" s="19">
        <f t="shared" si="25"/>
        <v>2750</v>
      </c>
    </row>
    <row r="218">
      <c r="A218" s="13" t="s">
        <v>19</v>
      </c>
      <c r="B218" s="14" t="s">
        <v>460</v>
      </c>
      <c r="C218" s="15" t="s">
        <v>461</v>
      </c>
      <c r="D218" s="7"/>
      <c r="E218" s="15" t="s">
        <v>482</v>
      </c>
      <c r="F218" s="16"/>
      <c r="G218" s="7"/>
      <c r="H218" s="27">
        <v>6200.0</v>
      </c>
      <c r="I218" s="16"/>
      <c r="J218" s="18">
        <f t="shared" si="20"/>
        <v>9300</v>
      </c>
      <c r="K218" s="18">
        <f t="shared" si="21"/>
        <v>8060</v>
      </c>
      <c r="L218" s="19">
        <f t="shared" si="22"/>
        <v>8060</v>
      </c>
      <c r="M218" s="19">
        <f t="shared" si="23"/>
        <v>7440</v>
      </c>
      <c r="N218" s="19">
        <f t="shared" si="24"/>
        <v>7130</v>
      </c>
      <c r="O218" s="19">
        <f t="shared" si="25"/>
        <v>6820</v>
      </c>
    </row>
    <row r="219">
      <c r="A219" s="13" t="s">
        <v>19</v>
      </c>
      <c r="B219" s="14" t="s">
        <v>460</v>
      </c>
      <c r="C219" s="15" t="s">
        <v>461</v>
      </c>
      <c r="D219" s="7"/>
      <c r="E219" s="15" t="s">
        <v>483</v>
      </c>
      <c r="F219" s="16" t="s">
        <v>484</v>
      </c>
      <c r="G219" s="7"/>
      <c r="H219" s="27">
        <v>130.0</v>
      </c>
      <c r="I219" s="16"/>
      <c r="J219" s="18">
        <f t="shared" si="20"/>
        <v>195</v>
      </c>
      <c r="K219" s="18">
        <f t="shared" si="21"/>
        <v>169</v>
      </c>
      <c r="L219" s="19">
        <f t="shared" si="22"/>
        <v>169</v>
      </c>
      <c r="M219" s="19">
        <f t="shared" si="23"/>
        <v>156</v>
      </c>
      <c r="N219" s="19">
        <f t="shared" si="24"/>
        <v>149.5</v>
      </c>
      <c r="O219" s="19">
        <f t="shared" si="25"/>
        <v>143</v>
      </c>
    </row>
    <row r="220">
      <c r="A220" s="13" t="s">
        <v>19</v>
      </c>
      <c r="B220" s="14" t="s">
        <v>460</v>
      </c>
      <c r="C220" s="15" t="s">
        <v>461</v>
      </c>
      <c r="D220" s="7"/>
      <c r="E220" s="15" t="s">
        <v>485</v>
      </c>
      <c r="F220" s="16" t="s">
        <v>486</v>
      </c>
      <c r="G220" s="7"/>
      <c r="H220" s="27">
        <v>130.0</v>
      </c>
      <c r="I220" s="16"/>
      <c r="J220" s="18">
        <f t="shared" si="20"/>
        <v>195</v>
      </c>
      <c r="K220" s="18">
        <f t="shared" si="21"/>
        <v>169</v>
      </c>
      <c r="L220" s="19">
        <f t="shared" si="22"/>
        <v>169</v>
      </c>
      <c r="M220" s="19">
        <f t="shared" si="23"/>
        <v>156</v>
      </c>
      <c r="N220" s="19">
        <f t="shared" si="24"/>
        <v>149.5</v>
      </c>
      <c r="O220" s="19">
        <f t="shared" si="25"/>
        <v>143</v>
      </c>
    </row>
    <row r="221">
      <c r="A221" s="13" t="s">
        <v>19</v>
      </c>
      <c r="B221" s="14" t="s">
        <v>460</v>
      </c>
      <c r="C221" s="15" t="s">
        <v>461</v>
      </c>
      <c r="D221" s="7"/>
      <c r="E221" s="15" t="s">
        <v>487</v>
      </c>
      <c r="F221" s="16" t="s">
        <v>486</v>
      </c>
      <c r="G221" s="7"/>
      <c r="H221" s="27">
        <v>2500.0</v>
      </c>
      <c r="I221" s="16"/>
      <c r="J221" s="18">
        <f t="shared" si="20"/>
        <v>3750</v>
      </c>
      <c r="K221" s="18">
        <f t="shared" si="21"/>
        <v>3250</v>
      </c>
      <c r="L221" s="19">
        <f t="shared" si="22"/>
        <v>3250</v>
      </c>
      <c r="M221" s="19">
        <f t="shared" si="23"/>
        <v>3000</v>
      </c>
      <c r="N221" s="19">
        <f t="shared" si="24"/>
        <v>2875</v>
      </c>
      <c r="O221" s="19">
        <f t="shared" si="25"/>
        <v>2750</v>
      </c>
    </row>
    <row r="222">
      <c r="A222" s="13" t="s">
        <v>19</v>
      </c>
      <c r="B222" s="14" t="s">
        <v>460</v>
      </c>
      <c r="C222" s="15" t="s">
        <v>461</v>
      </c>
      <c r="D222" s="7"/>
      <c r="E222" s="15" t="s">
        <v>488</v>
      </c>
      <c r="F222" s="16" t="s">
        <v>486</v>
      </c>
      <c r="G222" s="7"/>
      <c r="H222" s="27">
        <v>6200.0</v>
      </c>
      <c r="I222" s="16"/>
      <c r="J222" s="18">
        <f t="shared" si="20"/>
        <v>9300</v>
      </c>
      <c r="K222" s="18">
        <f t="shared" si="21"/>
        <v>8060</v>
      </c>
      <c r="L222" s="19">
        <f t="shared" si="22"/>
        <v>8060</v>
      </c>
      <c r="M222" s="19">
        <f t="shared" si="23"/>
        <v>7440</v>
      </c>
      <c r="N222" s="19">
        <f t="shared" si="24"/>
        <v>7130</v>
      </c>
      <c r="O222" s="19">
        <f t="shared" si="25"/>
        <v>6820</v>
      </c>
    </row>
    <row r="223">
      <c r="A223" s="13" t="s">
        <v>19</v>
      </c>
      <c r="B223" s="14" t="s">
        <v>460</v>
      </c>
      <c r="C223" s="15" t="s">
        <v>461</v>
      </c>
      <c r="D223" s="7"/>
      <c r="E223" s="15" t="s">
        <v>489</v>
      </c>
      <c r="F223" s="16" t="s">
        <v>486</v>
      </c>
      <c r="G223" s="7"/>
      <c r="H223" s="27">
        <v>650.0</v>
      </c>
      <c r="I223" s="16"/>
      <c r="J223" s="18">
        <f t="shared" si="20"/>
        <v>975</v>
      </c>
      <c r="K223" s="18">
        <f t="shared" si="21"/>
        <v>845</v>
      </c>
      <c r="L223" s="19">
        <f t="shared" si="22"/>
        <v>845</v>
      </c>
      <c r="M223" s="19">
        <f t="shared" si="23"/>
        <v>780</v>
      </c>
      <c r="N223" s="19">
        <f t="shared" si="24"/>
        <v>747.5</v>
      </c>
      <c r="O223" s="19">
        <f t="shared" si="25"/>
        <v>715</v>
      </c>
    </row>
    <row r="224">
      <c r="A224" s="13" t="s">
        <v>19</v>
      </c>
      <c r="B224" s="14" t="s">
        <v>460</v>
      </c>
      <c r="C224" s="15" t="s">
        <v>461</v>
      </c>
      <c r="D224" s="7"/>
      <c r="E224" s="15" t="s">
        <v>490</v>
      </c>
      <c r="F224" s="16" t="s">
        <v>486</v>
      </c>
      <c r="G224" s="7"/>
      <c r="H224" s="27">
        <v>650.0</v>
      </c>
      <c r="I224" s="16"/>
      <c r="J224" s="18">
        <f t="shared" si="20"/>
        <v>975</v>
      </c>
      <c r="K224" s="18">
        <f t="shared" si="21"/>
        <v>845</v>
      </c>
      <c r="L224" s="19">
        <f t="shared" si="22"/>
        <v>845</v>
      </c>
      <c r="M224" s="19">
        <f t="shared" si="23"/>
        <v>780</v>
      </c>
      <c r="N224" s="19">
        <f t="shared" si="24"/>
        <v>747.5</v>
      </c>
      <c r="O224" s="19">
        <f t="shared" si="25"/>
        <v>715</v>
      </c>
    </row>
    <row r="225">
      <c r="A225" s="13" t="s">
        <v>19</v>
      </c>
      <c r="B225" s="14" t="s">
        <v>460</v>
      </c>
      <c r="C225" s="15" t="s">
        <v>461</v>
      </c>
      <c r="D225" s="7"/>
      <c r="E225" s="15" t="s">
        <v>491</v>
      </c>
      <c r="F225" s="16"/>
      <c r="G225" s="7"/>
      <c r="H225" s="27">
        <v>400.0</v>
      </c>
      <c r="I225" s="16"/>
      <c r="J225" s="18">
        <f t="shared" si="20"/>
        <v>600</v>
      </c>
      <c r="K225" s="18">
        <f t="shared" si="21"/>
        <v>520</v>
      </c>
      <c r="L225" s="19">
        <f t="shared" si="22"/>
        <v>520</v>
      </c>
      <c r="M225" s="19">
        <f t="shared" si="23"/>
        <v>480</v>
      </c>
      <c r="N225" s="19">
        <f t="shared" si="24"/>
        <v>460</v>
      </c>
      <c r="O225" s="19">
        <f t="shared" si="25"/>
        <v>440</v>
      </c>
    </row>
    <row r="226">
      <c r="A226" s="13" t="s">
        <v>19</v>
      </c>
      <c r="B226" s="14" t="s">
        <v>460</v>
      </c>
      <c r="C226" s="15" t="s">
        <v>461</v>
      </c>
      <c r="D226" s="7"/>
      <c r="E226" s="15" t="s">
        <v>492</v>
      </c>
      <c r="F226" s="16"/>
      <c r="G226" s="7"/>
      <c r="H226" s="27">
        <v>130.0</v>
      </c>
      <c r="I226" s="16"/>
      <c r="J226" s="18">
        <f t="shared" si="20"/>
        <v>195</v>
      </c>
      <c r="K226" s="18">
        <f t="shared" si="21"/>
        <v>169</v>
      </c>
      <c r="L226" s="19">
        <f t="shared" si="22"/>
        <v>169</v>
      </c>
      <c r="M226" s="19">
        <f t="shared" si="23"/>
        <v>156</v>
      </c>
      <c r="N226" s="19">
        <f t="shared" si="24"/>
        <v>149.5</v>
      </c>
      <c r="O226" s="19">
        <f t="shared" si="25"/>
        <v>143</v>
      </c>
    </row>
    <row r="227">
      <c r="A227" s="13" t="s">
        <v>19</v>
      </c>
      <c r="B227" s="14" t="s">
        <v>460</v>
      </c>
      <c r="C227" s="15" t="s">
        <v>461</v>
      </c>
      <c r="D227" s="7"/>
      <c r="E227" s="15" t="s">
        <v>493</v>
      </c>
      <c r="F227" s="16"/>
      <c r="G227" s="7"/>
      <c r="H227" s="27">
        <v>6200.0</v>
      </c>
      <c r="I227" s="16"/>
      <c r="J227" s="18">
        <f t="shared" si="20"/>
        <v>9300</v>
      </c>
      <c r="K227" s="18">
        <f t="shared" si="21"/>
        <v>8060</v>
      </c>
      <c r="L227" s="19">
        <f t="shared" si="22"/>
        <v>8060</v>
      </c>
      <c r="M227" s="19">
        <f t="shared" si="23"/>
        <v>7440</v>
      </c>
      <c r="N227" s="19">
        <f t="shared" si="24"/>
        <v>7130</v>
      </c>
      <c r="O227" s="19">
        <f t="shared" si="25"/>
        <v>6820</v>
      </c>
    </row>
    <row r="228">
      <c r="A228" s="13" t="s">
        <v>19</v>
      </c>
      <c r="B228" s="14" t="s">
        <v>460</v>
      </c>
      <c r="C228" s="15" t="s">
        <v>494</v>
      </c>
      <c r="D228" s="7"/>
      <c r="E228" s="15" t="s">
        <v>495</v>
      </c>
      <c r="F228" s="16"/>
      <c r="G228" s="7"/>
      <c r="H228" s="27">
        <v>1000.0</v>
      </c>
      <c r="I228" s="16"/>
      <c r="J228" s="18">
        <f t="shared" si="20"/>
        <v>1500</v>
      </c>
      <c r="K228" s="18">
        <f t="shared" si="21"/>
        <v>1300</v>
      </c>
      <c r="L228" s="19">
        <f t="shared" si="22"/>
        <v>1300</v>
      </c>
      <c r="M228" s="19">
        <f t="shared" si="23"/>
        <v>1200</v>
      </c>
      <c r="N228" s="19">
        <f t="shared" si="24"/>
        <v>1150</v>
      </c>
      <c r="O228" s="19">
        <f t="shared" si="25"/>
        <v>1100</v>
      </c>
    </row>
    <row r="229">
      <c r="A229" s="13" t="s">
        <v>19</v>
      </c>
      <c r="B229" s="14" t="s">
        <v>460</v>
      </c>
      <c r="C229" s="15" t="s">
        <v>494</v>
      </c>
      <c r="D229" s="7"/>
      <c r="E229" s="15" t="s">
        <v>496</v>
      </c>
      <c r="F229" s="16"/>
      <c r="G229" s="7"/>
      <c r="H229" s="27">
        <v>130.0</v>
      </c>
      <c r="I229" s="16" t="s">
        <v>497</v>
      </c>
      <c r="J229" s="18">
        <f t="shared" si="20"/>
        <v>195</v>
      </c>
      <c r="K229" s="18">
        <f t="shared" si="21"/>
        <v>169</v>
      </c>
      <c r="L229" s="19">
        <f t="shared" si="22"/>
        <v>169</v>
      </c>
      <c r="M229" s="19">
        <f t="shared" si="23"/>
        <v>156</v>
      </c>
      <c r="N229" s="19">
        <f t="shared" si="24"/>
        <v>149.5</v>
      </c>
      <c r="O229" s="19">
        <f t="shared" si="25"/>
        <v>143</v>
      </c>
    </row>
    <row r="230">
      <c r="A230" s="13" t="s">
        <v>19</v>
      </c>
      <c r="B230" s="14" t="s">
        <v>460</v>
      </c>
      <c r="C230" s="15" t="s">
        <v>494</v>
      </c>
      <c r="D230" s="7"/>
      <c r="E230" s="15" t="s">
        <v>498</v>
      </c>
      <c r="F230" s="16"/>
      <c r="G230" s="7"/>
      <c r="H230" s="27">
        <v>100.0</v>
      </c>
      <c r="I230" s="16" t="s">
        <v>497</v>
      </c>
      <c r="J230" s="18">
        <f t="shared" si="20"/>
        <v>150</v>
      </c>
      <c r="K230" s="18">
        <f t="shared" si="21"/>
        <v>130</v>
      </c>
      <c r="L230" s="19">
        <f t="shared" si="22"/>
        <v>130</v>
      </c>
      <c r="M230" s="19">
        <f t="shared" si="23"/>
        <v>120</v>
      </c>
      <c r="N230" s="19">
        <f t="shared" si="24"/>
        <v>115</v>
      </c>
      <c r="O230" s="19">
        <f t="shared" si="25"/>
        <v>110</v>
      </c>
    </row>
    <row r="231">
      <c r="A231" s="13" t="s">
        <v>19</v>
      </c>
      <c r="B231" s="14" t="s">
        <v>460</v>
      </c>
      <c r="C231" s="15" t="s">
        <v>494</v>
      </c>
      <c r="D231" s="7"/>
      <c r="E231" s="15" t="s">
        <v>499</v>
      </c>
      <c r="F231" s="16" t="s">
        <v>500</v>
      </c>
      <c r="G231" s="7"/>
      <c r="H231" s="27">
        <v>1900.0</v>
      </c>
      <c r="I231" s="16"/>
      <c r="J231" s="18">
        <f t="shared" si="20"/>
        <v>2850</v>
      </c>
      <c r="K231" s="18">
        <f t="shared" si="21"/>
        <v>2470</v>
      </c>
      <c r="L231" s="19">
        <f t="shared" si="22"/>
        <v>2470</v>
      </c>
      <c r="M231" s="19">
        <f t="shared" si="23"/>
        <v>2280</v>
      </c>
      <c r="N231" s="19">
        <f t="shared" si="24"/>
        <v>2185</v>
      </c>
      <c r="O231" s="19">
        <f t="shared" si="25"/>
        <v>2090</v>
      </c>
    </row>
    <row r="232">
      <c r="A232" s="13" t="s">
        <v>19</v>
      </c>
      <c r="B232" s="14" t="s">
        <v>460</v>
      </c>
      <c r="C232" s="15" t="s">
        <v>494</v>
      </c>
      <c r="D232" s="7"/>
      <c r="E232" s="15" t="s">
        <v>501</v>
      </c>
      <c r="F232" s="16" t="s">
        <v>502</v>
      </c>
      <c r="G232" s="7"/>
      <c r="H232" s="27">
        <v>1300.0</v>
      </c>
      <c r="I232" s="16"/>
      <c r="J232" s="18">
        <f t="shared" si="20"/>
        <v>1950</v>
      </c>
      <c r="K232" s="18">
        <f t="shared" si="21"/>
        <v>1690</v>
      </c>
      <c r="L232" s="19">
        <f t="shared" si="22"/>
        <v>1690</v>
      </c>
      <c r="M232" s="19">
        <f t="shared" si="23"/>
        <v>1560</v>
      </c>
      <c r="N232" s="19">
        <f t="shared" si="24"/>
        <v>1495</v>
      </c>
      <c r="O232" s="19">
        <f t="shared" si="25"/>
        <v>1430</v>
      </c>
    </row>
    <row r="233">
      <c r="A233" s="13" t="s">
        <v>19</v>
      </c>
      <c r="B233" s="14" t="s">
        <v>460</v>
      </c>
      <c r="C233" s="15" t="s">
        <v>494</v>
      </c>
      <c r="D233" s="7"/>
      <c r="E233" s="15" t="s">
        <v>503</v>
      </c>
      <c r="F233" s="16" t="s">
        <v>504</v>
      </c>
      <c r="G233" s="7"/>
      <c r="H233" s="27">
        <v>7400.0</v>
      </c>
      <c r="I233" s="16"/>
      <c r="J233" s="18">
        <f t="shared" si="20"/>
        <v>11100</v>
      </c>
      <c r="K233" s="18">
        <f t="shared" si="21"/>
        <v>9620</v>
      </c>
      <c r="L233" s="19">
        <f t="shared" si="22"/>
        <v>9620</v>
      </c>
      <c r="M233" s="19">
        <f t="shared" si="23"/>
        <v>8880</v>
      </c>
      <c r="N233" s="19">
        <f t="shared" si="24"/>
        <v>8510</v>
      </c>
      <c r="O233" s="19">
        <f t="shared" si="25"/>
        <v>8140</v>
      </c>
    </row>
    <row r="234">
      <c r="A234" s="13" t="s">
        <v>19</v>
      </c>
      <c r="B234" s="14" t="s">
        <v>460</v>
      </c>
      <c r="C234" s="15" t="s">
        <v>494</v>
      </c>
      <c r="D234" s="7"/>
      <c r="E234" s="15" t="s">
        <v>505</v>
      </c>
      <c r="F234" s="16" t="s">
        <v>506</v>
      </c>
      <c r="G234" s="7"/>
      <c r="H234" s="27">
        <v>130.0</v>
      </c>
      <c r="I234" s="16"/>
      <c r="J234" s="18">
        <f t="shared" si="20"/>
        <v>195</v>
      </c>
      <c r="K234" s="18">
        <f t="shared" si="21"/>
        <v>169</v>
      </c>
      <c r="L234" s="19">
        <f t="shared" si="22"/>
        <v>169</v>
      </c>
      <c r="M234" s="19">
        <f t="shared" si="23"/>
        <v>156</v>
      </c>
      <c r="N234" s="19">
        <f t="shared" si="24"/>
        <v>149.5</v>
      </c>
      <c r="O234" s="19">
        <f t="shared" si="25"/>
        <v>143</v>
      </c>
    </row>
    <row r="235">
      <c r="A235" s="13" t="s">
        <v>19</v>
      </c>
      <c r="B235" s="14" t="s">
        <v>460</v>
      </c>
      <c r="C235" s="15" t="s">
        <v>494</v>
      </c>
      <c r="D235" s="7"/>
      <c r="E235" s="15" t="s">
        <v>507</v>
      </c>
      <c r="F235" s="16"/>
      <c r="G235" s="7"/>
      <c r="H235" s="27">
        <v>100.0</v>
      </c>
      <c r="I235" s="16"/>
      <c r="J235" s="18">
        <f t="shared" si="20"/>
        <v>150</v>
      </c>
      <c r="K235" s="18">
        <f t="shared" si="21"/>
        <v>130</v>
      </c>
      <c r="L235" s="19">
        <f t="shared" si="22"/>
        <v>130</v>
      </c>
      <c r="M235" s="19">
        <f t="shared" si="23"/>
        <v>120</v>
      </c>
      <c r="N235" s="19">
        <f t="shared" si="24"/>
        <v>115</v>
      </c>
      <c r="O235" s="19">
        <f t="shared" si="25"/>
        <v>110</v>
      </c>
    </row>
    <row r="236">
      <c r="A236" s="13" t="s">
        <v>19</v>
      </c>
      <c r="B236" s="14" t="s">
        <v>460</v>
      </c>
      <c r="C236" s="15" t="s">
        <v>508</v>
      </c>
      <c r="D236" s="7"/>
      <c r="E236" s="15" t="s">
        <v>509</v>
      </c>
      <c r="F236" s="16" t="s">
        <v>510</v>
      </c>
      <c r="G236" s="7"/>
      <c r="H236" s="27">
        <v>40.0</v>
      </c>
      <c r="I236" s="16"/>
      <c r="J236" s="18">
        <f t="shared" si="20"/>
        <v>60</v>
      </c>
      <c r="K236" s="18">
        <f t="shared" si="21"/>
        <v>52</v>
      </c>
      <c r="L236" s="19">
        <f t="shared" si="22"/>
        <v>52</v>
      </c>
      <c r="M236" s="19">
        <f t="shared" si="23"/>
        <v>48</v>
      </c>
      <c r="N236" s="19">
        <f t="shared" si="24"/>
        <v>46</v>
      </c>
      <c r="O236" s="19">
        <f t="shared" si="25"/>
        <v>44</v>
      </c>
    </row>
    <row r="237">
      <c r="A237" s="13" t="s">
        <v>19</v>
      </c>
      <c r="B237" s="14" t="s">
        <v>460</v>
      </c>
      <c r="C237" s="15" t="s">
        <v>511</v>
      </c>
      <c r="D237" s="7"/>
      <c r="E237" s="15" t="s">
        <v>512</v>
      </c>
      <c r="F237" s="16" t="s">
        <v>513</v>
      </c>
      <c r="G237" s="7"/>
      <c r="H237" s="27">
        <v>500.0</v>
      </c>
      <c r="I237" s="16"/>
      <c r="J237" s="18">
        <f t="shared" si="20"/>
        <v>750</v>
      </c>
      <c r="K237" s="18">
        <f t="shared" si="21"/>
        <v>650</v>
      </c>
      <c r="L237" s="19">
        <f t="shared" si="22"/>
        <v>650</v>
      </c>
      <c r="M237" s="19">
        <f t="shared" si="23"/>
        <v>600</v>
      </c>
      <c r="N237" s="19">
        <f t="shared" si="24"/>
        <v>575</v>
      </c>
      <c r="O237" s="19">
        <f t="shared" si="25"/>
        <v>550</v>
      </c>
    </row>
    <row r="238">
      <c r="A238" s="13" t="s">
        <v>19</v>
      </c>
      <c r="B238" s="14" t="s">
        <v>460</v>
      </c>
      <c r="C238" s="15" t="s">
        <v>514</v>
      </c>
      <c r="D238" s="7"/>
      <c r="E238" s="15" t="s">
        <v>515</v>
      </c>
      <c r="F238" s="16" t="s">
        <v>516</v>
      </c>
      <c r="G238" s="7"/>
      <c r="H238" s="27">
        <v>400.0</v>
      </c>
      <c r="I238" s="16"/>
      <c r="J238" s="18">
        <f t="shared" si="20"/>
        <v>600</v>
      </c>
      <c r="K238" s="18">
        <f t="shared" si="21"/>
        <v>520</v>
      </c>
      <c r="L238" s="19">
        <f t="shared" si="22"/>
        <v>520</v>
      </c>
      <c r="M238" s="19">
        <f t="shared" si="23"/>
        <v>480</v>
      </c>
      <c r="N238" s="19">
        <f t="shared" si="24"/>
        <v>460</v>
      </c>
      <c r="O238" s="19">
        <f t="shared" si="25"/>
        <v>440</v>
      </c>
    </row>
    <row r="239">
      <c r="A239" s="13" t="s">
        <v>19</v>
      </c>
      <c r="B239" s="14" t="s">
        <v>460</v>
      </c>
      <c r="C239" s="15" t="s">
        <v>517</v>
      </c>
      <c r="D239" s="7"/>
      <c r="E239" s="15" t="s">
        <v>518</v>
      </c>
      <c r="F239" s="16" t="s">
        <v>519</v>
      </c>
      <c r="G239" s="7"/>
      <c r="H239" s="27">
        <v>400.0</v>
      </c>
      <c r="I239" s="16"/>
      <c r="J239" s="18">
        <f t="shared" si="20"/>
        <v>600</v>
      </c>
      <c r="K239" s="18">
        <f t="shared" si="21"/>
        <v>520</v>
      </c>
      <c r="L239" s="19">
        <f t="shared" si="22"/>
        <v>520</v>
      </c>
      <c r="M239" s="19">
        <f t="shared" si="23"/>
        <v>480</v>
      </c>
      <c r="N239" s="19">
        <f t="shared" si="24"/>
        <v>460</v>
      </c>
      <c r="O239" s="19">
        <f t="shared" si="25"/>
        <v>440</v>
      </c>
    </row>
    <row r="240">
      <c r="A240" s="13" t="s">
        <v>19</v>
      </c>
      <c r="B240" s="14" t="s">
        <v>460</v>
      </c>
      <c r="C240" s="15" t="s">
        <v>494</v>
      </c>
      <c r="D240" s="7"/>
      <c r="E240" s="15" t="s">
        <v>520</v>
      </c>
      <c r="F240" s="16" t="s">
        <v>521</v>
      </c>
      <c r="G240" s="7"/>
      <c r="H240" s="27">
        <v>6200.0</v>
      </c>
      <c r="I240" s="16"/>
      <c r="J240" s="18">
        <f t="shared" si="20"/>
        <v>9300</v>
      </c>
      <c r="K240" s="18">
        <f t="shared" si="21"/>
        <v>8060</v>
      </c>
      <c r="L240" s="19">
        <f t="shared" si="22"/>
        <v>8060</v>
      </c>
      <c r="M240" s="19">
        <f t="shared" si="23"/>
        <v>7440</v>
      </c>
      <c r="N240" s="19">
        <f t="shared" si="24"/>
        <v>7130</v>
      </c>
      <c r="O240" s="19">
        <f t="shared" si="25"/>
        <v>6820</v>
      </c>
    </row>
    <row r="241">
      <c r="A241" s="13" t="s">
        <v>19</v>
      </c>
      <c r="B241" s="14" t="s">
        <v>460</v>
      </c>
      <c r="C241" s="15" t="s">
        <v>494</v>
      </c>
      <c r="D241" s="7"/>
      <c r="E241" s="15" t="s">
        <v>522</v>
      </c>
      <c r="F241" s="16" t="s">
        <v>523</v>
      </c>
      <c r="G241" s="7"/>
      <c r="H241" s="27">
        <v>130.0</v>
      </c>
      <c r="I241" s="16"/>
      <c r="J241" s="18">
        <f t="shared" si="20"/>
        <v>195</v>
      </c>
      <c r="K241" s="18">
        <f t="shared" si="21"/>
        <v>169</v>
      </c>
      <c r="L241" s="19">
        <f t="shared" si="22"/>
        <v>169</v>
      </c>
      <c r="M241" s="19">
        <f t="shared" si="23"/>
        <v>156</v>
      </c>
      <c r="N241" s="19">
        <f t="shared" si="24"/>
        <v>149.5</v>
      </c>
      <c r="O241" s="19">
        <f t="shared" si="25"/>
        <v>143</v>
      </c>
    </row>
    <row r="242">
      <c r="A242" s="13" t="s">
        <v>19</v>
      </c>
      <c r="B242" s="14" t="s">
        <v>460</v>
      </c>
      <c r="C242" s="15" t="s">
        <v>494</v>
      </c>
      <c r="D242" s="7"/>
      <c r="E242" s="15" t="s">
        <v>524</v>
      </c>
      <c r="F242" s="16" t="s">
        <v>525</v>
      </c>
      <c r="G242" s="7"/>
      <c r="H242" s="27">
        <v>130.0</v>
      </c>
      <c r="I242" s="16"/>
      <c r="J242" s="18">
        <f t="shared" si="20"/>
        <v>195</v>
      </c>
      <c r="K242" s="18">
        <f t="shared" si="21"/>
        <v>169</v>
      </c>
      <c r="L242" s="19">
        <f t="shared" si="22"/>
        <v>169</v>
      </c>
      <c r="M242" s="19">
        <f t="shared" si="23"/>
        <v>156</v>
      </c>
      <c r="N242" s="19">
        <f t="shared" si="24"/>
        <v>149.5</v>
      </c>
      <c r="O242" s="19">
        <f t="shared" si="25"/>
        <v>143</v>
      </c>
    </row>
    <row r="243">
      <c r="A243" s="13" t="s">
        <v>19</v>
      </c>
      <c r="B243" s="14" t="s">
        <v>460</v>
      </c>
      <c r="C243" s="15" t="s">
        <v>526</v>
      </c>
      <c r="D243" s="7"/>
      <c r="E243" s="15" t="s">
        <v>526</v>
      </c>
      <c r="F243" s="16" t="s">
        <v>527</v>
      </c>
      <c r="G243" s="7"/>
      <c r="H243" s="27">
        <v>40.0</v>
      </c>
      <c r="I243" s="16"/>
      <c r="J243" s="18">
        <f t="shared" si="20"/>
        <v>60</v>
      </c>
      <c r="K243" s="18">
        <f t="shared" si="21"/>
        <v>52</v>
      </c>
      <c r="L243" s="19">
        <f t="shared" si="22"/>
        <v>52</v>
      </c>
      <c r="M243" s="19">
        <f t="shared" si="23"/>
        <v>48</v>
      </c>
      <c r="N243" s="19">
        <f t="shared" si="24"/>
        <v>46</v>
      </c>
      <c r="O243" s="19">
        <f t="shared" si="25"/>
        <v>44</v>
      </c>
    </row>
    <row r="244">
      <c r="A244" s="13" t="s">
        <v>19</v>
      </c>
      <c r="B244" s="14" t="s">
        <v>460</v>
      </c>
      <c r="C244" s="15" t="s">
        <v>528</v>
      </c>
      <c r="D244" s="7"/>
      <c r="E244" s="15" t="s">
        <v>528</v>
      </c>
      <c r="F244" s="16" t="s">
        <v>529</v>
      </c>
      <c r="G244" s="7"/>
      <c r="H244" s="27">
        <v>400.0</v>
      </c>
      <c r="I244" s="16"/>
      <c r="J244" s="18">
        <f t="shared" si="20"/>
        <v>600</v>
      </c>
      <c r="K244" s="18">
        <f t="shared" si="21"/>
        <v>520</v>
      </c>
      <c r="L244" s="19">
        <f t="shared" si="22"/>
        <v>520</v>
      </c>
      <c r="M244" s="19">
        <f t="shared" si="23"/>
        <v>480</v>
      </c>
      <c r="N244" s="19">
        <f t="shared" si="24"/>
        <v>460</v>
      </c>
      <c r="O244" s="19">
        <f t="shared" si="25"/>
        <v>440</v>
      </c>
    </row>
    <row r="245">
      <c r="A245" s="13" t="s">
        <v>19</v>
      </c>
      <c r="B245" s="14" t="s">
        <v>460</v>
      </c>
      <c r="C245" s="15" t="s">
        <v>142</v>
      </c>
      <c r="D245" s="7"/>
      <c r="E245" s="15" t="s">
        <v>530</v>
      </c>
      <c r="F245" s="16" t="s">
        <v>531</v>
      </c>
      <c r="G245" s="7"/>
      <c r="H245" s="27">
        <v>3700.0</v>
      </c>
      <c r="I245" s="16"/>
      <c r="J245" s="18">
        <f t="shared" si="20"/>
        <v>5550</v>
      </c>
      <c r="K245" s="18">
        <f t="shared" si="21"/>
        <v>4810</v>
      </c>
      <c r="L245" s="19">
        <f t="shared" si="22"/>
        <v>4810</v>
      </c>
      <c r="M245" s="19">
        <f t="shared" si="23"/>
        <v>4440</v>
      </c>
      <c r="N245" s="19">
        <f t="shared" si="24"/>
        <v>4255</v>
      </c>
      <c r="O245" s="19">
        <f t="shared" si="25"/>
        <v>4070</v>
      </c>
    </row>
    <row r="246">
      <c r="A246" s="13" t="s">
        <v>19</v>
      </c>
      <c r="B246" s="14" t="s">
        <v>460</v>
      </c>
      <c r="C246" s="15" t="s">
        <v>142</v>
      </c>
      <c r="D246" s="7"/>
      <c r="E246" s="15" t="s">
        <v>530</v>
      </c>
      <c r="F246" s="16" t="s">
        <v>532</v>
      </c>
      <c r="G246" s="7"/>
      <c r="H246" s="27">
        <v>2500.0</v>
      </c>
      <c r="I246" s="16"/>
      <c r="J246" s="18">
        <f t="shared" si="20"/>
        <v>3750</v>
      </c>
      <c r="K246" s="18">
        <f t="shared" si="21"/>
        <v>3250</v>
      </c>
      <c r="L246" s="19">
        <f t="shared" si="22"/>
        <v>3250</v>
      </c>
      <c r="M246" s="19">
        <f t="shared" si="23"/>
        <v>3000</v>
      </c>
      <c r="N246" s="19">
        <f t="shared" si="24"/>
        <v>2875</v>
      </c>
      <c r="O246" s="19">
        <f t="shared" si="25"/>
        <v>2750</v>
      </c>
    </row>
    <row r="247">
      <c r="A247" s="13" t="s">
        <v>19</v>
      </c>
      <c r="B247" s="14" t="s">
        <v>460</v>
      </c>
      <c r="C247" s="15" t="s">
        <v>142</v>
      </c>
      <c r="D247" s="7"/>
      <c r="E247" s="15" t="s">
        <v>530</v>
      </c>
      <c r="F247" s="16" t="s">
        <v>533</v>
      </c>
      <c r="G247" s="7"/>
      <c r="H247" s="27">
        <v>650.0</v>
      </c>
      <c r="I247" s="16"/>
      <c r="J247" s="18">
        <f t="shared" si="20"/>
        <v>975</v>
      </c>
      <c r="K247" s="18">
        <f t="shared" si="21"/>
        <v>845</v>
      </c>
      <c r="L247" s="19">
        <f t="shared" si="22"/>
        <v>845</v>
      </c>
      <c r="M247" s="19">
        <f t="shared" si="23"/>
        <v>780</v>
      </c>
      <c r="N247" s="19">
        <f t="shared" si="24"/>
        <v>747.5</v>
      </c>
      <c r="O247" s="19">
        <f t="shared" si="25"/>
        <v>715</v>
      </c>
    </row>
    <row r="248">
      <c r="A248" s="13" t="s">
        <v>19</v>
      </c>
      <c r="B248" s="14" t="s">
        <v>460</v>
      </c>
      <c r="C248" s="15" t="s">
        <v>142</v>
      </c>
      <c r="D248" s="7"/>
      <c r="E248" s="15" t="s">
        <v>530</v>
      </c>
      <c r="F248" s="16" t="s">
        <v>534</v>
      </c>
      <c r="G248" s="7"/>
      <c r="H248" s="27">
        <v>1000.0</v>
      </c>
      <c r="I248" s="16"/>
      <c r="J248" s="18">
        <f t="shared" si="20"/>
        <v>1500</v>
      </c>
      <c r="K248" s="18">
        <f t="shared" si="21"/>
        <v>1300</v>
      </c>
      <c r="L248" s="19">
        <f t="shared" si="22"/>
        <v>1300</v>
      </c>
      <c r="M248" s="19">
        <f t="shared" si="23"/>
        <v>1200</v>
      </c>
      <c r="N248" s="19">
        <f t="shared" si="24"/>
        <v>1150</v>
      </c>
      <c r="O248" s="19">
        <f t="shared" si="25"/>
        <v>1100</v>
      </c>
    </row>
    <row r="249">
      <c r="A249" s="13" t="s">
        <v>19</v>
      </c>
      <c r="B249" s="14" t="s">
        <v>460</v>
      </c>
      <c r="C249" s="15" t="s">
        <v>142</v>
      </c>
      <c r="D249" s="7"/>
      <c r="E249" s="15" t="s">
        <v>530</v>
      </c>
      <c r="F249" s="16" t="s">
        <v>535</v>
      </c>
      <c r="G249" s="7"/>
      <c r="H249" s="27">
        <v>2500.0</v>
      </c>
      <c r="I249" s="16"/>
      <c r="J249" s="18">
        <f t="shared" si="20"/>
        <v>3750</v>
      </c>
      <c r="K249" s="18">
        <f t="shared" si="21"/>
        <v>3250</v>
      </c>
      <c r="L249" s="19">
        <f t="shared" si="22"/>
        <v>3250</v>
      </c>
      <c r="M249" s="19">
        <f t="shared" si="23"/>
        <v>3000</v>
      </c>
      <c r="N249" s="19">
        <f t="shared" si="24"/>
        <v>2875</v>
      </c>
      <c r="O249" s="19">
        <f t="shared" si="25"/>
        <v>2750</v>
      </c>
    </row>
    <row r="250">
      <c r="A250" s="13" t="s">
        <v>19</v>
      </c>
      <c r="B250" s="14" t="s">
        <v>460</v>
      </c>
      <c r="C250" s="15" t="s">
        <v>142</v>
      </c>
      <c r="D250" s="7"/>
      <c r="E250" s="15" t="s">
        <v>530</v>
      </c>
      <c r="F250" s="16" t="s">
        <v>536</v>
      </c>
      <c r="G250" s="7"/>
      <c r="H250" s="27">
        <v>1900.0</v>
      </c>
      <c r="I250" s="16"/>
      <c r="J250" s="18">
        <f t="shared" si="20"/>
        <v>2850</v>
      </c>
      <c r="K250" s="18">
        <f t="shared" si="21"/>
        <v>2470</v>
      </c>
      <c r="L250" s="19">
        <f t="shared" si="22"/>
        <v>2470</v>
      </c>
      <c r="M250" s="19">
        <f t="shared" si="23"/>
        <v>2280</v>
      </c>
      <c r="N250" s="19">
        <f t="shared" si="24"/>
        <v>2185</v>
      </c>
      <c r="O250" s="19">
        <f t="shared" si="25"/>
        <v>2090</v>
      </c>
    </row>
    <row r="251">
      <c r="A251" s="13" t="s">
        <v>19</v>
      </c>
      <c r="B251" s="14" t="s">
        <v>460</v>
      </c>
      <c r="C251" s="15" t="s">
        <v>142</v>
      </c>
      <c r="D251" s="7"/>
      <c r="E251" s="15" t="s">
        <v>530</v>
      </c>
      <c r="F251" s="16" t="s">
        <v>537</v>
      </c>
      <c r="G251" s="7"/>
      <c r="H251" s="27">
        <v>1500.0</v>
      </c>
      <c r="I251" s="16"/>
      <c r="J251" s="18">
        <f t="shared" si="20"/>
        <v>2250</v>
      </c>
      <c r="K251" s="18">
        <f t="shared" si="21"/>
        <v>1950</v>
      </c>
      <c r="L251" s="19">
        <f t="shared" si="22"/>
        <v>1950</v>
      </c>
      <c r="M251" s="19">
        <f t="shared" si="23"/>
        <v>1800</v>
      </c>
      <c r="N251" s="19">
        <f t="shared" si="24"/>
        <v>1725</v>
      </c>
      <c r="O251" s="19">
        <f t="shared" si="25"/>
        <v>1650</v>
      </c>
    </row>
    <row r="252">
      <c r="A252" s="13" t="s">
        <v>19</v>
      </c>
      <c r="B252" s="14" t="s">
        <v>460</v>
      </c>
      <c r="C252" s="15" t="s">
        <v>142</v>
      </c>
      <c r="D252" s="7"/>
      <c r="E252" s="15" t="s">
        <v>538</v>
      </c>
      <c r="F252" s="16" t="s">
        <v>539</v>
      </c>
      <c r="G252" s="7"/>
      <c r="H252" s="27">
        <v>5000.0</v>
      </c>
      <c r="I252" s="16"/>
      <c r="J252" s="18">
        <f t="shared" si="20"/>
        <v>7500</v>
      </c>
      <c r="K252" s="18">
        <f t="shared" si="21"/>
        <v>6500</v>
      </c>
      <c r="L252" s="19">
        <f t="shared" si="22"/>
        <v>6500</v>
      </c>
      <c r="M252" s="19">
        <f t="shared" si="23"/>
        <v>6000</v>
      </c>
      <c r="N252" s="19">
        <f t="shared" si="24"/>
        <v>5750</v>
      </c>
      <c r="O252" s="19">
        <f t="shared" si="25"/>
        <v>5500</v>
      </c>
    </row>
    <row r="253">
      <c r="A253" s="13" t="s">
        <v>19</v>
      </c>
      <c r="B253" s="14" t="s">
        <v>460</v>
      </c>
      <c r="C253" s="15" t="s">
        <v>540</v>
      </c>
      <c r="D253" s="7"/>
      <c r="E253" s="15" t="s">
        <v>541</v>
      </c>
      <c r="F253" s="16" t="s">
        <v>542</v>
      </c>
      <c r="G253" s="7"/>
      <c r="H253" s="27">
        <v>1300.0</v>
      </c>
      <c r="I253" s="16"/>
      <c r="J253" s="18">
        <f t="shared" si="20"/>
        <v>1950</v>
      </c>
      <c r="K253" s="18">
        <f t="shared" si="21"/>
        <v>1690</v>
      </c>
      <c r="L253" s="19">
        <f t="shared" si="22"/>
        <v>1690</v>
      </c>
      <c r="M253" s="19">
        <f t="shared" si="23"/>
        <v>1560</v>
      </c>
      <c r="N253" s="19">
        <f t="shared" si="24"/>
        <v>1495</v>
      </c>
      <c r="O253" s="19">
        <f t="shared" si="25"/>
        <v>1430</v>
      </c>
    </row>
    <row r="254">
      <c r="A254" s="13" t="s">
        <v>19</v>
      </c>
      <c r="B254" s="14" t="s">
        <v>460</v>
      </c>
      <c r="C254" s="15" t="s">
        <v>540</v>
      </c>
      <c r="D254" s="7"/>
      <c r="E254" s="15" t="s">
        <v>541</v>
      </c>
      <c r="F254" s="16" t="s">
        <v>543</v>
      </c>
      <c r="G254" s="7"/>
      <c r="H254" s="27">
        <v>1300.0</v>
      </c>
      <c r="I254" s="16"/>
      <c r="J254" s="18">
        <f t="shared" si="20"/>
        <v>1950</v>
      </c>
      <c r="K254" s="18">
        <f t="shared" si="21"/>
        <v>1690</v>
      </c>
      <c r="L254" s="19">
        <f t="shared" si="22"/>
        <v>1690</v>
      </c>
      <c r="M254" s="19">
        <f t="shared" si="23"/>
        <v>1560</v>
      </c>
      <c r="N254" s="19">
        <f t="shared" si="24"/>
        <v>1495</v>
      </c>
      <c r="O254" s="19">
        <f t="shared" si="25"/>
        <v>1430</v>
      </c>
    </row>
    <row r="255">
      <c r="A255" s="13" t="s">
        <v>19</v>
      </c>
      <c r="B255" s="14" t="s">
        <v>460</v>
      </c>
      <c r="C255" s="15" t="s">
        <v>540</v>
      </c>
      <c r="D255" s="7"/>
      <c r="E255" s="15" t="s">
        <v>541</v>
      </c>
      <c r="F255" s="16" t="s">
        <v>542</v>
      </c>
      <c r="G255" s="7"/>
      <c r="H255" s="27">
        <v>1300.0</v>
      </c>
      <c r="I255" s="16"/>
      <c r="J255" s="18">
        <f t="shared" si="20"/>
        <v>1950</v>
      </c>
      <c r="K255" s="18">
        <f t="shared" si="21"/>
        <v>1690</v>
      </c>
      <c r="L255" s="19">
        <f t="shared" si="22"/>
        <v>1690</v>
      </c>
      <c r="M255" s="19">
        <f t="shared" si="23"/>
        <v>1560</v>
      </c>
      <c r="N255" s="19">
        <f t="shared" si="24"/>
        <v>1495</v>
      </c>
      <c r="O255" s="19">
        <f t="shared" si="25"/>
        <v>1430</v>
      </c>
    </row>
    <row r="256">
      <c r="A256" s="13" t="s">
        <v>19</v>
      </c>
      <c r="B256" s="14" t="s">
        <v>460</v>
      </c>
      <c r="C256" s="15" t="s">
        <v>540</v>
      </c>
      <c r="D256" s="7"/>
      <c r="E256" s="15" t="s">
        <v>541</v>
      </c>
      <c r="F256" s="16" t="s">
        <v>544</v>
      </c>
      <c r="G256" s="7"/>
      <c r="H256" s="27">
        <v>1300.0</v>
      </c>
      <c r="I256" s="16"/>
      <c r="J256" s="18">
        <f t="shared" si="20"/>
        <v>1950</v>
      </c>
      <c r="K256" s="18">
        <f t="shared" si="21"/>
        <v>1690</v>
      </c>
      <c r="L256" s="19">
        <f t="shared" si="22"/>
        <v>1690</v>
      </c>
      <c r="M256" s="19">
        <f t="shared" si="23"/>
        <v>1560</v>
      </c>
      <c r="N256" s="19">
        <f t="shared" si="24"/>
        <v>1495</v>
      </c>
      <c r="O256" s="19">
        <f t="shared" si="25"/>
        <v>1430</v>
      </c>
    </row>
    <row r="257">
      <c r="A257" s="13" t="s">
        <v>19</v>
      </c>
      <c r="B257" s="14" t="s">
        <v>460</v>
      </c>
      <c r="C257" s="15" t="s">
        <v>540</v>
      </c>
      <c r="D257" s="7"/>
      <c r="E257" s="15" t="s">
        <v>541</v>
      </c>
      <c r="F257" s="16" t="s">
        <v>545</v>
      </c>
      <c r="G257" s="7"/>
      <c r="H257" s="27">
        <v>1900.0</v>
      </c>
      <c r="I257" s="16"/>
      <c r="J257" s="18">
        <f t="shared" si="20"/>
        <v>2850</v>
      </c>
      <c r="K257" s="18">
        <f t="shared" si="21"/>
        <v>2470</v>
      </c>
      <c r="L257" s="19">
        <f t="shared" si="22"/>
        <v>2470</v>
      </c>
      <c r="M257" s="19">
        <f t="shared" si="23"/>
        <v>2280</v>
      </c>
      <c r="N257" s="19">
        <f t="shared" si="24"/>
        <v>2185</v>
      </c>
      <c r="O257" s="19">
        <f t="shared" si="25"/>
        <v>2090</v>
      </c>
    </row>
    <row r="258">
      <c r="A258" s="13" t="s">
        <v>19</v>
      </c>
      <c r="B258" s="14" t="s">
        <v>460</v>
      </c>
      <c r="C258" s="15" t="s">
        <v>540</v>
      </c>
      <c r="D258" s="7"/>
      <c r="E258" s="15" t="s">
        <v>541</v>
      </c>
      <c r="F258" s="16" t="s">
        <v>546</v>
      </c>
      <c r="G258" s="7"/>
      <c r="H258" s="27">
        <v>1900.0</v>
      </c>
      <c r="I258" s="16"/>
      <c r="J258" s="18">
        <f t="shared" si="20"/>
        <v>2850</v>
      </c>
      <c r="K258" s="18">
        <f t="shared" si="21"/>
        <v>2470</v>
      </c>
      <c r="L258" s="19">
        <f t="shared" si="22"/>
        <v>2470</v>
      </c>
      <c r="M258" s="19">
        <f t="shared" si="23"/>
        <v>2280</v>
      </c>
      <c r="N258" s="19">
        <f t="shared" si="24"/>
        <v>2185</v>
      </c>
      <c r="O258" s="19">
        <f t="shared" si="25"/>
        <v>2090</v>
      </c>
    </row>
    <row r="259">
      <c r="A259" s="13" t="s">
        <v>19</v>
      </c>
      <c r="B259" s="14" t="s">
        <v>460</v>
      </c>
      <c r="C259" s="15" t="s">
        <v>540</v>
      </c>
      <c r="D259" s="7"/>
      <c r="E259" s="15" t="s">
        <v>541</v>
      </c>
      <c r="F259" s="16" t="s">
        <v>547</v>
      </c>
      <c r="G259" s="7"/>
      <c r="H259" s="27">
        <v>1600.0</v>
      </c>
      <c r="I259" s="16"/>
      <c r="J259" s="18">
        <f t="shared" si="20"/>
        <v>2400</v>
      </c>
      <c r="K259" s="18">
        <f t="shared" si="21"/>
        <v>2080</v>
      </c>
      <c r="L259" s="19">
        <f t="shared" si="22"/>
        <v>2080</v>
      </c>
      <c r="M259" s="19">
        <f t="shared" si="23"/>
        <v>1920</v>
      </c>
      <c r="N259" s="19">
        <f t="shared" si="24"/>
        <v>1840</v>
      </c>
      <c r="O259" s="19">
        <f t="shared" si="25"/>
        <v>1760</v>
      </c>
    </row>
    <row r="260">
      <c r="A260" s="13" t="s">
        <v>19</v>
      </c>
      <c r="B260" s="14" t="s">
        <v>460</v>
      </c>
      <c r="C260" s="15" t="s">
        <v>540</v>
      </c>
      <c r="D260" s="7"/>
      <c r="E260" s="15" t="s">
        <v>541</v>
      </c>
      <c r="F260" s="16" t="s">
        <v>548</v>
      </c>
      <c r="G260" s="7"/>
      <c r="H260" s="27">
        <v>3500.0</v>
      </c>
      <c r="I260" s="16"/>
      <c r="J260" s="18">
        <f t="shared" si="20"/>
        <v>5250</v>
      </c>
      <c r="K260" s="18">
        <f t="shared" si="21"/>
        <v>4550</v>
      </c>
      <c r="L260" s="19">
        <f t="shared" si="22"/>
        <v>4550</v>
      </c>
      <c r="M260" s="19">
        <f t="shared" si="23"/>
        <v>4200</v>
      </c>
      <c r="N260" s="19">
        <f t="shared" si="24"/>
        <v>4025</v>
      </c>
      <c r="O260" s="19">
        <f t="shared" si="25"/>
        <v>3850</v>
      </c>
    </row>
    <row r="261">
      <c r="A261" s="13" t="s">
        <v>19</v>
      </c>
      <c r="B261" s="14" t="s">
        <v>460</v>
      </c>
      <c r="C261" s="15" t="s">
        <v>540</v>
      </c>
      <c r="D261" s="7"/>
      <c r="E261" s="15" t="s">
        <v>549</v>
      </c>
      <c r="F261" s="16" t="s">
        <v>501</v>
      </c>
      <c r="G261" s="7"/>
      <c r="H261" s="27">
        <v>1900.0</v>
      </c>
      <c r="I261" s="16"/>
      <c r="J261" s="18">
        <f t="shared" si="20"/>
        <v>2850</v>
      </c>
      <c r="K261" s="18">
        <f t="shared" si="21"/>
        <v>2470</v>
      </c>
      <c r="L261" s="19">
        <f t="shared" si="22"/>
        <v>2470</v>
      </c>
      <c r="M261" s="19">
        <f t="shared" si="23"/>
        <v>2280</v>
      </c>
      <c r="N261" s="19">
        <f t="shared" si="24"/>
        <v>2185</v>
      </c>
      <c r="O261" s="19">
        <f t="shared" si="25"/>
        <v>2090</v>
      </c>
    </row>
    <row r="262">
      <c r="A262" s="13" t="s">
        <v>19</v>
      </c>
      <c r="B262" s="14" t="s">
        <v>460</v>
      </c>
      <c r="C262" s="15" t="s">
        <v>540</v>
      </c>
      <c r="D262" s="7"/>
      <c r="E262" s="15" t="s">
        <v>550</v>
      </c>
      <c r="F262" s="16" t="s">
        <v>551</v>
      </c>
      <c r="G262" s="7"/>
      <c r="H262" s="27">
        <v>2500.0</v>
      </c>
      <c r="I262" s="16"/>
      <c r="J262" s="18">
        <f t="shared" si="20"/>
        <v>3750</v>
      </c>
      <c r="K262" s="18">
        <f t="shared" si="21"/>
        <v>3250</v>
      </c>
      <c r="L262" s="19">
        <f t="shared" si="22"/>
        <v>3250</v>
      </c>
      <c r="M262" s="19">
        <f t="shared" si="23"/>
        <v>3000</v>
      </c>
      <c r="N262" s="19">
        <f t="shared" si="24"/>
        <v>2875</v>
      </c>
      <c r="O262" s="19">
        <f t="shared" si="25"/>
        <v>2750</v>
      </c>
    </row>
    <row r="263">
      <c r="A263" s="13" t="s">
        <v>19</v>
      </c>
      <c r="B263" s="14" t="s">
        <v>460</v>
      </c>
      <c r="C263" s="15" t="s">
        <v>540</v>
      </c>
      <c r="D263" s="7"/>
      <c r="E263" s="15" t="s">
        <v>552</v>
      </c>
      <c r="F263" s="16" t="s">
        <v>553</v>
      </c>
      <c r="G263" s="7"/>
      <c r="H263" s="27">
        <v>4350.0</v>
      </c>
      <c r="I263" s="16"/>
      <c r="J263" s="18">
        <f t="shared" si="20"/>
        <v>6525</v>
      </c>
      <c r="K263" s="18">
        <f t="shared" si="21"/>
        <v>5655</v>
      </c>
      <c r="L263" s="19">
        <f t="shared" si="22"/>
        <v>5655</v>
      </c>
      <c r="M263" s="19">
        <f t="shared" si="23"/>
        <v>5220</v>
      </c>
      <c r="N263" s="19">
        <f t="shared" si="24"/>
        <v>5002.5</v>
      </c>
      <c r="O263" s="19">
        <f t="shared" si="25"/>
        <v>4785</v>
      </c>
    </row>
    <row r="264">
      <c r="A264" s="13" t="s">
        <v>19</v>
      </c>
      <c r="B264" s="14" t="s">
        <v>460</v>
      </c>
      <c r="C264" s="15" t="s">
        <v>540</v>
      </c>
      <c r="D264" s="7"/>
      <c r="E264" s="15" t="s">
        <v>554</v>
      </c>
      <c r="F264" s="16" t="s">
        <v>555</v>
      </c>
      <c r="G264" s="7"/>
      <c r="H264" s="27">
        <v>3700.0</v>
      </c>
      <c r="I264" s="16"/>
      <c r="J264" s="18">
        <f t="shared" si="20"/>
        <v>5550</v>
      </c>
      <c r="K264" s="18">
        <f t="shared" si="21"/>
        <v>4810</v>
      </c>
      <c r="L264" s="19">
        <f t="shared" si="22"/>
        <v>4810</v>
      </c>
      <c r="M264" s="19">
        <f t="shared" si="23"/>
        <v>4440</v>
      </c>
      <c r="N264" s="19">
        <f t="shared" si="24"/>
        <v>4255</v>
      </c>
      <c r="O264" s="19">
        <f t="shared" si="25"/>
        <v>4070</v>
      </c>
    </row>
    <row r="265">
      <c r="A265" s="13" t="s">
        <v>19</v>
      </c>
      <c r="B265" s="14" t="s">
        <v>460</v>
      </c>
      <c r="C265" s="15" t="s">
        <v>540</v>
      </c>
      <c r="D265" s="7"/>
      <c r="E265" s="15" t="s">
        <v>556</v>
      </c>
      <c r="F265" s="16" t="s">
        <v>557</v>
      </c>
      <c r="G265" s="7"/>
      <c r="H265" s="27">
        <v>3700.0</v>
      </c>
      <c r="I265" s="16"/>
      <c r="J265" s="18">
        <f t="shared" si="20"/>
        <v>5550</v>
      </c>
      <c r="K265" s="18">
        <f t="shared" si="21"/>
        <v>4810</v>
      </c>
      <c r="L265" s="19">
        <f t="shared" si="22"/>
        <v>4810</v>
      </c>
      <c r="M265" s="19">
        <f t="shared" si="23"/>
        <v>4440</v>
      </c>
      <c r="N265" s="19">
        <f t="shared" si="24"/>
        <v>4255</v>
      </c>
      <c r="O265" s="19">
        <f t="shared" si="25"/>
        <v>4070</v>
      </c>
    </row>
    <row r="266">
      <c r="A266" s="13" t="s">
        <v>19</v>
      </c>
      <c r="B266" s="14" t="s">
        <v>460</v>
      </c>
      <c r="C266" s="15" t="s">
        <v>540</v>
      </c>
      <c r="D266" s="7"/>
      <c r="E266" s="15" t="s">
        <v>558</v>
      </c>
      <c r="F266" s="16" t="s">
        <v>559</v>
      </c>
      <c r="G266" s="7"/>
      <c r="H266" s="27">
        <v>1300.0</v>
      </c>
      <c r="I266" s="16"/>
      <c r="J266" s="18">
        <f t="shared" si="20"/>
        <v>1950</v>
      </c>
      <c r="K266" s="18">
        <f t="shared" si="21"/>
        <v>1690</v>
      </c>
      <c r="L266" s="19">
        <f t="shared" si="22"/>
        <v>1690</v>
      </c>
      <c r="M266" s="19">
        <f t="shared" si="23"/>
        <v>1560</v>
      </c>
      <c r="N266" s="19">
        <f t="shared" si="24"/>
        <v>1495</v>
      </c>
      <c r="O266" s="19">
        <f t="shared" si="25"/>
        <v>1430</v>
      </c>
    </row>
    <row r="267">
      <c r="A267" s="13" t="s">
        <v>19</v>
      </c>
      <c r="B267" s="14" t="s">
        <v>460</v>
      </c>
      <c r="C267" s="15" t="s">
        <v>560</v>
      </c>
      <c r="D267" s="7"/>
      <c r="E267" s="15" t="s">
        <v>561</v>
      </c>
      <c r="F267" s="16" t="s">
        <v>562</v>
      </c>
      <c r="G267" s="7"/>
      <c r="H267" s="27">
        <v>4000.0</v>
      </c>
      <c r="I267" s="16"/>
      <c r="J267" s="18">
        <f t="shared" si="20"/>
        <v>6000</v>
      </c>
      <c r="K267" s="18">
        <f t="shared" si="21"/>
        <v>5200</v>
      </c>
      <c r="L267" s="19">
        <f t="shared" si="22"/>
        <v>5200</v>
      </c>
      <c r="M267" s="19">
        <f t="shared" si="23"/>
        <v>4800</v>
      </c>
      <c r="N267" s="19">
        <f t="shared" si="24"/>
        <v>4600</v>
      </c>
      <c r="O267" s="19">
        <f t="shared" si="25"/>
        <v>4400</v>
      </c>
    </row>
    <row r="268">
      <c r="A268" s="13" t="s">
        <v>19</v>
      </c>
      <c r="B268" s="14" t="s">
        <v>460</v>
      </c>
      <c r="C268" s="14" t="s">
        <v>563</v>
      </c>
      <c r="D268" s="7"/>
      <c r="E268" s="15" t="s">
        <v>564</v>
      </c>
      <c r="F268" s="16" t="s">
        <v>565</v>
      </c>
      <c r="G268" s="7"/>
      <c r="H268" s="27">
        <v>6200.0</v>
      </c>
      <c r="I268" s="16"/>
      <c r="J268" s="18">
        <f t="shared" si="20"/>
        <v>9300</v>
      </c>
      <c r="K268" s="18">
        <f t="shared" si="21"/>
        <v>8060</v>
      </c>
      <c r="L268" s="19">
        <f t="shared" si="22"/>
        <v>8060</v>
      </c>
      <c r="M268" s="19">
        <f t="shared" si="23"/>
        <v>7440</v>
      </c>
      <c r="N268" s="19">
        <f t="shared" si="24"/>
        <v>7130</v>
      </c>
      <c r="O268" s="19">
        <f t="shared" si="25"/>
        <v>6820</v>
      </c>
    </row>
    <row r="269">
      <c r="A269" s="13" t="s">
        <v>19</v>
      </c>
      <c r="B269" s="14" t="s">
        <v>460</v>
      </c>
      <c r="C269" s="14" t="s">
        <v>563</v>
      </c>
      <c r="D269" s="7"/>
      <c r="E269" s="15" t="s">
        <v>566</v>
      </c>
      <c r="F269" s="16" t="s">
        <v>567</v>
      </c>
      <c r="G269" s="7"/>
      <c r="H269" s="27">
        <v>5000.0</v>
      </c>
      <c r="I269" s="16"/>
      <c r="J269" s="18">
        <f t="shared" si="20"/>
        <v>7500</v>
      </c>
      <c r="K269" s="18">
        <f t="shared" si="21"/>
        <v>6500</v>
      </c>
      <c r="L269" s="19">
        <f t="shared" si="22"/>
        <v>6500</v>
      </c>
      <c r="M269" s="19">
        <f t="shared" si="23"/>
        <v>6000</v>
      </c>
      <c r="N269" s="19">
        <f t="shared" si="24"/>
        <v>5750</v>
      </c>
      <c r="O269" s="19">
        <f t="shared" si="25"/>
        <v>5500</v>
      </c>
    </row>
    <row r="270">
      <c r="A270" s="13" t="s">
        <v>19</v>
      </c>
      <c r="B270" s="14" t="s">
        <v>460</v>
      </c>
      <c r="C270" s="14" t="s">
        <v>563</v>
      </c>
      <c r="D270" s="7"/>
      <c r="E270" s="15" t="s">
        <v>566</v>
      </c>
      <c r="F270" s="16" t="s">
        <v>568</v>
      </c>
      <c r="G270" s="7"/>
      <c r="H270" s="27">
        <v>5600.0</v>
      </c>
      <c r="I270" s="16"/>
      <c r="J270" s="18">
        <f t="shared" si="20"/>
        <v>8400</v>
      </c>
      <c r="K270" s="18">
        <f t="shared" si="21"/>
        <v>7280</v>
      </c>
      <c r="L270" s="19">
        <f t="shared" si="22"/>
        <v>7280</v>
      </c>
      <c r="M270" s="19">
        <f t="shared" si="23"/>
        <v>6720</v>
      </c>
      <c r="N270" s="19">
        <f t="shared" si="24"/>
        <v>6440</v>
      </c>
      <c r="O270" s="19">
        <f t="shared" si="25"/>
        <v>6160</v>
      </c>
    </row>
    <row r="271">
      <c r="A271" s="13" t="s">
        <v>19</v>
      </c>
      <c r="B271" s="14" t="s">
        <v>460</v>
      </c>
      <c r="C271" s="14" t="s">
        <v>563</v>
      </c>
      <c r="D271" s="7"/>
      <c r="E271" s="15" t="s">
        <v>569</v>
      </c>
      <c r="F271" s="16" t="s">
        <v>570</v>
      </c>
      <c r="G271" s="7"/>
      <c r="H271" s="27">
        <v>5000.0</v>
      </c>
      <c r="I271" s="16"/>
      <c r="J271" s="18">
        <f t="shared" si="20"/>
        <v>7500</v>
      </c>
      <c r="K271" s="18">
        <f t="shared" si="21"/>
        <v>6500</v>
      </c>
      <c r="L271" s="19">
        <f t="shared" si="22"/>
        <v>6500</v>
      </c>
      <c r="M271" s="19">
        <f t="shared" si="23"/>
        <v>6000</v>
      </c>
      <c r="N271" s="19">
        <f t="shared" si="24"/>
        <v>5750</v>
      </c>
      <c r="O271" s="19">
        <f t="shared" si="25"/>
        <v>5500</v>
      </c>
    </row>
    <row r="272">
      <c r="A272" s="13" t="s">
        <v>19</v>
      </c>
      <c r="B272" s="14" t="s">
        <v>460</v>
      </c>
      <c r="C272" s="14" t="s">
        <v>563</v>
      </c>
      <c r="D272" s="7"/>
      <c r="E272" s="15" t="s">
        <v>571</v>
      </c>
      <c r="F272" s="16"/>
      <c r="G272" s="7"/>
      <c r="H272" s="27">
        <v>5000.0</v>
      </c>
      <c r="I272" s="16"/>
      <c r="J272" s="18">
        <f t="shared" si="20"/>
        <v>7500</v>
      </c>
      <c r="K272" s="18">
        <f t="shared" si="21"/>
        <v>6500</v>
      </c>
      <c r="L272" s="19">
        <f t="shared" si="22"/>
        <v>6500</v>
      </c>
      <c r="M272" s="19">
        <f t="shared" si="23"/>
        <v>6000</v>
      </c>
      <c r="N272" s="19">
        <f t="shared" si="24"/>
        <v>5750</v>
      </c>
      <c r="O272" s="19">
        <f t="shared" si="25"/>
        <v>5500</v>
      </c>
    </row>
    <row r="273">
      <c r="A273" s="13" t="s">
        <v>19</v>
      </c>
      <c r="B273" s="14" t="s">
        <v>460</v>
      </c>
      <c r="C273" s="14" t="s">
        <v>563</v>
      </c>
      <c r="D273" s="7"/>
      <c r="E273" s="15" t="s">
        <v>572</v>
      </c>
      <c r="F273" s="16" t="s">
        <v>573</v>
      </c>
      <c r="G273" s="7"/>
      <c r="H273" s="27">
        <v>7400.0</v>
      </c>
      <c r="I273" s="16"/>
      <c r="J273" s="18">
        <f t="shared" si="20"/>
        <v>11100</v>
      </c>
      <c r="K273" s="18">
        <f t="shared" si="21"/>
        <v>9620</v>
      </c>
      <c r="L273" s="19">
        <f t="shared" si="22"/>
        <v>9620</v>
      </c>
      <c r="M273" s="19">
        <f t="shared" si="23"/>
        <v>8880</v>
      </c>
      <c r="N273" s="19">
        <f t="shared" si="24"/>
        <v>8510</v>
      </c>
      <c r="O273" s="19">
        <f t="shared" si="25"/>
        <v>8140</v>
      </c>
    </row>
    <row r="274">
      <c r="A274" s="13" t="s">
        <v>19</v>
      </c>
      <c r="B274" s="14" t="s">
        <v>460</v>
      </c>
      <c r="C274" s="14" t="s">
        <v>563</v>
      </c>
      <c r="D274" s="7"/>
      <c r="E274" s="15" t="s">
        <v>574</v>
      </c>
      <c r="F274" s="16" t="s">
        <v>575</v>
      </c>
      <c r="G274" s="7"/>
      <c r="H274" s="27">
        <v>3700.0</v>
      </c>
      <c r="I274" s="16"/>
      <c r="J274" s="18">
        <f t="shared" si="20"/>
        <v>5550</v>
      </c>
      <c r="K274" s="18">
        <f t="shared" si="21"/>
        <v>4810</v>
      </c>
      <c r="L274" s="19">
        <f t="shared" si="22"/>
        <v>4810</v>
      </c>
      <c r="M274" s="19">
        <f t="shared" si="23"/>
        <v>4440</v>
      </c>
      <c r="N274" s="19">
        <f t="shared" si="24"/>
        <v>4255</v>
      </c>
      <c r="O274" s="19">
        <f t="shared" si="25"/>
        <v>4070</v>
      </c>
    </row>
    <row r="275">
      <c r="A275" s="13" t="s">
        <v>19</v>
      </c>
      <c r="B275" s="14" t="s">
        <v>460</v>
      </c>
      <c r="C275" s="14" t="s">
        <v>563</v>
      </c>
      <c r="D275" s="7"/>
      <c r="E275" s="15" t="s">
        <v>576</v>
      </c>
      <c r="F275" s="16" t="s">
        <v>577</v>
      </c>
      <c r="G275" s="7"/>
      <c r="H275" s="27">
        <v>6200.0</v>
      </c>
      <c r="I275" s="16"/>
      <c r="J275" s="18">
        <f t="shared" si="20"/>
        <v>9300</v>
      </c>
      <c r="K275" s="18">
        <f t="shared" si="21"/>
        <v>8060</v>
      </c>
      <c r="L275" s="19">
        <f t="shared" si="22"/>
        <v>8060</v>
      </c>
      <c r="M275" s="19">
        <f t="shared" si="23"/>
        <v>7440</v>
      </c>
      <c r="N275" s="19">
        <f t="shared" si="24"/>
        <v>7130</v>
      </c>
      <c r="O275" s="19">
        <f t="shared" si="25"/>
        <v>6820</v>
      </c>
    </row>
    <row r="276">
      <c r="A276" s="13" t="s">
        <v>19</v>
      </c>
      <c r="B276" s="14" t="s">
        <v>460</v>
      </c>
      <c r="C276" s="14" t="s">
        <v>563</v>
      </c>
      <c r="D276" s="7"/>
      <c r="E276" s="15" t="s">
        <v>576</v>
      </c>
      <c r="F276" s="16" t="s">
        <v>578</v>
      </c>
      <c r="G276" s="7"/>
      <c r="H276" s="27">
        <v>7400.0</v>
      </c>
      <c r="I276" s="16"/>
      <c r="J276" s="18">
        <f t="shared" si="20"/>
        <v>11100</v>
      </c>
      <c r="K276" s="18">
        <f t="shared" si="21"/>
        <v>9620</v>
      </c>
      <c r="L276" s="19">
        <f t="shared" si="22"/>
        <v>9620</v>
      </c>
      <c r="M276" s="19">
        <f t="shared" si="23"/>
        <v>8880</v>
      </c>
      <c r="N276" s="19">
        <f t="shared" si="24"/>
        <v>8510</v>
      </c>
      <c r="O276" s="19">
        <f t="shared" si="25"/>
        <v>8140</v>
      </c>
    </row>
    <row r="277">
      <c r="A277" s="13" t="s">
        <v>19</v>
      </c>
      <c r="B277" s="14" t="s">
        <v>460</v>
      </c>
      <c r="C277" s="14" t="s">
        <v>563</v>
      </c>
      <c r="D277" s="7"/>
      <c r="E277" s="15" t="s">
        <v>579</v>
      </c>
      <c r="F277" s="16" t="s">
        <v>577</v>
      </c>
      <c r="G277" s="7"/>
      <c r="H277" s="27">
        <v>3100.0</v>
      </c>
      <c r="I277" s="16"/>
      <c r="J277" s="18">
        <f t="shared" si="20"/>
        <v>4650</v>
      </c>
      <c r="K277" s="18">
        <f t="shared" si="21"/>
        <v>4030</v>
      </c>
      <c r="L277" s="19">
        <f t="shared" si="22"/>
        <v>4030</v>
      </c>
      <c r="M277" s="19">
        <f t="shared" si="23"/>
        <v>3720</v>
      </c>
      <c r="N277" s="19">
        <f t="shared" si="24"/>
        <v>3565</v>
      </c>
      <c r="O277" s="19">
        <f t="shared" si="25"/>
        <v>3410</v>
      </c>
    </row>
    <row r="278">
      <c r="A278" s="13" t="s">
        <v>19</v>
      </c>
      <c r="B278" s="14" t="s">
        <v>460</v>
      </c>
      <c r="C278" s="14" t="s">
        <v>563</v>
      </c>
      <c r="D278" s="7"/>
      <c r="E278" s="15" t="s">
        <v>579</v>
      </c>
      <c r="F278" s="16" t="s">
        <v>580</v>
      </c>
      <c r="G278" s="7"/>
      <c r="H278" s="27">
        <v>3400.0</v>
      </c>
      <c r="I278" s="16"/>
      <c r="J278" s="18">
        <f t="shared" si="20"/>
        <v>5100</v>
      </c>
      <c r="K278" s="18">
        <f t="shared" si="21"/>
        <v>4420</v>
      </c>
      <c r="L278" s="19">
        <f t="shared" si="22"/>
        <v>4420</v>
      </c>
      <c r="M278" s="19">
        <f t="shared" si="23"/>
        <v>4080</v>
      </c>
      <c r="N278" s="19">
        <f t="shared" si="24"/>
        <v>3910</v>
      </c>
      <c r="O278" s="19">
        <f t="shared" si="25"/>
        <v>3740</v>
      </c>
    </row>
    <row r="279">
      <c r="A279" s="13" t="s">
        <v>19</v>
      </c>
      <c r="B279" s="14" t="s">
        <v>460</v>
      </c>
      <c r="C279" s="14" t="s">
        <v>563</v>
      </c>
      <c r="D279" s="7"/>
      <c r="E279" s="15" t="s">
        <v>581</v>
      </c>
      <c r="F279" s="16" t="s">
        <v>582</v>
      </c>
      <c r="G279" s="7"/>
      <c r="H279" s="27">
        <v>6200.0</v>
      </c>
      <c r="I279" s="16"/>
      <c r="J279" s="18">
        <f t="shared" si="20"/>
        <v>9300</v>
      </c>
      <c r="K279" s="18">
        <f t="shared" si="21"/>
        <v>8060</v>
      </c>
      <c r="L279" s="19">
        <f t="shared" si="22"/>
        <v>8060</v>
      </c>
      <c r="M279" s="19">
        <f t="shared" si="23"/>
        <v>7440</v>
      </c>
      <c r="N279" s="19">
        <f t="shared" si="24"/>
        <v>7130</v>
      </c>
      <c r="O279" s="19">
        <f t="shared" si="25"/>
        <v>6820</v>
      </c>
    </row>
    <row r="280">
      <c r="A280" s="13" t="s">
        <v>19</v>
      </c>
      <c r="B280" s="14" t="s">
        <v>460</v>
      </c>
      <c r="C280" s="14" t="s">
        <v>563</v>
      </c>
      <c r="D280" s="7"/>
      <c r="E280" s="15" t="s">
        <v>583</v>
      </c>
      <c r="F280" s="16" t="s">
        <v>584</v>
      </c>
      <c r="G280" s="7"/>
      <c r="H280" s="27">
        <v>6200.0</v>
      </c>
      <c r="I280" s="16"/>
      <c r="J280" s="18">
        <f t="shared" si="20"/>
        <v>9300</v>
      </c>
      <c r="K280" s="18">
        <f t="shared" si="21"/>
        <v>8060</v>
      </c>
      <c r="L280" s="19">
        <f t="shared" si="22"/>
        <v>8060</v>
      </c>
      <c r="M280" s="19">
        <f t="shared" si="23"/>
        <v>7440</v>
      </c>
      <c r="N280" s="19">
        <f t="shared" si="24"/>
        <v>7130</v>
      </c>
      <c r="O280" s="19">
        <f t="shared" si="25"/>
        <v>6820</v>
      </c>
    </row>
    <row r="281">
      <c r="A281" s="13" t="s">
        <v>19</v>
      </c>
      <c r="B281" s="14" t="s">
        <v>460</v>
      </c>
      <c r="C281" s="14" t="s">
        <v>563</v>
      </c>
      <c r="D281" s="7"/>
      <c r="E281" s="15" t="s">
        <v>585</v>
      </c>
      <c r="F281" s="16" t="s">
        <v>586</v>
      </c>
      <c r="G281" s="7"/>
      <c r="H281" s="27">
        <v>3100.0</v>
      </c>
      <c r="I281" s="16"/>
      <c r="J281" s="18">
        <f t="shared" si="20"/>
        <v>4650</v>
      </c>
      <c r="K281" s="18">
        <f t="shared" si="21"/>
        <v>4030</v>
      </c>
      <c r="L281" s="19">
        <f t="shared" si="22"/>
        <v>4030</v>
      </c>
      <c r="M281" s="19">
        <f t="shared" si="23"/>
        <v>3720</v>
      </c>
      <c r="N281" s="19">
        <f t="shared" si="24"/>
        <v>3565</v>
      </c>
      <c r="O281" s="19">
        <f t="shared" si="25"/>
        <v>3410</v>
      </c>
    </row>
    <row r="282">
      <c r="A282" s="13" t="s">
        <v>19</v>
      </c>
      <c r="B282" s="14" t="s">
        <v>460</v>
      </c>
      <c r="C282" s="14" t="s">
        <v>563</v>
      </c>
      <c r="D282" s="7"/>
      <c r="E282" s="15" t="s">
        <v>585</v>
      </c>
      <c r="F282" s="16" t="s">
        <v>584</v>
      </c>
      <c r="G282" s="7"/>
      <c r="H282" s="27">
        <v>3700.0</v>
      </c>
      <c r="I282" s="16"/>
      <c r="J282" s="18">
        <f t="shared" si="20"/>
        <v>5550</v>
      </c>
      <c r="K282" s="18">
        <f t="shared" si="21"/>
        <v>4810</v>
      </c>
      <c r="L282" s="19">
        <f t="shared" si="22"/>
        <v>4810</v>
      </c>
      <c r="M282" s="19">
        <f t="shared" si="23"/>
        <v>4440</v>
      </c>
      <c r="N282" s="19">
        <f t="shared" si="24"/>
        <v>4255</v>
      </c>
      <c r="O282" s="19">
        <f t="shared" si="25"/>
        <v>4070</v>
      </c>
    </row>
    <row r="283">
      <c r="A283" s="13" t="s">
        <v>19</v>
      </c>
      <c r="B283" s="14" t="s">
        <v>460</v>
      </c>
      <c r="C283" s="14" t="s">
        <v>563</v>
      </c>
      <c r="D283" s="7"/>
      <c r="E283" s="15" t="s">
        <v>587</v>
      </c>
      <c r="F283" s="16" t="s">
        <v>586</v>
      </c>
      <c r="G283" s="7"/>
      <c r="H283" s="27">
        <v>3100.0</v>
      </c>
      <c r="I283" s="16"/>
      <c r="J283" s="18">
        <f t="shared" si="20"/>
        <v>4650</v>
      </c>
      <c r="K283" s="18">
        <f t="shared" si="21"/>
        <v>4030</v>
      </c>
      <c r="L283" s="19">
        <f t="shared" si="22"/>
        <v>4030</v>
      </c>
      <c r="M283" s="19">
        <f t="shared" si="23"/>
        <v>3720</v>
      </c>
      <c r="N283" s="19">
        <f t="shared" si="24"/>
        <v>3565</v>
      </c>
      <c r="O283" s="19">
        <f t="shared" si="25"/>
        <v>3410</v>
      </c>
    </row>
    <row r="284">
      <c r="A284" s="13" t="s">
        <v>19</v>
      </c>
      <c r="B284" s="14" t="s">
        <v>460</v>
      </c>
      <c r="C284" s="14" t="s">
        <v>563</v>
      </c>
      <c r="D284" s="7"/>
      <c r="E284" s="15" t="s">
        <v>588</v>
      </c>
      <c r="F284" s="16" t="s">
        <v>584</v>
      </c>
      <c r="G284" s="7"/>
      <c r="H284" s="27">
        <v>3700.0</v>
      </c>
      <c r="I284" s="16"/>
      <c r="J284" s="18">
        <f t="shared" si="20"/>
        <v>5550</v>
      </c>
      <c r="K284" s="18">
        <f t="shared" si="21"/>
        <v>4810</v>
      </c>
      <c r="L284" s="19">
        <f t="shared" si="22"/>
        <v>4810</v>
      </c>
      <c r="M284" s="19">
        <f t="shared" si="23"/>
        <v>4440</v>
      </c>
      <c r="N284" s="19">
        <f t="shared" si="24"/>
        <v>4255</v>
      </c>
      <c r="O284" s="19">
        <f t="shared" si="25"/>
        <v>4070</v>
      </c>
    </row>
    <row r="285">
      <c r="A285" s="13" t="s">
        <v>19</v>
      </c>
      <c r="B285" s="14" t="s">
        <v>460</v>
      </c>
      <c r="C285" s="14" t="s">
        <v>563</v>
      </c>
      <c r="D285" s="7"/>
      <c r="E285" s="15" t="s">
        <v>589</v>
      </c>
      <c r="F285" s="16" t="s">
        <v>590</v>
      </c>
      <c r="G285" s="7"/>
      <c r="H285" s="27">
        <v>6200.0</v>
      </c>
      <c r="I285" s="16"/>
      <c r="J285" s="18">
        <f t="shared" si="20"/>
        <v>9300</v>
      </c>
      <c r="K285" s="18">
        <f t="shared" si="21"/>
        <v>8060</v>
      </c>
      <c r="L285" s="19">
        <f t="shared" si="22"/>
        <v>8060</v>
      </c>
      <c r="M285" s="19">
        <f t="shared" si="23"/>
        <v>7440</v>
      </c>
      <c r="N285" s="19">
        <f t="shared" si="24"/>
        <v>7130</v>
      </c>
      <c r="O285" s="19">
        <f t="shared" si="25"/>
        <v>6820</v>
      </c>
    </row>
    <row r="286">
      <c r="A286" s="13" t="s">
        <v>19</v>
      </c>
      <c r="B286" s="14" t="s">
        <v>460</v>
      </c>
      <c r="C286" s="15" t="s">
        <v>591</v>
      </c>
      <c r="D286" s="7"/>
      <c r="E286" s="15" t="s">
        <v>591</v>
      </c>
      <c r="F286" s="16" t="s">
        <v>592</v>
      </c>
      <c r="G286" s="7"/>
      <c r="H286" s="27">
        <v>2500.0</v>
      </c>
      <c r="I286" s="16"/>
      <c r="J286" s="18">
        <f t="shared" si="20"/>
        <v>3750</v>
      </c>
      <c r="K286" s="18">
        <f t="shared" si="21"/>
        <v>3250</v>
      </c>
      <c r="L286" s="19">
        <f t="shared" si="22"/>
        <v>3250</v>
      </c>
      <c r="M286" s="19">
        <f t="shared" si="23"/>
        <v>3000</v>
      </c>
      <c r="N286" s="19">
        <f t="shared" si="24"/>
        <v>2875</v>
      </c>
      <c r="O286" s="19">
        <f t="shared" si="25"/>
        <v>2750</v>
      </c>
    </row>
    <row r="287">
      <c r="A287" s="13" t="s">
        <v>19</v>
      </c>
      <c r="B287" s="14" t="s">
        <v>460</v>
      </c>
      <c r="C287" s="15" t="s">
        <v>591</v>
      </c>
      <c r="D287" s="7"/>
      <c r="E287" s="15" t="s">
        <v>593</v>
      </c>
      <c r="F287" s="16" t="s">
        <v>594</v>
      </c>
      <c r="G287" s="7"/>
      <c r="H287" s="27">
        <v>2500.0</v>
      </c>
      <c r="I287" s="16"/>
      <c r="J287" s="18">
        <f t="shared" si="20"/>
        <v>3750</v>
      </c>
      <c r="K287" s="18">
        <f t="shared" si="21"/>
        <v>3250</v>
      </c>
      <c r="L287" s="19">
        <f t="shared" si="22"/>
        <v>3250</v>
      </c>
      <c r="M287" s="19">
        <f t="shared" si="23"/>
        <v>3000</v>
      </c>
      <c r="N287" s="19">
        <f t="shared" si="24"/>
        <v>2875</v>
      </c>
      <c r="O287" s="19">
        <f t="shared" si="25"/>
        <v>2750</v>
      </c>
    </row>
    <row r="288">
      <c r="A288" s="13" t="s">
        <v>19</v>
      </c>
      <c r="B288" s="14" t="s">
        <v>460</v>
      </c>
      <c r="C288" s="15" t="s">
        <v>591</v>
      </c>
      <c r="D288" s="7"/>
      <c r="E288" s="15" t="s">
        <v>595</v>
      </c>
      <c r="F288" s="16" t="s">
        <v>596</v>
      </c>
      <c r="G288" s="7"/>
      <c r="H288" s="27">
        <v>2500.0</v>
      </c>
      <c r="I288" s="16"/>
      <c r="J288" s="18">
        <f t="shared" si="20"/>
        <v>3750</v>
      </c>
      <c r="K288" s="18">
        <f t="shared" si="21"/>
        <v>3250</v>
      </c>
      <c r="L288" s="19">
        <f t="shared" si="22"/>
        <v>3250</v>
      </c>
      <c r="M288" s="19">
        <f t="shared" si="23"/>
        <v>3000</v>
      </c>
      <c r="N288" s="19">
        <f t="shared" si="24"/>
        <v>2875</v>
      </c>
      <c r="O288" s="19">
        <f t="shared" si="25"/>
        <v>2750</v>
      </c>
    </row>
    <row r="289">
      <c r="A289" s="13" t="s">
        <v>19</v>
      </c>
      <c r="B289" s="14" t="s">
        <v>460</v>
      </c>
      <c r="C289" s="15" t="s">
        <v>591</v>
      </c>
      <c r="D289" s="7"/>
      <c r="E289" s="15" t="s">
        <v>597</v>
      </c>
      <c r="F289" s="16" t="s">
        <v>598</v>
      </c>
      <c r="G289" s="7"/>
      <c r="H289" s="27">
        <v>3100.0</v>
      </c>
      <c r="I289" s="16"/>
      <c r="J289" s="18">
        <f t="shared" si="20"/>
        <v>4650</v>
      </c>
      <c r="K289" s="18">
        <f t="shared" si="21"/>
        <v>4030</v>
      </c>
      <c r="L289" s="19">
        <f t="shared" si="22"/>
        <v>4030</v>
      </c>
      <c r="M289" s="19">
        <f t="shared" si="23"/>
        <v>3720</v>
      </c>
      <c r="N289" s="19">
        <f t="shared" si="24"/>
        <v>3565</v>
      </c>
      <c r="O289" s="19">
        <f t="shared" si="25"/>
        <v>3410</v>
      </c>
    </row>
    <row r="290">
      <c r="A290" s="13" t="s">
        <v>19</v>
      </c>
      <c r="B290" s="14" t="s">
        <v>460</v>
      </c>
      <c r="C290" s="15" t="s">
        <v>591</v>
      </c>
      <c r="D290" s="7"/>
      <c r="E290" s="15" t="s">
        <v>599</v>
      </c>
      <c r="F290" s="16" t="s">
        <v>600</v>
      </c>
      <c r="G290" s="7"/>
      <c r="H290" s="27">
        <v>6200.0</v>
      </c>
      <c r="I290" s="16"/>
      <c r="J290" s="18">
        <f t="shared" si="20"/>
        <v>9300</v>
      </c>
      <c r="K290" s="18">
        <f t="shared" si="21"/>
        <v>8060</v>
      </c>
      <c r="L290" s="19">
        <f t="shared" si="22"/>
        <v>8060</v>
      </c>
      <c r="M290" s="19">
        <f t="shared" si="23"/>
        <v>7440</v>
      </c>
      <c r="N290" s="19">
        <f t="shared" si="24"/>
        <v>7130</v>
      </c>
      <c r="O290" s="19">
        <f t="shared" si="25"/>
        <v>6820</v>
      </c>
    </row>
    <row r="291">
      <c r="A291" s="13" t="s">
        <v>19</v>
      </c>
      <c r="B291" s="14" t="s">
        <v>460</v>
      </c>
      <c r="C291" s="15" t="s">
        <v>591</v>
      </c>
      <c r="D291" s="7"/>
      <c r="E291" s="15" t="s">
        <v>601</v>
      </c>
      <c r="F291" s="16" t="s">
        <v>602</v>
      </c>
      <c r="G291" s="7"/>
      <c r="H291" s="27">
        <v>3500.0</v>
      </c>
      <c r="I291" s="16"/>
      <c r="J291" s="18">
        <f t="shared" si="20"/>
        <v>5250</v>
      </c>
      <c r="K291" s="18">
        <f t="shared" si="21"/>
        <v>4550</v>
      </c>
      <c r="L291" s="19">
        <f t="shared" si="22"/>
        <v>4550</v>
      </c>
      <c r="M291" s="19">
        <f t="shared" si="23"/>
        <v>4200</v>
      </c>
      <c r="N291" s="19">
        <f t="shared" si="24"/>
        <v>4025</v>
      </c>
      <c r="O291" s="19">
        <f t="shared" si="25"/>
        <v>3850</v>
      </c>
    </row>
    <row r="292">
      <c r="A292" s="13" t="s">
        <v>19</v>
      </c>
      <c r="B292" s="14" t="s">
        <v>460</v>
      </c>
      <c r="C292" s="15" t="s">
        <v>591</v>
      </c>
      <c r="D292" s="7"/>
      <c r="E292" s="15" t="s">
        <v>603</v>
      </c>
      <c r="F292" s="16" t="s">
        <v>604</v>
      </c>
      <c r="G292" s="7"/>
      <c r="H292" s="27">
        <v>3700.0</v>
      </c>
      <c r="I292" s="16"/>
      <c r="J292" s="18">
        <f t="shared" si="20"/>
        <v>5550</v>
      </c>
      <c r="K292" s="18">
        <f t="shared" si="21"/>
        <v>4810</v>
      </c>
      <c r="L292" s="19">
        <f t="shared" si="22"/>
        <v>4810</v>
      </c>
      <c r="M292" s="19">
        <f t="shared" si="23"/>
        <v>4440</v>
      </c>
      <c r="N292" s="19">
        <f t="shared" si="24"/>
        <v>4255</v>
      </c>
      <c r="O292" s="19">
        <f t="shared" si="25"/>
        <v>4070</v>
      </c>
    </row>
    <row r="293">
      <c r="A293" s="13" t="s">
        <v>19</v>
      </c>
      <c r="B293" s="14" t="s">
        <v>460</v>
      </c>
      <c r="C293" s="15" t="s">
        <v>591</v>
      </c>
      <c r="D293" s="7"/>
      <c r="E293" s="15" t="s">
        <v>605</v>
      </c>
      <c r="F293" s="16" t="s">
        <v>606</v>
      </c>
      <c r="G293" s="7"/>
      <c r="H293" s="27">
        <v>2500.0</v>
      </c>
      <c r="I293" s="16"/>
      <c r="J293" s="18">
        <f t="shared" si="20"/>
        <v>3750</v>
      </c>
      <c r="K293" s="18">
        <f t="shared" si="21"/>
        <v>3250</v>
      </c>
      <c r="L293" s="19">
        <f t="shared" si="22"/>
        <v>3250</v>
      </c>
      <c r="M293" s="19">
        <f t="shared" si="23"/>
        <v>3000</v>
      </c>
      <c r="N293" s="19">
        <f t="shared" si="24"/>
        <v>2875</v>
      </c>
      <c r="O293" s="19">
        <f t="shared" si="25"/>
        <v>2750</v>
      </c>
    </row>
    <row r="294">
      <c r="A294" s="13" t="s">
        <v>19</v>
      </c>
      <c r="B294" s="14" t="s">
        <v>460</v>
      </c>
      <c r="C294" s="15" t="s">
        <v>591</v>
      </c>
      <c r="D294" s="7"/>
      <c r="E294" s="15" t="s">
        <v>591</v>
      </c>
      <c r="F294" s="16" t="s">
        <v>607</v>
      </c>
      <c r="G294" s="7"/>
      <c r="H294" s="27">
        <v>9900.0</v>
      </c>
      <c r="I294" s="16"/>
      <c r="J294" s="18">
        <f t="shared" si="20"/>
        <v>14850</v>
      </c>
      <c r="K294" s="18">
        <f t="shared" si="21"/>
        <v>12870</v>
      </c>
      <c r="L294" s="19">
        <f t="shared" si="22"/>
        <v>12870</v>
      </c>
      <c r="M294" s="19">
        <f t="shared" si="23"/>
        <v>11880</v>
      </c>
      <c r="N294" s="19">
        <f t="shared" si="24"/>
        <v>11385</v>
      </c>
      <c r="O294" s="19">
        <f t="shared" si="25"/>
        <v>10890</v>
      </c>
    </row>
    <row r="295">
      <c r="A295" s="13" t="s">
        <v>19</v>
      </c>
      <c r="B295" s="14" t="s">
        <v>460</v>
      </c>
      <c r="C295" s="15" t="s">
        <v>591</v>
      </c>
      <c r="D295" s="7"/>
      <c r="E295" s="15" t="s">
        <v>591</v>
      </c>
      <c r="F295" s="16" t="s">
        <v>608</v>
      </c>
      <c r="G295" s="7"/>
      <c r="H295" s="27">
        <v>3700.0</v>
      </c>
      <c r="I295" s="16"/>
      <c r="J295" s="18">
        <f t="shared" si="20"/>
        <v>5550</v>
      </c>
      <c r="K295" s="18">
        <f t="shared" si="21"/>
        <v>4810</v>
      </c>
      <c r="L295" s="19">
        <f t="shared" si="22"/>
        <v>4810</v>
      </c>
      <c r="M295" s="19">
        <f t="shared" si="23"/>
        <v>4440</v>
      </c>
      <c r="N295" s="19">
        <f t="shared" si="24"/>
        <v>4255</v>
      </c>
      <c r="O295" s="19">
        <f t="shared" si="25"/>
        <v>4070</v>
      </c>
    </row>
    <row r="296">
      <c r="A296" s="13" t="s">
        <v>19</v>
      </c>
      <c r="B296" s="14" t="s">
        <v>460</v>
      </c>
      <c r="C296" s="15" t="s">
        <v>591</v>
      </c>
      <c r="D296" s="7"/>
      <c r="E296" s="15" t="s">
        <v>591</v>
      </c>
      <c r="F296" s="16" t="s">
        <v>609</v>
      </c>
      <c r="G296" s="7"/>
      <c r="H296" s="27">
        <v>3700.0</v>
      </c>
      <c r="I296" s="16"/>
      <c r="J296" s="18">
        <f t="shared" si="20"/>
        <v>5550</v>
      </c>
      <c r="K296" s="18">
        <f t="shared" si="21"/>
        <v>4810</v>
      </c>
      <c r="L296" s="19">
        <f t="shared" si="22"/>
        <v>4810</v>
      </c>
      <c r="M296" s="19">
        <f t="shared" si="23"/>
        <v>4440</v>
      </c>
      <c r="N296" s="19">
        <f t="shared" si="24"/>
        <v>4255</v>
      </c>
      <c r="O296" s="19">
        <f t="shared" si="25"/>
        <v>4070</v>
      </c>
    </row>
    <row r="297">
      <c r="A297" s="13" t="s">
        <v>19</v>
      </c>
      <c r="B297" s="14" t="s">
        <v>460</v>
      </c>
      <c r="C297" s="15" t="s">
        <v>591</v>
      </c>
      <c r="D297" s="7"/>
      <c r="E297" s="15" t="s">
        <v>591</v>
      </c>
      <c r="F297" s="16" t="s">
        <v>610</v>
      </c>
      <c r="G297" s="7"/>
      <c r="H297" s="27">
        <v>3100.0</v>
      </c>
      <c r="I297" s="16"/>
      <c r="J297" s="18">
        <f t="shared" si="20"/>
        <v>4650</v>
      </c>
      <c r="K297" s="18">
        <f t="shared" si="21"/>
        <v>4030</v>
      </c>
      <c r="L297" s="19">
        <f t="shared" si="22"/>
        <v>4030</v>
      </c>
      <c r="M297" s="19">
        <f t="shared" si="23"/>
        <v>3720</v>
      </c>
      <c r="N297" s="19">
        <f t="shared" si="24"/>
        <v>3565</v>
      </c>
      <c r="O297" s="19">
        <f t="shared" si="25"/>
        <v>3410</v>
      </c>
    </row>
    <row r="298">
      <c r="A298" s="13" t="s">
        <v>19</v>
      </c>
      <c r="B298" s="14" t="s">
        <v>460</v>
      </c>
      <c r="C298" s="15" t="s">
        <v>591</v>
      </c>
      <c r="D298" s="7"/>
      <c r="E298" s="15" t="s">
        <v>591</v>
      </c>
      <c r="F298" s="16" t="s">
        <v>611</v>
      </c>
      <c r="G298" s="7"/>
      <c r="H298" s="27">
        <v>3700.0</v>
      </c>
      <c r="I298" s="16"/>
      <c r="J298" s="18">
        <f t="shared" si="20"/>
        <v>5550</v>
      </c>
      <c r="K298" s="18">
        <f t="shared" si="21"/>
        <v>4810</v>
      </c>
      <c r="L298" s="19">
        <f t="shared" si="22"/>
        <v>4810</v>
      </c>
      <c r="M298" s="19">
        <f t="shared" si="23"/>
        <v>4440</v>
      </c>
      <c r="N298" s="19">
        <f t="shared" si="24"/>
        <v>4255</v>
      </c>
      <c r="O298" s="19">
        <f t="shared" si="25"/>
        <v>4070</v>
      </c>
    </row>
    <row r="299">
      <c r="A299" s="13" t="s">
        <v>19</v>
      </c>
      <c r="B299" s="14" t="s">
        <v>460</v>
      </c>
      <c r="C299" s="15" t="s">
        <v>591</v>
      </c>
      <c r="D299" s="7"/>
      <c r="E299" s="15" t="s">
        <v>591</v>
      </c>
      <c r="F299" s="16" t="s">
        <v>612</v>
      </c>
      <c r="G299" s="7"/>
      <c r="H299" s="27">
        <v>1900.0</v>
      </c>
      <c r="I299" s="16"/>
      <c r="J299" s="18">
        <f t="shared" si="20"/>
        <v>2850</v>
      </c>
      <c r="K299" s="18">
        <f t="shared" si="21"/>
        <v>2470</v>
      </c>
      <c r="L299" s="19">
        <f t="shared" si="22"/>
        <v>2470</v>
      </c>
      <c r="M299" s="19">
        <f t="shared" si="23"/>
        <v>2280</v>
      </c>
      <c r="N299" s="19">
        <f t="shared" si="24"/>
        <v>2185</v>
      </c>
      <c r="O299" s="19">
        <f t="shared" si="25"/>
        <v>2090</v>
      </c>
    </row>
    <row r="300">
      <c r="A300" s="13" t="s">
        <v>19</v>
      </c>
      <c r="B300" s="14" t="s">
        <v>460</v>
      </c>
      <c r="C300" s="15" t="s">
        <v>591</v>
      </c>
      <c r="D300" s="7"/>
      <c r="E300" s="15" t="s">
        <v>591</v>
      </c>
      <c r="F300" s="16" t="s">
        <v>613</v>
      </c>
      <c r="G300" s="7"/>
      <c r="H300" s="27">
        <v>3700.0</v>
      </c>
      <c r="I300" s="16"/>
      <c r="J300" s="18">
        <f t="shared" si="20"/>
        <v>5550</v>
      </c>
      <c r="K300" s="18">
        <f t="shared" si="21"/>
        <v>4810</v>
      </c>
      <c r="L300" s="19">
        <f t="shared" si="22"/>
        <v>4810</v>
      </c>
      <c r="M300" s="19">
        <f t="shared" si="23"/>
        <v>4440</v>
      </c>
      <c r="N300" s="19">
        <f t="shared" si="24"/>
        <v>4255</v>
      </c>
      <c r="O300" s="19">
        <f t="shared" si="25"/>
        <v>4070</v>
      </c>
    </row>
    <row r="301">
      <c r="A301" s="13" t="s">
        <v>19</v>
      </c>
      <c r="B301" s="14" t="s">
        <v>460</v>
      </c>
      <c r="C301" s="15" t="s">
        <v>591</v>
      </c>
      <c r="D301" s="7"/>
      <c r="E301" s="15" t="s">
        <v>614</v>
      </c>
      <c r="F301" s="16" t="s">
        <v>615</v>
      </c>
      <c r="G301" s="7"/>
      <c r="H301" s="27">
        <v>3700.0</v>
      </c>
      <c r="I301" s="16"/>
      <c r="J301" s="18">
        <f t="shared" si="20"/>
        <v>5550</v>
      </c>
      <c r="K301" s="18">
        <f t="shared" si="21"/>
        <v>4810</v>
      </c>
      <c r="L301" s="19">
        <f t="shared" si="22"/>
        <v>4810</v>
      </c>
      <c r="M301" s="19">
        <f t="shared" si="23"/>
        <v>4440</v>
      </c>
      <c r="N301" s="19">
        <f t="shared" si="24"/>
        <v>4255</v>
      </c>
      <c r="O301" s="19">
        <f t="shared" si="25"/>
        <v>4070</v>
      </c>
    </row>
    <row r="302">
      <c r="A302" s="13" t="s">
        <v>19</v>
      </c>
      <c r="B302" s="14" t="s">
        <v>460</v>
      </c>
      <c r="C302" s="15" t="s">
        <v>591</v>
      </c>
      <c r="D302" s="7"/>
      <c r="E302" s="15" t="s">
        <v>591</v>
      </c>
      <c r="F302" s="16" t="s">
        <v>616</v>
      </c>
      <c r="G302" s="7"/>
      <c r="H302" s="27">
        <v>2500.0</v>
      </c>
      <c r="I302" s="16"/>
      <c r="J302" s="18">
        <f t="shared" si="20"/>
        <v>3750</v>
      </c>
      <c r="K302" s="18">
        <f t="shared" si="21"/>
        <v>3250</v>
      </c>
      <c r="L302" s="19">
        <f t="shared" si="22"/>
        <v>3250</v>
      </c>
      <c r="M302" s="19">
        <f t="shared" si="23"/>
        <v>3000</v>
      </c>
      <c r="N302" s="19">
        <f t="shared" si="24"/>
        <v>2875</v>
      </c>
      <c r="O302" s="19">
        <f t="shared" si="25"/>
        <v>2750</v>
      </c>
    </row>
    <row r="303">
      <c r="A303" s="13" t="s">
        <v>19</v>
      </c>
      <c r="B303" s="14" t="s">
        <v>460</v>
      </c>
      <c r="C303" s="15" t="s">
        <v>591</v>
      </c>
      <c r="D303" s="7"/>
      <c r="E303" s="15" t="s">
        <v>591</v>
      </c>
      <c r="F303" s="16" t="s">
        <v>617</v>
      </c>
      <c r="G303" s="7"/>
      <c r="H303" s="27">
        <v>1300.0</v>
      </c>
      <c r="I303" s="16"/>
      <c r="J303" s="18">
        <f t="shared" si="20"/>
        <v>1950</v>
      </c>
      <c r="K303" s="18">
        <f t="shared" si="21"/>
        <v>1690</v>
      </c>
      <c r="L303" s="19">
        <f t="shared" si="22"/>
        <v>1690</v>
      </c>
      <c r="M303" s="19">
        <f t="shared" si="23"/>
        <v>1560</v>
      </c>
      <c r="N303" s="19">
        <f t="shared" si="24"/>
        <v>1495</v>
      </c>
      <c r="O303" s="19">
        <f t="shared" si="25"/>
        <v>1430</v>
      </c>
    </row>
    <row r="304">
      <c r="A304" s="13" t="s">
        <v>19</v>
      </c>
      <c r="B304" s="14" t="s">
        <v>460</v>
      </c>
      <c r="C304" s="15" t="s">
        <v>591</v>
      </c>
      <c r="D304" s="7"/>
      <c r="E304" s="15" t="s">
        <v>591</v>
      </c>
      <c r="F304" s="16" t="s">
        <v>618</v>
      </c>
      <c r="G304" s="7"/>
      <c r="H304" s="27">
        <v>2300.0</v>
      </c>
      <c r="I304" s="16"/>
      <c r="J304" s="18">
        <f t="shared" si="20"/>
        <v>3450</v>
      </c>
      <c r="K304" s="18">
        <f t="shared" si="21"/>
        <v>2990</v>
      </c>
      <c r="L304" s="19">
        <f t="shared" si="22"/>
        <v>2990</v>
      </c>
      <c r="M304" s="19">
        <f t="shared" si="23"/>
        <v>2760</v>
      </c>
      <c r="N304" s="19">
        <f t="shared" si="24"/>
        <v>2645</v>
      </c>
      <c r="O304" s="19">
        <f t="shared" si="25"/>
        <v>2530</v>
      </c>
    </row>
    <row r="305">
      <c r="A305" s="13" t="s">
        <v>19</v>
      </c>
      <c r="B305" s="14" t="s">
        <v>460</v>
      </c>
      <c r="C305" s="15" t="s">
        <v>591</v>
      </c>
      <c r="D305" s="7"/>
      <c r="E305" s="15" t="s">
        <v>591</v>
      </c>
      <c r="F305" s="16" t="s">
        <v>619</v>
      </c>
      <c r="G305" s="7"/>
      <c r="H305" s="27">
        <v>2300.0</v>
      </c>
      <c r="I305" s="16"/>
      <c r="J305" s="18">
        <f t="shared" si="20"/>
        <v>3450</v>
      </c>
      <c r="K305" s="18">
        <f t="shared" si="21"/>
        <v>2990</v>
      </c>
      <c r="L305" s="19">
        <f t="shared" si="22"/>
        <v>2990</v>
      </c>
      <c r="M305" s="19">
        <f t="shared" si="23"/>
        <v>2760</v>
      </c>
      <c r="N305" s="19">
        <f t="shared" si="24"/>
        <v>2645</v>
      </c>
      <c r="O305" s="19">
        <f t="shared" si="25"/>
        <v>2530</v>
      </c>
    </row>
    <row r="306">
      <c r="A306" s="13" t="s">
        <v>19</v>
      </c>
      <c r="B306" s="14" t="s">
        <v>460</v>
      </c>
      <c r="C306" s="15" t="s">
        <v>591</v>
      </c>
      <c r="D306" s="7"/>
      <c r="E306" s="15" t="s">
        <v>591</v>
      </c>
      <c r="F306" s="16" t="s">
        <v>620</v>
      </c>
      <c r="G306" s="7"/>
      <c r="H306" s="27">
        <v>3500.0</v>
      </c>
      <c r="I306" s="16"/>
      <c r="J306" s="18">
        <f t="shared" si="20"/>
        <v>5250</v>
      </c>
      <c r="K306" s="18">
        <f t="shared" si="21"/>
        <v>4550</v>
      </c>
      <c r="L306" s="19">
        <f t="shared" si="22"/>
        <v>4550</v>
      </c>
      <c r="M306" s="19">
        <f t="shared" si="23"/>
        <v>4200</v>
      </c>
      <c r="N306" s="19">
        <f t="shared" si="24"/>
        <v>4025</v>
      </c>
      <c r="O306" s="19">
        <f t="shared" si="25"/>
        <v>3850</v>
      </c>
    </row>
    <row r="307">
      <c r="A307" s="13" t="s">
        <v>19</v>
      </c>
      <c r="B307" s="14" t="s">
        <v>460</v>
      </c>
      <c r="C307" s="15" t="s">
        <v>591</v>
      </c>
      <c r="D307" s="7"/>
      <c r="E307" s="15" t="s">
        <v>591</v>
      </c>
      <c r="F307" s="16" t="s">
        <v>621</v>
      </c>
      <c r="G307" s="7"/>
      <c r="H307" s="27">
        <v>2300.0</v>
      </c>
      <c r="I307" s="16"/>
      <c r="J307" s="18">
        <f t="shared" si="20"/>
        <v>3450</v>
      </c>
      <c r="K307" s="18">
        <f t="shared" si="21"/>
        <v>2990</v>
      </c>
      <c r="L307" s="19">
        <f t="shared" si="22"/>
        <v>2990</v>
      </c>
      <c r="M307" s="19">
        <f t="shared" si="23"/>
        <v>2760</v>
      </c>
      <c r="N307" s="19">
        <f t="shared" si="24"/>
        <v>2645</v>
      </c>
      <c r="O307" s="19">
        <f t="shared" si="25"/>
        <v>2530</v>
      </c>
    </row>
    <row r="308">
      <c r="A308" s="13" t="s">
        <v>19</v>
      </c>
      <c r="B308" s="14" t="s">
        <v>460</v>
      </c>
      <c r="C308" s="15" t="s">
        <v>591</v>
      </c>
      <c r="D308" s="7"/>
      <c r="E308" s="15" t="s">
        <v>591</v>
      </c>
      <c r="F308" s="16" t="s">
        <v>622</v>
      </c>
      <c r="G308" s="7"/>
      <c r="H308" s="27">
        <v>2300.0</v>
      </c>
      <c r="I308" s="16"/>
      <c r="J308" s="18">
        <f t="shared" si="20"/>
        <v>3450</v>
      </c>
      <c r="K308" s="18">
        <f t="shared" si="21"/>
        <v>2990</v>
      </c>
      <c r="L308" s="19">
        <f t="shared" si="22"/>
        <v>2990</v>
      </c>
      <c r="M308" s="19">
        <f t="shared" si="23"/>
        <v>2760</v>
      </c>
      <c r="N308" s="19">
        <f t="shared" si="24"/>
        <v>2645</v>
      </c>
      <c r="O308" s="19">
        <f t="shared" si="25"/>
        <v>2530</v>
      </c>
    </row>
    <row r="309">
      <c r="A309" s="13" t="s">
        <v>19</v>
      </c>
      <c r="B309" s="14" t="s">
        <v>460</v>
      </c>
      <c r="C309" s="15" t="s">
        <v>591</v>
      </c>
      <c r="D309" s="7"/>
      <c r="E309" s="15" t="s">
        <v>591</v>
      </c>
      <c r="F309" s="16" t="s">
        <v>623</v>
      </c>
      <c r="G309" s="7"/>
      <c r="H309" s="27">
        <v>2500.0</v>
      </c>
      <c r="I309" s="16"/>
      <c r="J309" s="18">
        <f t="shared" si="20"/>
        <v>3750</v>
      </c>
      <c r="K309" s="18">
        <f t="shared" si="21"/>
        <v>3250</v>
      </c>
      <c r="L309" s="19">
        <f t="shared" si="22"/>
        <v>3250</v>
      </c>
      <c r="M309" s="19">
        <f t="shared" si="23"/>
        <v>3000</v>
      </c>
      <c r="N309" s="19">
        <f t="shared" si="24"/>
        <v>2875</v>
      </c>
      <c r="O309" s="19">
        <f t="shared" si="25"/>
        <v>2750</v>
      </c>
    </row>
    <row r="310">
      <c r="A310" s="13" t="s">
        <v>19</v>
      </c>
      <c r="B310" s="14" t="s">
        <v>460</v>
      </c>
      <c r="C310" s="15" t="s">
        <v>591</v>
      </c>
      <c r="D310" s="7"/>
      <c r="E310" s="15" t="s">
        <v>591</v>
      </c>
      <c r="F310" s="16" t="s">
        <v>624</v>
      </c>
      <c r="G310" s="7"/>
      <c r="H310" s="27">
        <v>3100.0</v>
      </c>
      <c r="I310" s="16"/>
      <c r="J310" s="18">
        <f t="shared" si="20"/>
        <v>4650</v>
      </c>
      <c r="K310" s="18">
        <f t="shared" si="21"/>
        <v>4030</v>
      </c>
      <c r="L310" s="19">
        <f t="shared" si="22"/>
        <v>4030</v>
      </c>
      <c r="M310" s="19">
        <f t="shared" si="23"/>
        <v>3720</v>
      </c>
      <c r="N310" s="19">
        <f t="shared" si="24"/>
        <v>3565</v>
      </c>
      <c r="O310" s="19">
        <f t="shared" si="25"/>
        <v>3410</v>
      </c>
    </row>
    <row r="311">
      <c r="A311" s="13" t="s">
        <v>19</v>
      </c>
      <c r="B311" s="14" t="s">
        <v>460</v>
      </c>
      <c r="C311" s="15" t="s">
        <v>591</v>
      </c>
      <c r="D311" s="7"/>
      <c r="E311" s="15" t="s">
        <v>591</v>
      </c>
      <c r="F311" s="16" t="s">
        <v>625</v>
      </c>
      <c r="G311" s="7"/>
      <c r="H311" s="27">
        <v>4000.0</v>
      </c>
      <c r="I311" s="16"/>
      <c r="J311" s="18">
        <f t="shared" si="20"/>
        <v>6000</v>
      </c>
      <c r="K311" s="18">
        <f t="shared" si="21"/>
        <v>5200</v>
      </c>
      <c r="L311" s="19">
        <f t="shared" si="22"/>
        <v>5200</v>
      </c>
      <c r="M311" s="19">
        <f t="shared" si="23"/>
        <v>4800</v>
      </c>
      <c r="N311" s="19">
        <f t="shared" si="24"/>
        <v>4600</v>
      </c>
      <c r="O311" s="19">
        <f t="shared" si="25"/>
        <v>4400</v>
      </c>
    </row>
    <row r="312">
      <c r="A312" s="13" t="s">
        <v>19</v>
      </c>
      <c r="B312" s="14" t="s">
        <v>460</v>
      </c>
      <c r="C312" s="15" t="s">
        <v>591</v>
      </c>
      <c r="D312" s="7"/>
      <c r="E312" s="15" t="s">
        <v>591</v>
      </c>
      <c r="F312" s="16" t="s">
        <v>626</v>
      </c>
      <c r="G312" s="7"/>
      <c r="H312" s="27">
        <v>1900.0</v>
      </c>
      <c r="I312" s="16"/>
      <c r="J312" s="18">
        <f t="shared" si="20"/>
        <v>2850</v>
      </c>
      <c r="K312" s="18">
        <f t="shared" si="21"/>
        <v>2470</v>
      </c>
      <c r="L312" s="19">
        <f t="shared" si="22"/>
        <v>2470</v>
      </c>
      <c r="M312" s="19">
        <f t="shared" si="23"/>
        <v>2280</v>
      </c>
      <c r="N312" s="19">
        <f t="shared" si="24"/>
        <v>2185</v>
      </c>
      <c r="O312" s="19">
        <f t="shared" si="25"/>
        <v>2090</v>
      </c>
    </row>
    <row r="313">
      <c r="A313" s="13" t="s">
        <v>19</v>
      </c>
      <c r="B313" s="14" t="s">
        <v>460</v>
      </c>
      <c r="C313" s="15" t="s">
        <v>591</v>
      </c>
      <c r="D313" s="7"/>
      <c r="E313" s="15" t="s">
        <v>591</v>
      </c>
      <c r="F313" s="16" t="s">
        <v>627</v>
      </c>
      <c r="G313" s="7"/>
      <c r="H313" s="27">
        <v>3100.0</v>
      </c>
      <c r="I313" s="16"/>
      <c r="J313" s="18">
        <f t="shared" si="20"/>
        <v>4650</v>
      </c>
      <c r="K313" s="18">
        <f t="shared" si="21"/>
        <v>4030</v>
      </c>
      <c r="L313" s="19">
        <f t="shared" si="22"/>
        <v>4030</v>
      </c>
      <c r="M313" s="19">
        <f t="shared" si="23"/>
        <v>3720</v>
      </c>
      <c r="N313" s="19">
        <f t="shared" si="24"/>
        <v>3565</v>
      </c>
      <c r="O313" s="19">
        <f t="shared" si="25"/>
        <v>3410</v>
      </c>
    </row>
    <row r="314">
      <c r="A314" s="13" t="s">
        <v>19</v>
      </c>
      <c r="B314" s="14" t="s">
        <v>460</v>
      </c>
      <c r="C314" s="15" t="s">
        <v>591</v>
      </c>
      <c r="D314" s="7"/>
      <c r="E314" s="15" t="s">
        <v>591</v>
      </c>
      <c r="F314" s="16" t="s">
        <v>612</v>
      </c>
      <c r="G314" s="7"/>
      <c r="H314" s="27">
        <v>1900.0</v>
      </c>
      <c r="I314" s="16"/>
      <c r="J314" s="18">
        <f t="shared" si="20"/>
        <v>2850</v>
      </c>
      <c r="K314" s="18">
        <f t="shared" si="21"/>
        <v>2470</v>
      </c>
      <c r="L314" s="19">
        <f t="shared" si="22"/>
        <v>2470</v>
      </c>
      <c r="M314" s="19">
        <f t="shared" si="23"/>
        <v>2280</v>
      </c>
      <c r="N314" s="19">
        <f t="shared" si="24"/>
        <v>2185</v>
      </c>
      <c r="O314" s="19">
        <f t="shared" si="25"/>
        <v>2090</v>
      </c>
    </row>
    <row r="315">
      <c r="A315" s="13" t="s">
        <v>19</v>
      </c>
      <c r="B315" s="14" t="s">
        <v>460</v>
      </c>
      <c r="C315" s="15" t="s">
        <v>591</v>
      </c>
      <c r="D315" s="7"/>
      <c r="E315" s="15" t="s">
        <v>591</v>
      </c>
      <c r="F315" s="16" t="s">
        <v>628</v>
      </c>
      <c r="G315" s="7"/>
      <c r="H315" s="27">
        <v>1200.0</v>
      </c>
      <c r="I315" s="16"/>
      <c r="J315" s="18">
        <f t="shared" si="20"/>
        <v>1800</v>
      </c>
      <c r="K315" s="18">
        <f t="shared" si="21"/>
        <v>1560</v>
      </c>
      <c r="L315" s="19">
        <f t="shared" si="22"/>
        <v>1560</v>
      </c>
      <c r="M315" s="19">
        <f t="shared" si="23"/>
        <v>1440</v>
      </c>
      <c r="N315" s="19">
        <f t="shared" si="24"/>
        <v>1380</v>
      </c>
      <c r="O315" s="19">
        <f t="shared" si="25"/>
        <v>1320</v>
      </c>
    </row>
    <row r="316">
      <c r="A316" s="13" t="s">
        <v>19</v>
      </c>
      <c r="B316" s="14" t="s">
        <v>460</v>
      </c>
      <c r="C316" s="15" t="s">
        <v>591</v>
      </c>
      <c r="D316" s="7"/>
      <c r="E316" s="15" t="s">
        <v>591</v>
      </c>
      <c r="F316" s="16" t="s">
        <v>629</v>
      </c>
      <c r="G316" s="7"/>
      <c r="H316" s="27">
        <v>3100.0</v>
      </c>
      <c r="I316" s="16"/>
      <c r="J316" s="18">
        <f t="shared" si="20"/>
        <v>4650</v>
      </c>
      <c r="K316" s="18">
        <f t="shared" si="21"/>
        <v>4030</v>
      </c>
      <c r="L316" s="19">
        <f t="shared" si="22"/>
        <v>4030</v>
      </c>
      <c r="M316" s="19">
        <f t="shared" si="23"/>
        <v>3720</v>
      </c>
      <c r="N316" s="19">
        <f t="shared" si="24"/>
        <v>3565</v>
      </c>
      <c r="O316" s="19">
        <f t="shared" si="25"/>
        <v>3410</v>
      </c>
    </row>
    <row r="317">
      <c r="A317" s="13" t="s">
        <v>19</v>
      </c>
      <c r="B317" s="14" t="s">
        <v>460</v>
      </c>
      <c r="C317" s="15" t="s">
        <v>591</v>
      </c>
      <c r="D317" s="7"/>
      <c r="E317" s="15" t="s">
        <v>591</v>
      </c>
      <c r="F317" s="16" t="s">
        <v>630</v>
      </c>
      <c r="G317" s="7"/>
      <c r="H317" s="27">
        <v>1900.0</v>
      </c>
      <c r="I317" s="16"/>
      <c r="J317" s="18">
        <f t="shared" si="20"/>
        <v>2850</v>
      </c>
      <c r="K317" s="18">
        <f t="shared" si="21"/>
        <v>2470</v>
      </c>
      <c r="L317" s="19">
        <f t="shared" si="22"/>
        <v>2470</v>
      </c>
      <c r="M317" s="19">
        <f t="shared" si="23"/>
        <v>2280</v>
      </c>
      <c r="N317" s="19">
        <f t="shared" si="24"/>
        <v>2185</v>
      </c>
      <c r="O317" s="19">
        <f t="shared" si="25"/>
        <v>2090</v>
      </c>
    </row>
    <row r="318">
      <c r="A318" s="13" t="s">
        <v>19</v>
      </c>
      <c r="B318" s="14" t="s">
        <v>460</v>
      </c>
      <c r="C318" s="15" t="s">
        <v>591</v>
      </c>
      <c r="D318" s="7"/>
      <c r="E318" s="15" t="s">
        <v>591</v>
      </c>
      <c r="F318" s="16" t="s">
        <v>631</v>
      </c>
      <c r="G318" s="7"/>
      <c r="H318" s="27">
        <v>1900.0</v>
      </c>
      <c r="I318" s="16"/>
      <c r="J318" s="18">
        <f t="shared" si="20"/>
        <v>2850</v>
      </c>
      <c r="K318" s="18">
        <f t="shared" si="21"/>
        <v>2470</v>
      </c>
      <c r="L318" s="19">
        <f t="shared" si="22"/>
        <v>2470</v>
      </c>
      <c r="M318" s="19">
        <f t="shared" si="23"/>
        <v>2280</v>
      </c>
      <c r="N318" s="19">
        <f t="shared" si="24"/>
        <v>2185</v>
      </c>
      <c r="O318" s="19">
        <f t="shared" si="25"/>
        <v>2090</v>
      </c>
    </row>
    <row r="319">
      <c r="A319" s="13" t="s">
        <v>19</v>
      </c>
      <c r="B319" s="14" t="s">
        <v>460</v>
      </c>
      <c r="C319" s="15" t="s">
        <v>591</v>
      </c>
      <c r="D319" s="7"/>
      <c r="E319" s="15" t="s">
        <v>591</v>
      </c>
      <c r="F319" s="16" t="s">
        <v>632</v>
      </c>
      <c r="G319" s="7"/>
      <c r="H319" s="27">
        <v>1900.0</v>
      </c>
      <c r="I319" s="16"/>
      <c r="J319" s="18">
        <f t="shared" si="20"/>
        <v>2850</v>
      </c>
      <c r="K319" s="18">
        <f t="shared" si="21"/>
        <v>2470</v>
      </c>
      <c r="L319" s="19">
        <f t="shared" si="22"/>
        <v>2470</v>
      </c>
      <c r="M319" s="19">
        <f t="shared" si="23"/>
        <v>2280</v>
      </c>
      <c r="N319" s="19">
        <f t="shared" si="24"/>
        <v>2185</v>
      </c>
      <c r="O319" s="19">
        <f t="shared" si="25"/>
        <v>2090</v>
      </c>
    </row>
    <row r="320">
      <c r="A320" s="13" t="s">
        <v>19</v>
      </c>
      <c r="B320" s="14" t="s">
        <v>460</v>
      </c>
      <c r="C320" s="15" t="s">
        <v>591</v>
      </c>
      <c r="D320" s="7"/>
      <c r="E320" s="15" t="s">
        <v>591</v>
      </c>
      <c r="F320" s="16" t="s">
        <v>633</v>
      </c>
      <c r="G320" s="7"/>
      <c r="H320" s="27">
        <v>3100.0</v>
      </c>
      <c r="I320" s="16"/>
      <c r="J320" s="18">
        <f t="shared" si="20"/>
        <v>4650</v>
      </c>
      <c r="K320" s="18">
        <f t="shared" si="21"/>
        <v>4030</v>
      </c>
      <c r="L320" s="19">
        <f t="shared" si="22"/>
        <v>4030</v>
      </c>
      <c r="M320" s="19">
        <f t="shared" si="23"/>
        <v>3720</v>
      </c>
      <c r="N320" s="19">
        <f t="shared" si="24"/>
        <v>3565</v>
      </c>
      <c r="O320" s="19">
        <f t="shared" si="25"/>
        <v>3410</v>
      </c>
    </row>
    <row r="321">
      <c r="A321" s="13" t="s">
        <v>19</v>
      </c>
      <c r="B321" s="14" t="s">
        <v>460</v>
      </c>
      <c r="C321" s="15" t="s">
        <v>591</v>
      </c>
      <c r="D321" s="7"/>
      <c r="E321" s="15" t="s">
        <v>591</v>
      </c>
      <c r="F321" s="16" t="s">
        <v>634</v>
      </c>
      <c r="G321" s="7"/>
      <c r="H321" s="27">
        <v>3100.0</v>
      </c>
      <c r="I321" s="16"/>
      <c r="J321" s="18">
        <f t="shared" si="20"/>
        <v>4650</v>
      </c>
      <c r="K321" s="18">
        <f t="shared" si="21"/>
        <v>4030</v>
      </c>
      <c r="L321" s="19">
        <f t="shared" si="22"/>
        <v>4030</v>
      </c>
      <c r="M321" s="19">
        <f t="shared" si="23"/>
        <v>3720</v>
      </c>
      <c r="N321" s="19">
        <f t="shared" si="24"/>
        <v>3565</v>
      </c>
      <c r="O321" s="19">
        <f t="shared" si="25"/>
        <v>3410</v>
      </c>
    </row>
    <row r="322">
      <c r="A322" s="13" t="s">
        <v>19</v>
      </c>
      <c r="B322" s="14" t="s">
        <v>460</v>
      </c>
      <c r="C322" s="15" t="s">
        <v>591</v>
      </c>
      <c r="D322" s="7"/>
      <c r="E322" s="15" t="s">
        <v>591</v>
      </c>
      <c r="F322" s="16" t="s">
        <v>635</v>
      </c>
      <c r="G322" s="7"/>
      <c r="H322" s="27">
        <v>3100.0</v>
      </c>
      <c r="I322" s="16"/>
      <c r="J322" s="18">
        <f t="shared" si="20"/>
        <v>4650</v>
      </c>
      <c r="K322" s="18">
        <f t="shared" si="21"/>
        <v>4030</v>
      </c>
      <c r="L322" s="19">
        <f t="shared" si="22"/>
        <v>4030</v>
      </c>
      <c r="M322" s="19">
        <f t="shared" si="23"/>
        <v>3720</v>
      </c>
      <c r="N322" s="19">
        <f t="shared" si="24"/>
        <v>3565</v>
      </c>
      <c r="O322" s="19">
        <f t="shared" si="25"/>
        <v>3410</v>
      </c>
    </row>
    <row r="323">
      <c r="A323" s="13" t="s">
        <v>19</v>
      </c>
      <c r="B323" s="14" t="s">
        <v>460</v>
      </c>
      <c r="C323" s="15" t="s">
        <v>591</v>
      </c>
      <c r="D323" s="7"/>
      <c r="E323" s="15" t="s">
        <v>591</v>
      </c>
      <c r="F323" s="16" t="s">
        <v>636</v>
      </c>
      <c r="G323" s="7"/>
      <c r="H323" s="27">
        <v>1900.0</v>
      </c>
      <c r="I323" s="16"/>
      <c r="J323" s="18">
        <f t="shared" si="20"/>
        <v>2850</v>
      </c>
      <c r="K323" s="18">
        <f t="shared" si="21"/>
        <v>2470</v>
      </c>
      <c r="L323" s="19">
        <f t="shared" si="22"/>
        <v>2470</v>
      </c>
      <c r="M323" s="19">
        <f t="shared" si="23"/>
        <v>2280</v>
      </c>
      <c r="N323" s="19">
        <f t="shared" si="24"/>
        <v>2185</v>
      </c>
      <c r="O323" s="19">
        <f t="shared" si="25"/>
        <v>2090</v>
      </c>
    </row>
    <row r="324">
      <c r="A324" s="13" t="s">
        <v>19</v>
      </c>
      <c r="B324" s="14" t="s">
        <v>460</v>
      </c>
      <c r="C324" s="15" t="s">
        <v>637</v>
      </c>
      <c r="D324" s="7"/>
      <c r="E324" s="14" t="s">
        <v>637</v>
      </c>
      <c r="F324" s="16" t="s">
        <v>627</v>
      </c>
      <c r="G324" s="7"/>
      <c r="H324" s="27">
        <v>1500.0</v>
      </c>
      <c r="I324" s="16"/>
      <c r="J324" s="18">
        <f t="shared" si="20"/>
        <v>2250</v>
      </c>
      <c r="K324" s="18">
        <f t="shared" si="21"/>
        <v>1950</v>
      </c>
      <c r="L324" s="19">
        <f t="shared" si="22"/>
        <v>1950</v>
      </c>
      <c r="M324" s="19">
        <f t="shared" si="23"/>
        <v>1800</v>
      </c>
      <c r="N324" s="19">
        <f t="shared" si="24"/>
        <v>1725</v>
      </c>
      <c r="O324" s="19">
        <f t="shared" si="25"/>
        <v>1650</v>
      </c>
    </row>
    <row r="325">
      <c r="A325" s="13" t="s">
        <v>19</v>
      </c>
      <c r="B325" s="14" t="s">
        <v>460</v>
      </c>
      <c r="C325" s="15" t="s">
        <v>637</v>
      </c>
      <c r="D325" s="7"/>
      <c r="E325" s="14" t="s">
        <v>637</v>
      </c>
      <c r="F325" s="16" t="s">
        <v>626</v>
      </c>
      <c r="G325" s="7"/>
      <c r="H325" s="27">
        <v>1500.0</v>
      </c>
      <c r="I325" s="16"/>
      <c r="J325" s="18">
        <f t="shared" si="20"/>
        <v>2250</v>
      </c>
      <c r="K325" s="18">
        <f t="shared" si="21"/>
        <v>1950</v>
      </c>
      <c r="L325" s="19">
        <f t="shared" si="22"/>
        <v>1950</v>
      </c>
      <c r="M325" s="19">
        <f t="shared" si="23"/>
        <v>1800</v>
      </c>
      <c r="N325" s="19">
        <f t="shared" si="24"/>
        <v>1725</v>
      </c>
      <c r="O325" s="19">
        <f t="shared" si="25"/>
        <v>1650</v>
      </c>
    </row>
    <row r="326">
      <c r="A326" s="13" t="s">
        <v>19</v>
      </c>
      <c r="B326" s="14" t="s">
        <v>460</v>
      </c>
      <c r="C326" s="15" t="s">
        <v>638</v>
      </c>
      <c r="D326" s="7"/>
      <c r="E326" s="15" t="s">
        <v>639</v>
      </c>
      <c r="F326" s="16" t="s">
        <v>640</v>
      </c>
      <c r="G326" s="7"/>
      <c r="H326" s="27">
        <v>1300.0</v>
      </c>
      <c r="I326" s="16"/>
      <c r="J326" s="18">
        <f t="shared" si="20"/>
        <v>1950</v>
      </c>
      <c r="K326" s="18">
        <f t="shared" si="21"/>
        <v>1690</v>
      </c>
      <c r="L326" s="19">
        <f t="shared" si="22"/>
        <v>1690</v>
      </c>
      <c r="M326" s="19">
        <f t="shared" si="23"/>
        <v>1560</v>
      </c>
      <c r="N326" s="19">
        <f t="shared" si="24"/>
        <v>1495</v>
      </c>
      <c r="O326" s="19">
        <f t="shared" si="25"/>
        <v>1430</v>
      </c>
    </row>
    <row r="327">
      <c r="A327" s="13" t="s">
        <v>19</v>
      </c>
      <c r="B327" s="14" t="s">
        <v>460</v>
      </c>
      <c r="C327" s="15" t="s">
        <v>638</v>
      </c>
      <c r="D327" s="7"/>
      <c r="E327" s="15" t="s">
        <v>639</v>
      </c>
      <c r="F327" s="16" t="s">
        <v>641</v>
      </c>
      <c r="G327" s="16"/>
      <c r="H327" s="27">
        <v>1500.0</v>
      </c>
      <c r="I327" s="16"/>
      <c r="J327" s="18">
        <f t="shared" si="20"/>
        <v>2250</v>
      </c>
      <c r="K327" s="18">
        <f t="shared" si="21"/>
        <v>1950</v>
      </c>
      <c r="L327" s="19">
        <f t="shared" si="22"/>
        <v>1950</v>
      </c>
      <c r="M327" s="19">
        <f t="shared" si="23"/>
        <v>1800</v>
      </c>
      <c r="N327" s="19">
        <f t="shared" si="24"/>
        <v>1725</v>
      </c>
      <c r="O327" s="19">
        <f t="shared" si="25"/>
        <v>1650</v>
      </c>
    </row>
    <row r="328">
      <c r="A328" s="13" t="s">
        <v>19</v>
      </c>
      <c r="B328" s="14" t="s">
        <v>460</v>
      </c>
      <c r="C328" s="15" t="s">
        <v>638</v>
      </c>
      <c r="D328" s="7"/>
      <c r="E328" s="15" t="s">
        <v>639</v>
      </c>
      <c r="F328" s="16" t="s">
        <v>642</v>
      </c>
      <c r="G328" s="7"/>
      <c r="H328" s="27">
        <v>1300.0</v>
      </c>
      <c r="I328" s="16"/>
      <c r="J328" s="18">
        <f t="shared" si="20"/>
        <v>1950</v>
      </c>
      <c r="K328" s="18">
        <f t="shared" si="21"/>
        <v>1690</v>
      </c>
      <c r="L328" s="19">
        <f t="shared" si="22"/>
        <v>1690</v>
      </c>
      <c r="M328" s="19">
        <f t="shared" si="23"/>
        <v>1560</v>
      </c>
      <c r="N328" s="19">
        <f t="shared" si="24"/>
        <v>1495</v>
      </c>
      <c r="O328" s="19">
        <f t="shared" si="25"/>
        <v>1430</v>
      </c>
    </row>
    <row r="329">
      <c r="A329" s="13" t="s">
        <v>19</v>
      </c>
      <c r="B329" s="14" t="s">
        <v>460</v>
      </c>
      <c r="C329" s="15" t="s">
        <v>637</v>
      </c>
      <c r="D329" s="7"/>
      <c r="E329" s="15" t="s">
        <v>643</v>
      </c>
      <c r="F329" s="16" t="s">
        <v>626</v>
      </c>
      <c r="G329" s="7"/>
      <c r="H329" s="27">
        <v>1500.0</v>
      </c>
      <c r="I329" s="16"/>
      <c r="J329" s="18">
        <f t="shared" si="20"/>
        <v>2250</v>
      </c>
      <c r="K329" s="18">
        <f t="shared" si="21"/>
        <v>1950</v>
      </c>
      <c r="L329" s="19">
        <f t="shared" si="22"/>
        <v>1950</v>
      </c>
      <c r="M329" s="19">
        <f t="shared" si="23"/>
        <v>1800</v>
      </c>
      <c r="N329" s="19">
        <f t="shared" si="24"/>
        <v>1725</v>
      </c>
      <c r="O329" s="19">
        <f t="shared" si="25"/>
        <v>1650</v>
      </c>
    </row>
    <row r="330">
      <c r="A330" s="13" t="s">
        <v>19</v>
      </c>
      <c r="B330" s="14" t="s">
        <v>460</v>
      </c>
      <c r="C330" s="15" t="s">
        <v>644</v>
      </c>
      <c r="D330" s="7"/>
      <c r="E330" s="15" t="s">
        <v>645</v>
      </c>
      <c r="F330" s="16" t="s">
        <v>645</v>
      </c>
      <c r="G330" s="7"/>
      <c r="H330" s="27">
        <v>700.0</v>
      </c>
      <c r="I330" s="16"/>
      <c r="J330" s="18">
        <f t="shared" si="20"/>
        <v>1050</v>
      </c>
      <c r="K330" s="18">
        <f t="shared" si="21"/>
        <v>910</v>
      </c>
      <c r="L330" s="19">
        <f t="shared" si="22"/>
        <v>910</v>
      </c>
      <c r="M330" s="19">
        <f t="shared" si="23"/>
        <v>840</v>
      </c>
      <c r="N330" s="19">
        <f t="shared" si="24"/>
        <v>805</v>
      </c>
      <c r="O330" s="19">
        <f t="shared" si="25"/>
        <v>770</v>
      </c>
    </row>
    <row r="331">
      <c r="A331" s="13" t="s">
        <v>19</v>
      </c>
      <c r="B331" s="14" t="s">
        <v>460</v>
      </c>
      <c r="C331" s="15" t="s">
        <v>644</v>
      </c>
      <c r="D331" s="7"/>
      <c r="E331" s="15" t="s">
        <v>645</v>
      </c>
      <c r="F331" s="16" t="s">
        <v>646</v>
      </c>
      <c r="G331" s="7"/>
      <c r="H331" s="27">
        <v>1000.0</v>
      </c>
      <c r="I331" s="16"/>
      <c r="J331" s="18">
        <f t="shared" si="20"/>
        <v>1500</v>
      </c>
      <c r="K331" s="18">
        <f t="shared" si="21"/>
        <v>1300</v>
      </c>
      <c r="L331" s="19">
        <f t="shared" si="22"/>
        <v>1300</v>
      </c>
      <c r="M331" s="19">
        <f t="shared" si="23"/>
        <v>1200</v>
      </c>
      <c r="N331" s="19">
        <f t="shared" si="24"/>
        <v>1150</v>
      </c>
      <c r="O331" s="19">
        <f t="shared" si="25"/>
        <v>1100</v>
      </c>
    </row>
    <row r="332">
      <c r="A332" s="13" t="s">
        <v>19</v>
      </c>
      <c r="B332" s="14" t="s">
        <v>460</v>
      </c>
      <c r="C332" s="15" t="s">
        <v>644</v>
      </c>
      <c r="D332" s="7"/>
      <c r="E332" s="15" t="s">
        <v>647</v>
      </c>
      <c r="F332" s="16" t="s">
        <v>648</v>
      </c>
      <c r="G332" s="7"/>
      <c r="H332" s="27">
        <v>700.0</v>
      </c>
      <c r="I332" s="16"/>
      <c r="J332" s="18">
        <f t="shared" si="20"/>
        <v>1050</v>
      </c>
      <c r="K332" s="18">
        <f t="shared" si="21"/>
        <v>910</v>
      </c>
      <c r="L332" s="19">
        <f t="shared" si="22"/>
        <v>910</v>
      </c>
      <c r="M332" s="19">
        <f t="shared" si="23"/>
        <v>840</v>
      </c>
      <c r="N332" s="19">
        <f t="shared" si="24"/>
        <v>805</v>
      </c>
      <c r="O332" s="19">
        <f t="shared" si="25"/>
        <v>770</v>
      </c>
    </row>
    <row r="333">
      <c r="A333" s="13" t="s">
        <v>19</v>
      </c>
      <c r="B333" s="14" t="s">
        <v>460</v>
      </c>
      <c r="C333" s="15" t="s">
        <v>649</v>
      </c>
      <c r="D333" s="7"/>
      <c r="E333" s="15" t="s">
        <v>650</v>
      </c>
      <c r="F333" s="16" t="s">
        <v>651</v>
      </c>
      <c r="G333" s="7"/>
      <c r="H333" s="27">
        <v>700.0</v>
      </c>
      <c r="I333" s="16"/>
      <c r="J333" s="18">
        <f t="shared" si="20"/>
        <v>1050</v>
      </c>
      <c r="K333" s="18">
        <f t="shared" si="21"/>
        <v>910</v>
      </c>
      <c r="L333" s="19">
        <f t="shared" si="22"/>
        <v>910</v>
      </c>
      <c r="M333" s="19">
        <f t="shared" si="23"/>
        <v>840</v>
      </c>
      <c r="N333" s="19">
        <f t="shared" si="24"/>
        <v>805</v>
      </c>
      <c r="O333" s="19">
        <f t="shared" si="25"/>
        <v>770</v>
      </c>
    </row>
    <row r="334">
      <c r="A334" s="13" t="s">
        <v>19</v>
      </c>
      <c r="B334" s="14" t="s">
        <v>460</v>
      </c>
      <c r="C334" s="15" t="s">
        <v>644</v>
      </c>
      <c r="D334" s="7"/>
      <c r="E334" s="15" t="s">
        <v>652</v>
      </c>
      <c r="F334" s="16" t="s">
        <v>653</v>
      </c>
      <c r="G334" s="7"/>
      <c r="H334" s="27">
        <v>130.0</v>
      </c>
      <c r="I334" s="16"/>
      <c r="J334" s="18">
        <f t="shared" si="20"/>
        <v>195</v>
      </c>
      <c r="K334" s="18">
        <f t="shared" si="21"/>
        <v>169</v>
      </c>
      <c r="L334" s="19">
        <f t="shared" si="22"/>
        <v>169</v>
      </c>
      <c r="M334" s="19">
        <f t="shared" si="23"/>
        <v>156</v>
      </c>
      <c r="N334" s="19">
        <f t="shared" si="24"/>
        <v>149.5</v>
      </c>
      <c r="O334" s="19">
        <f t="shared" si="25"/>
        <v>143</v>
      </c>
    </row>
    <row r="335">
      <c r="A335" s="13" t="s">
        <v>19</v>
      </c>
      <c r="B335" s="14" t="s">
        <v>460</v>
      </c>
      <c r="C335" s="15" t="s">
        <v>654</v>
      </c>
      <c r="D335" s="7"/>
      <c r="E335" s="15" t="s">
        <v>655</v>
      </c>
      <c r="F335" s="16"/>
      <c r="G335" s="7"/>
      <c r="H335" s="27">
        <v>3100.0</v>
      </c>
      <c r="I335" s="16"/>
      <c r="J335" s="18">
        <f t="shared" si="20"/>
        <v>4650</v>
      </c>
      <c r="K335" s="18">
        <f t="shared" si="21"/>
        <v>4030</v>
      </c>
      <c r="L335" s="19">
        <f t="shared" si="22"/>
        <v>4030</v>
      </c>
      <c r="M335" s="19">
        <f t="shared" si="23"/>
        <v>3720</v>
      </c>
      <c r="N335" s="19">
        <f t="shared" si="24"/>
        <v>3565</v>
      </c>
      <c r="O335" s="19">
        <f t="shared" si="25"/>
        <v>3410</v>
      </c>
    </row>
    <row r="336">
      <c r="A336" s="13" t="s">
        <v>19</v>
      </c>
      <c r="B336" s="14" t="s">
        <v>460</v>
      </c>
      <c r="C336" s="15" t="s">
        <v>654</v>
      </c>
      <c r="D336" s="7"/>
      <c r="E336" s="15" t="s">
        <v>656</v>
      </c>
      <c r="F336" s="16" t="s">
        <v>657</v>
      </c>
      <c r="G336" s="7"/>
      <c r="H336" s="27">
        <v>800.0</v>
      </c>
      <c r="I336" s="16"/>
      <c r="J336" s="18">
        <f t="shared" si="20"/>
        <v>1200</v>
      </c>
      <c r="K336" s="18">
        <f t="shared" si="21"/>
        <v>1040</v>
      </c>
      <c r="L336" s="19">
        <f t="shared" si="22"/>
        <v>1040</v>
      </c>
      <c r="M336" s="19">
        <f t="shared" si="23"/>
        <v>960</v>
      </c>
      <c r="N336" s="19">
        <f t="shared" si="24"/>
        <v>920</v>
      </c>
      <c r="O336" s="19">
        <f t="shared" si="25"/>
        <v>880</v>
      </c>
    </row>
    <row r="337">
      <c r="A337" s="13" t="s">
        <v>19</v>
      </c>
      <c r="B337" s="14" t="s">
        <v>460</v>
      </c>
      <c r="C337" s="15" t="s">
        <v>654</v>
      </c>
      <c r="D337" s="7"/>
      <c r="E337" s="15" t="s">
        <v>658</v>
      </c>
      <c r="F337" s="16" t="s">
        <v>659</v>
      </c>
      <c r="G337" s="7"/>
      <c r="H337" s="27">
        <v>1600.0</v>
      </c>
      <c r="I337" s="16"/>
      <c r="J337" s="18">
        <f t="shared" si="20"/>
        <v>2400</v>
      </c>
      <c r="K337" s="18">
        <f t="shared" si="21"/>
        <v>2080</v>
      </c>
      <c r="L337" s="19">
        <f t="shared" si="22"/>
        <v>2080</v>
      </c>
      <c r="M337" s="19">
        <f t="shared" si="23"/>
        <v>1920</v>
      </c>
      <c r="N337" s="19">
        <f t="shared" si="24"/>
        <v>1840</v>
      </c>
      <c r="O337" s="19">
        <f t="shared" si="25"/>
        <v>1760</v>
      </c>
    </row>
    <row r="338">
      <c r="A338" s="13" t="s">
        <v>19</v>
      </c>
      <c r="B338" s="14" t="s">
        <v>460</v>
      </c>
      <c r="C338" s="15" t="s">
        <v>654</v>
      </c>
      <c r="D338" s="7"/>
      <c r="E338" s="15" t="s">
        <v>660</v>
      </c>
      <c r="F338" s="16"/>
      <c r="G338" s="7"/>
      <c r="H338" s="27">
        <v>6200.0</v>
      </c>
      <c r="I338" s="16"/>
      <c r="J338" s="18">
        <f t="shared" si="20"/>
        <v>9300</v>
      </c>
      <c r="K338" s="18">
        <f t="shared" si="21"/>
        <v>8060</v>
      </c>
      <c r="L338" s="19">
        <f t="shared" si="22"/>
        <v>8060</v>
      </c>
      <c r="M338" s="19">
        <f t="shared" si="23"/>
        <v>7440</v>
      </c>
      <c r="N338" s="19">
        <f t="shared" si="24"/>
        <v>7130</v>
      </c>
      <c r="O338" s="19">
        <f t="shared" si="25"/>
        <v>6820</v>
      </c>
    </row>
    <row r="339">
      <c r="A339" s="13" t="s">
        <v>19</v>
      </c>
      <c r="B339" s="14" t="s">
        <v>460</v>
      </c>
      <c r="C339" s="15" t="s">
        <v>654</v>
      </c>
      <c r="D339" s="7"/>
      <c r="E339" s="15" t="s">
        <v>661</v>
      </c>
      <c r="F339" s="16" t="s">
        <v>662</v>
      </c>
      <c r="G339" s="7"/>
      <c r="H339" s="27">
        <v>1300.0</v>
      </c>
      <c r="I339" s="15" t="s">
        <v>663</v>
      </c>
      <c r="J339" s="18">
        <f t="shared" si="20"/>
        <v>1950</v>
      </c>
      <c r="K339" s="18">
        <f t="shared" si="21"/>
        <v>1690</v>
      </c>
      <c r="L339" s="19">
        <f t="shared" si="22"/>
        <v>1690</v>
      </c>
      <c r="M339" s="19">
        <f t="shared" si="23"/>
        <v>1560</v>
      </c>
      <c r="N339" s="19">
        <f t="shared" si="24"/>
        <v>1495</v>
      </c>
      <c r="O339" s="19">
        <f t="shared" si="25"/>
        <v>1430</v>
      </c>
    </row>
    <row r="340">
      <c r="A340" s="13" t="s">
        <v>19</v>
      </c>
      <c r="B340" s="14" t="s">
        <v>460</v>
      </c>
      <c r="C340" s="15" t="s">
        <v>654</v>
      </c>
      <c r="D340" s="7"/>
      <c r="E340" s="15" t="s">
        <v>661</v>
      </c>
      <c r="F340" s="16" t="s">
        <v>664</v>
      </c>
      <c r="G340" s="7"/>
      <c r="H340" s="27">
        <v>700.0</v>
      </c>
      <c r="I340" s="16" t="s">
        <v>665</v>
      </c>
      <c r="J340" s="18">
        <f t="shared" si="20"/>
        <v>1050</v>
      </c>
      <c r="K340" s="18">
        <f t="shared" si="21"/>
        <v>910</v>
      </c>
      <c r="L340" s="19">
        <f t="shared" si="22"/>
        <v>910</v>
      </c>
      <c r="M340" s="19">
        <f t="shared" si="23"/>
        <v>840</v>
      </c>
      <c r="N340" s="19">
        <f t="shared" si="24"/>
        <v>805</v>
      </c>
      <c r="O340" s="19">
        <f t="shared" si="25"/>
        <v>770</v>
      </c>
    </row>
    <row r="341">
      <c r="A341" s="13" t="s">
        <v>19</v>
      </c>
      <c r="B341" s="14" t="s">
        <v>460</v>
      </c>
      <c r="C341" s="15" t="s">
        <v>654</v>
      </c>
      <c r="D341" s="7"/>
      <c r="E341" s="15" t="s">
        <v>661</v>
      </c>
      <c r="F341" s="16" t="s">
        <v>664</v>
      </c>
      <c r="G341" s="7"/>
      <c r="H341" s="27">
        <v>700.0</v>
      </c>
      <c r="I341" s="16" t="s">
        <v>666</v>
      </c>
      <c r="J341" s="18">
        <f t="shared" si="20"/>
        <v>1050</v>
      </c>
      <c r="K341" s="18">
        <f t="shared" si="21"/>
        <v>910</v>
      </c>
      <c r="L341" s="19">
        <f t="shared" si="22"/>
        <v>910</v>
      </c>
      <c r="M341" s="19">
        <f t="shared" si="23"/>
        <v>840</v>
      </c>
      <c r="N341" s="19">
        <f t="shared" si="24"/>
        <v>805</v>
      </c>
      <c r="O341" s="19">
        <f t="shared" si="25"/>
        <v>770</v>
      </c>
    </row>
    <row r="342">
      <c r="A342" s="13" t="s">
        <v>19</v>
      </c>
      <c r="B342" s="14" t="s">
        <v>460</v>
      </c>
      <c r="C342" s="15" t="s">
        <v>654</v>
      </c>
      <c r="D342" s="7"/>
      <c r="E342" s="15" t="s">
        <v>667</v>
      </c>
      <c r="F342" s="16" t="s">
        <v>668</v>
      </c>
      <c r="G342" s="7"/>
      <c r="H342" s="27">
        <v>5000.0</v>
      </c>
      <c r="I342" s="16"/>
      <c r="J342" s="18">
        <f t="shared" si="20"/>
        <v>7500</v>
      </c>
      <c r="K342" s="18">
        <f t="shared" si="21"/>
        <v>6500</v>
      </c>
      <c r="L342" s="19">
        <f t="shared" si="22"/>
        <v>6500</v>
      </c>
      <c r="M342" s="19">
        <f t="shared" si="23"/>
        <v>6000</v>
      </c>
      <c r="N342" s="19">
        <f t="shared" si="24"/>
        <v>5750</v>
      </c>
      <c r="O342" s="19">
        <f t="shared" si="25"/>
        <v>5500</v>
      </c>
    </row>
    <row r="343">
      <c r="A343" s="13" t="s">
        <v>19</v>
      </c>
      <c r="B343" s="14" t="s">
        <v>460</v>
      </c>
      <c r="C343" s="15" t="s">
        <v>654</v>
      </c>
      <c r="D343" s="7"/>
      <c r="E343" s="15" t="s">
        <v>669</v>
      </c>
      <c r="F343" s="16" t="s">
        <v>670</v>
      </c>
      <c r="G343" s="7"/>
      <c r="H343" s="27">
        <v>130.0</v>
      </c>
      <c r="I343" s="16"/>
      <c r="J343" s="18">
        <f t="shared" si="20"/>
        <v>195</v>
      </c>
      <c r="K343" s="18">
        <f t="shared" si="21"/>
        <v>169</v>
      </c>
      <c r="L343" s="19">
        <f t="shared" si="22"/>
        <v>169</v>
      </c>
      <c r="M343" s="19">
        <f t="shared" si="23"/>
        <v>156</v>
      </c>
      <c r="N343" s="19">
        <f t="shared" si="24"/>
        <v>149.5</v>
      </c>
      <c r="O343" s="19">
        <f t="shared" si="25"/>
        <v>143</v>
      </c>
    </row>
    <row r="344">
      <c r="A344" s="13" t="s">
        <v>19</v>
      </c>
      <c r="B344" s="14" t="s">
        <v>460</v>
      </c>
      <c r="C344" s="15" t="s">
        <v>654</v>
      </c>
      <c r="D344" s="7"/>
      <c r="E344" s="15" t="s">
        <v>669</v>
      </c>
      <c r="F344" s="16" t="s">
        <v>671</v>
      </c>
      <c r="G344" s="7"/>
      <c r="H344" s="27">
        <v>130.0</v>
      </c>
      <c r="I344" s="16"/>
      <c r="J344" s="18">
        <f t="shared" si="20"/>
        <v>195</v>
      </c>
      <c r="K344" s="18">
        <f t="shared" si="21"/>
        <v>169</v>
      </c>
      <c r="L344" s="19">
        <f t="shared" si="22"/>
        <v>169</v>
      </c>
      <c r="M344" s="19">
        <f t="shared" si="23"/>
        <v>156</v>
      </c>
      <c r="N344" s="19">
        <f t="shared" si="24"/>
        <v>149.5</v>
      </c>
      <c r="O344" s="19">
        <f t="shared" si="25"/>
        <v>143</v>
      </c>
    </row>
    <row r="345">
      <c r="A345" s="13" t="s">
        <v>19</v>
      </c>
      <c r="B345" s="14" t="s">
        <v>460</v>
      </c>
      <c r="C345" s="15" t="s">
        <v>654</v>
      </c>
      <c r="D345" s="7"/>
      <c r="E345" s="15" t="s">
        <v>669</v>
      </c>
      <c r="F345" s="16" t="s">
        <v>672</v>
      </c>
      <c r="G345" s="7"/>
      <c r="H345" s="27">
        <v>130.0</v>
      </c>
      <c r="I345" s="16"/>
      <c r="J345" s="18">
        <f t="shared" si="20"/>
        <v>195</v>
      </c>
      <c r="K345" s="18">
        <f t="shared" si="21"/>
        <v>169</v>
      </c>
      <c r="L345" s="19">
        <f t="shared" si="22"/>
        <v>169</v>
      </c>
      <c r="M345" s="19">
        <f t="shared" si="23"/>
        <v>156</v>
      </c>
      <c r="N345" s="19">
        <f t="shared" si="24"/>
        <v>149.5</v>
      </c>
      <c r="O345" s="19">
        <f t="shared" si="25"/>
        <v>143</v>
      </c>
    </row>
    <row r="346">
      <c r="A346" s="13" t="s">
        <v>19</v>
      </c>
      <c r="B346" s="14" t="s">
        <v>460</v>
      </c>
      <c r="C346" s="15" t="s">
        <v>654</v>
      </c>
      <c r="D346" s="7"/>
      <c r="E346" s="15" t="s">
        <v>673</v>
      </c>
      <c r="F346" s="16" t="s">
        <v>674</v>
      </c>
      <c r="G346" s="7"/>
      <c r="H346" s="27">
        <v>2500.0</v>
      </c>
      <c r="I346" s="16"/>
      <c r="J346" s="18">
        <f t="shared" si="20"/>
        <v>3750</v>
      </c>
      <c r="K346" s="18">
        <f t="shared" si="21"/>
        <v>3250</v>
      </c>
      <c r="L346" s="19">
        <f t="shared" si="22"/>
        <v>3250</v>
      </c>
      <c r="M346" s="19">
        <f t="shared" si="23"/>
        <v>3000</v>
      </c>
      <c r="N346" s="19">
        <f t="shared" si="24"/>
        <v>2875</v>
      </c>
      <c r="O346" s="19">
        <f t="shared" si="25"/>
        <v>2750</v>
      </c>
    </row>
    <row r="347">
      <c r="A347" s="13" t="s">
        <v>19</v>
      </c>
      <c r="B347" s="14" t="s">
        <v>460</v>
      </c>
      <c r="C347" s="15" t="s">
        <v>654</v>
      </c>
      <c r="D347" s="7"/>
      <c r="E347" s="15" t="s">
        <v>673</v>
      </c>
      <c r="F347" s="16" t="s">
        <v>675</v>
      </c>
      <c r="G347" s="7"/>
      <c r="H347" s="27">
        <v>5000.0</v>
      </c>
      <c r="I347" s="16"/>
      <c r="J347" s="18">
        <f t="shared" si="20"/>
        <v>7500</v>
      </c>
      <c r="K347" s="18">
        <f t="shared" si="21"/>
        <v>6500</v>
      </c>
      <c r="L347" s="19">
        <f t="shared" si="22"/>
        <v>6500</v>
      </c>
      <c r="M347" s="19">
        <f t="shared" si="23"/>
        <v>6000</v>
      </c>
      <c r="N347" s="19">
        <f t="shared" si="24"/>
        <v>5750</v>
      </c>
      <c r="O347" s="19">
        <f t="shared" si="25"/>
        <v>5500</v>
      </c>
    </row>
    <row r="348">
      <c r="A348" s="13" t="s">
        <v>19</v>
      </c>
      <c r="B348" s="14" t="s">
        <v>460</v>
      </c>
      <c r="C348" s="15" t="s">
        <v>654</v>
      </c>
      <c r="D348" s="7"/>
      <c r="E348" s="15" t="s">
        <v>673</v>
      </c>
      <c r="F348" s="16" t="s">
        <v>676</v>
      </c>
      <c r="G348" s="7"/>
      <c r="H348" s="27">
        <v>1300.0</v>
      </c>
      <c r="I348" s="16"/>
      <c r="J348" s="18">
        <f t="shared" si="20"/>
        <v>1950</v>
      </c>
      <c r="K348" s="18">
        <f t="shared" si="21"/>
        <v>1690</v>
      </c>
      <c r="L348" s="19">
        <f t="shared" si="22"/>
        <v>1690</v>
      </c>
      <c r="M348" s="19">
        <f t="shared" si="23"/>
        <v>1560</v>
      </c>
      <c r="N348" s="19">
        <f t="shared" si="24"/>
        <v>1495</v>
      </c>
      <c r="O348" s="19">
        <f t="shared" si="25"/>
        <v>1430</v>
      </c>
    </row>
    <row r="349">
      <c r="A349" s="13" t="s">
        <v>19</v>
      </c>
      <c r="B349" s="14" t="s">
        <v>460</v>
      </c>
      <c r="C349" s="15" t="s">
        <v>677</v>
      </c>
      <c r="D349" s="7"/>
      <c r="E349" s="15" t="s">
        <v>678</v>
      </c>
      <c r="F349" s="16" t="s">
        <v>679</v>
      </c>
      <c r="G349" s="7"/>
      <c r="H349" s="27">
        <v>1300.0</v>
      </c>
      <c r="I349" s="16"/>
      <c r="J349" s="18">
        <f t="shared" si="20"/>
        <v>1950</v>
      </c>
      <c r="K349" s="18">
        <f t="shared" si="21"/>
        <v>1690</v>
      </c>
      <c r="L349" s="19">
        <f t="shared" si="22"/>
        <v>1690</v>
      </c>
      <c r="M349" s="19">
        <f t="shared" si="23"/>
        <v>1560</v>
      </c>
      <c r="N349" s="19">
        <f t="shared" si="24"/>
        <v>1495</v>
      </c>
      <c r="O349" s="19">
        <f t="shared" si="25"/>
        <v>1430</v>
      </c>
    </row>
    <row r="350">
      <c r="A350" s="13" t="s">
        <v>19</v>
      </c>
      <c r="B350" s="14" t="s">
        <v>460</v>
      </c>
      <c r="C350" s="15" t="s">
        <v>677</v>
      </c>
      <c r="D350" s="7"/>
      <c r="E350" s="15" t="s">
        <v>680</v>
      </c>
      <c r="F350" s="16" t="s">
        <v>681</v>
      </c>
      <c r="G350" s="7"/>
      <c r="H350" s="27">
        <v>3700.0</v>
      </c>
      <c r="I350" s="16"/>
      <c r="J350" s="18">
        <f t="shared" si="20"/>
        <v>5550</v>
      </c>
      <c r="K350" s="18">
        <f t="shared" si="21"/>
        <v>4810</v>
      </c>
      <c r="L350" s="19">
        <f t="shared" si="22"/>
        <v>4810</v>
      </c>
      <c r="M350" s="19">
        <f t="shared" si="23"/>
        <v>4440</v>
      </c>
      <c r="N350" s="19">
        <f t="shared" si="24"/>
        <v>4255</v>
      </c>
      <c r="O350" s="19">
        <f t="shared" si="25"/>
        <v>4070</v>
      </c>
    </row>
    <row r="351">
      <c r="A351" s="13" t="s">
        <v>19</v>
      </c>
      <c r="B351" s="14" t="s">
        <v>460</v>
      </c>
      <c r="C351" s="15" t="s">
        <v>677</v>
      </c>
      <c r="D351" s="7"/>
      <c r="E351" s="15" t="s">
        <v>682</v>
      </c>
      <c r="F351" s="16" t="s">
        <v>683</v>
      </c>
      <c r="G351" s="7"/>
      <c r="H351" s="27">
        <v>400.0</v>
      </c>
      <c r="I351" s="16"/>
      <c r="J351" s="18">
        <f t="shared" si="20"/>
        <v>600</v>
      </c>
      <c r="K351" s="18">
        <f t="shared" si="21"/>
        <v>520</v>
      </c>
      <c r="L351" s="19">
        <f t="shared" si="22"/>
        <v>520</v>
      </c>
      <c r="M351" s="19">
        <f t="shared" si="23"/>
        <v>480</v>
      </c>
      <c r="N351" s="19">
        <f t="shared" si="24"/>
        <v>460</v>
      </c>
      <c r="O351" s="19">
        <f t="shared" si="25"/>
        <v>440</v>
      </c>
    </row>
    <row r="352">
      <c r="A352" s="13" t="s">
        <v>19</v>
      </c>
      <c r="B352" s="14" t="s">
        <v>460</v>
      </c>
      <c r="C352" s="15" t="s">
        <v>677</v>
      </c>
      <c r="D352" s="7"/>
      <c r="E352" s="15" t="s">
        <v>684</v>
      </c>
      <c r="F352" s="16" t="s">
        <v>685</v>
      </c>
      <c r="G352" s="7"/>
      <c r="H352" s="27">
        <v>400.0</v>
      </c>
      <c r="I352" s="16"/>
      <c r="J352" s="18">
        <f t="shared" si="20"/>
        <v>600</v>
      </c>
      <c r="K352" s="18">
        <f t="shared" si="21"/>
        <v>520</v>
      </c>
      <c r="L352" s="19">
        <f t="shared" si="22"/>
        <v>520</v>
      </c>
      <c r="M352" s="19">
        <f t="shared" si="23"/>
        <v>480</v>
      </c>
      <c r="N352" s="19">
        <f t="shared" si="24"/>
        <v>460</v>
      </c>
      <c r="O352" s="19">
        <f t="shared" si="25"/>
        <v>440</v>
      </c>
    </row>
    <row r="353">
      <c r="A353" s="13" t="s">
        <v>19</v>
      </c>
      <c r="B353" s="14" t="s">
        <v>460</v>
      </c>
      <c r="C353" s="15" t="s">
        <v>677</v>
      </c>
      <c r="D353" s="7"/>
      <c r="E353" s="15" t="s">
        <v>686</v>
      </c>
      <c r="F353" s="16" t="s">
        <v>687</v>
      </c>
      <c r="G353" s="7"/>
      <c r="H353" s="27">
        <v>3100.0</v>
      </c>
      <c r="I353" s="16"/>
      <c r="J353" s="18">
        <f t="shared" si="20"/>
        <v>4650</v>
      </c>
      <c r="K353" s="18">
        <f t="shared" si="21"/>
        <v>4030</v>
      </c>
      <c r="L353" s="19">
        <f t="shared" si="22"/>
        <v>4030</v>
      </c>
      <c r="M353" s="19">
        <f t="shared" si="23"/>
        <v>3720</v>
      </c>
      <c r="N353" s="19">
        <f t="shared" si="24"/>
        <v>3565</v>
      </c>
      <c r="O353" s="19">
        <f t="shared" si="25"/>
        <v>3410</v>
      </c>
    </row>
    <row r="354">
      <c r="A354" s="13" t="s">
        <v>19</v>
      </c>
      <c r="B354" s="14" t="s">
        <v>460</v>
      </c>
      <c r="C354" s="15" t="s">
        <v>677</v>
      </c>
      <c r="D354" s="7"/>
      <c r="E354" s="15" t="s">
        <v>688</v>
      </c>
      <c r="F354" s="16" t="s">
        <v>689</v>
      </c>
      <c r="G354" s="7"/>
      <c r="H354" s="27">
        <v>400.0</v>
      </c>
      <c r="I354" s="16"/>
      <c r="J354" s="18">
        <f t="shared" si="20"/>
        <v>600</v>
      </c>
      <c r="K354" s="18">
        <f t="shared" si="21"/>
        <v>520</v>
      </c>
      <c r="L354" s="19">
        <f t="shared" si="22"/>
        <v>520</v>
      </c>
      <c r="M354" s="19">
        <f t="shared" si="23"/>
        <v>480</v>
      </c>
      <c r="N354" s="19">
        <f t="shared" si="24"/>
        <v>460</v>
      </c>
      <c r="O354" s="19">
        <f t="shared" si="25"/>
        <v>440</v>
      </c>
    </row>
    <row r="355">
      <c r="A355" s="13" t="s">
        <v>19</v>
      </c>
      <c r="B355" s="14" t="s">
        <v>460</v>
      </c>
      <c r="C355" s="15" t="s">
        <v>677</v>
      </c>
      <c r="D355" s="7"/>
      <c r="E355" s="15" t="s">
        <v>690</v>
      </c>
      <c r="F355" s="16" t="s">
        <v>691</v>
      </c>
      <c r="G355" s="7"/>
      <c r="H355" s="27">
        <v>30.0</v>
      </c>
      <c r="I355" s="16"/>
      <c r="J355" s="18">
        <f t="shared" si="20"/>
        <v>45</v>
      </c>
      <c r="K355" s="18">
        <f t="shared" si="21"/>
        <v>39</v>
      </c>
      <c r="L355" s="19">
        <f t="shared" si="22"/>
        <v>39</v>
      </c>
      <c r="M355" s="19">
        <f t="shared" si="23"/>
        <v>36</v>
      </c>
      <c r="N355" s="19">
        <f t="shared" si="24"/>
        <v>34.5</v>
      </c>
      <c r="O355" s="19">
        <f t="shared" si="25"/>
        <v>33</v>
      </c>
    </row>
    <row r="356">
      <c r="A356" s="13" t="s">
        <v>19</v>
      </c>
      <c r="B356" s="14" t="s">
        <v>460</v>
      </c>
      <c r="C356" s="15" t="s">
        <v>677</v>
      </c>
      <c r="D356" s="7"/>
      <c r="E356" s="15" t="s">
        <v>690</v>
      </c>
      <c r="F356" s="13" t="s">
        <v>692</v>
      </c>
      <c r="G356" s="7"/>
      <c r="H356" s="27">
        <v>130.0</v>
      </c>
      <c r="I356" s="16"/>
      <c r="J356" s="18">
        <f t="shared" si="20"/>
        <v>195</v>
      </c>
      <c r="K356" s="18">
        <f t="shared" si="21"/>
        <v>169</v>
      </c>
      <c r="L356" s="19">
        <f t="shared" si="22"/>
        <v>169</v>
      </c>
      <c r="M356" s="19">
        <f t="shared" si="23"/>
        <v>156</v>
      </c>
      <c r="N356" s="19">
        <f t="shared" si="24"/>
        <v>149.5</v>
      </c>
      <c r="O356" s="19">
        <f t="shared" si="25"/>
        <v>143</v>
      </c>
    </row>
    <row r="357">
      <c r="A357" s="13" t="s">
        <v>19</v>
      </c>
      <c r="B357" s="14" t="s">
        <v>460</v>
      </c>
      <c r="C357" s="15" t="s">
        <v>677</v>
      </c>
      <c r="D357" s="7"/>
      <c r="E357" s="15" t="s">
        <v>693</v>
      </c>
      <c r="F357" s="16" t="s">
        <v>691</v>
      </c>
      <c r="G357" s="7"/>
      <c r="H357" s="27">
        <v>30.0</v>
      </c>
      <c r="I357" s="16"/>
      <c r="J357" s="18">
        <f t="shared" si="20"/>
        <v>45</v>
      </c>
      <c r="K357" s="18">
        <f t="shared" si="21"/>
        <v>39</v>
      </c>
      <c r="L357" s="19">
        <f t="shared" si="22"/>
        <v>39</v>
      </c>
      <c r="M357" s="19">
        <f t="shared" si="23"/>
        <v>36</v>
      </c>
      <c r="N357" s="19">
        <f t="shared" si="24"/>
        <v>34.5</v>
      </c>
      <c r="O357" s="19">
        <f t="shared" si="25"/>
        <v>33</v>
      </c>
    </row>
    <row r="358">
      <c r="A358" s="13" t="s">
        <v>19</v>
      </c>
      <c r="B358" s="14" t="s">
        <v>460</v>
      </c>
      <c r="C358" s="15" t="s">
        <v>694</v>
      </c>
      <c r="D358" s="7"/>
      <c r="E358" s="15" t="s">
        <v>695</v>
      </c>
      <c r="F358" s="16" t="s">
        <v>696</v>
      </c>
      <c r="G358" s="7"/>
      <c r="H358" s="27">
        <v>40.0</v>
      </c>
      <c r="I358" s="16"/>
      <c r="J358" s="18">
        <f t="shared" si="20"/>
        <v>60</v>
      </c>
      <c r="K358" s="18">
        <f t="shared" si="21"/>
        <v>52</v>
      </c>
      <c r="L358" s="19">
        <f t="shared" si="22"/>
        <v>52</v>
      </c>
      <c r="M358" s="19">
        <f t="shared" si="23"/>
        <v>48</v>
      </c>
      <c r="N358" s="19">
        <f t="shared" si="24"/>
        <v>46</v>
      </c>
      <c r="O358" s="19">
        <f t="shared" si="25"/>
        <v>44</v>
      </c>
    </row>
    <row r="359">
      <c r="A359" s="13" t="s">
        <v>19</v>
      </c>
      <c r="B359" s="14" t="s">
        <v>460</v>
      </c>
      <c r="C359" s="15" t="s">
        <v>694</v>
      </c>
      <c r="D359" s="7"/>
      <c r="E359" s="15" t="s">
        <v>697</v>
      </c>
      <c r="F359" s="16" t="s">
        <v>698</v>
      </c>
      <c r="G359" s="7"/>
      <c r="H359" s="27">
        <v>400.0</v>
      </c>
      <c r="I359" s="16"/>
      <c r="J359" s="18">
        <f t="shared" si="20"/>
        <v>600</v>
      </c>
      <c r="K359" s="18">
        <f t="shared" si="21"/>
        <v>520</v>
      </c>
      <c r="L359" s="19">
        <f t="shared" si="22"/>
        <v>520</v>
      </c>
      <c r="M359" s="19">
        <f t="shared" si="23"/>
        <v>480</v>
      </c>
      <c r="N359" s="19">
        <f t="shared" si="24"/>
        <v>460</v>
      </c>
      <c r="O359" s="19">
        <f t="shared" si="25"/>
        <v>440</v>
      </c>
    </row>
    <row r="360">
      <c r="A360" s="13" t="s">
        <v>19</v>
      </c>
      <c r="B360" s="14" t="s">
        <v>460</v>
      </c>
      <c r="C360" s="15" t="s">
        <v>694</v>
      </c>
      <c r="D360" s="7"/>
      <c r="E360" s="15" t="s">
        <v>697</v>
      </c>
      <c r="F360" s="16" t="s">
        <v>699</v>
      </c>
      <c r="G360" s="7"/>
      <c r="H360" s="27">
        <v>650.0</v>
      </c>
      <c r="I360" s="16"/>
      <c r="J360" s="18">
        <f t="shared" si="20"/>
        <v>975</v>
      </c>
      <c r="K360" s="18">
        <f t="shared" si="21"/>
        <v>845</v>
      </c>
      <c r="L360" s="19">
        <f t="shared" si="22"/>
        <v>845</v>
      </c>
      <c r="M360" s="19">
        <f t="shared" si="23"/>
        <v>780</v>
      </c>
      <c r="N360" s="19">
        <f t="shared" si="24"/>
        <v>747.5</v>
      </c>
      <c r="O360" s="19">
        <f t="shared" si="25"/>
        <v>715</v>
      </c>
    </row>
    <row r="361">
      <c r="A361" s="13" t="s">
        <v>19</v>
      </c>
      <c r="B361" s="14" t="s">
        <v>460</v>
      </c>
      <c r="C361" s="15" t="s">
        <v>694</v>
      </c>
      <c r="D361" s="7"/>
      <c r="E361" s="15" t="s">
        <v>697</v>
      </c>
      <c r="F361" s="16" t="s">
        <v>700</v>
      </c>
      <c r="G361" s="7"/>
      <c r="H361" s="27">
        <v>650.0</v>
      </c>
      <c r="I361" s="16"/>
      <c r="J361" s="18">
        <f t="shared" si="20"/>
        <v>975</v>
      </c>
      <c r="K361" s="18">
        <f t="shared" si="21"/>
        <v>845</v>
      </c>
      <c r="L361" s="19">
        <f t="shared" si="22"/>
        <v>845</v>
      </c>
      <c r="M361" s="19">
        <f t="shared" si="23"/>
        <v>780</v>
      </c>
      <c r="N361" s="19">
        <f t="shared" si="24"/>
        <v>747.5</v>
      </c>
      <c r="O361" s="19">
        <f t="shared" si="25"/>
        <v>715</v>
      </c>
    </row>
    <row r="362">
      <c r="A362" s="13" t="s">
        <v>19</v>
      </c>
      <c r="B362" s="14" t="s">
        <v>460</v>
      </c>
      <c r="C362" s="15" t="s">
        <v>701</v>
      </c>
      <c r="D362" s="7"/>
      <c r="E362" s="15" t="s">
        <v>702</v>
      </c>
      <c r="F362" s="16" t="s">
        <v>703</v>
      </c>
      <c r="G362" s="7"/>
      <c r="H362" s="27">
        <v>6200.0</v>
      </c>
      <c r="I362" s="16"/>
      <c r="J362" s="18">
        <f t="shared" si="20"/>
        <v>9300</v>
      </c>
      <c r="K362" s="18">
        <f t="shared" si="21"/>
        <v>8060</v>
      </c>
      <c r="L362" s="19">
        <f t="shared" si="22"/>
        <v>8060</v>
      </c>
      <c r="M362" s="19">
        <f t="shared" si="23"/>
        <v>7440</v>
      </c>
      <c r="N362" s="19">
        <f t="shared" si="24"/>
        <v>7130</v>
      </c>
      <c r="O362" s="19">
        <f t="shared" si="25"/>
        <v>6820</v>
      </c>
    </row>
    <row r="363">
      <c r="A363" s="13" t="s">
        <v>19</v>
      </c>
      <c r="B363" s="14" t="s">
        <v>460</v>
      </c>
      <c r="C363" s="15" t="s">
        <v>701</v>
      </c>
      <c r="D363" s="7"/>
      <c r="E363" s="15" t="s">
        <v>701</v>
      </c>
      <c r="F363" s="16" t="s">
        <v>704</v>
      </c>
      <c r="G363" s="7"/>
      <c r="H363" s="27">
        <v>6200.0</v>
      </c>
      <c r="I363" s="16"/>
      <c r="J363" s="18">
        <f t="shared" si="20"/>
        <v>9300</v>
      </c>
      <c r="K363" s="18">
        <f t="shared" si="21"/>
        <v>8060</v>
      </c>
      <c r="L363" s="19">
        <f t="shared" si="22"/>
        <v>8060</v>
      </c>
      <c r="M363" s="19">
        <f t="shared" si="23"/>
        <v>7440</v>
      </c>
      <c r="N363" s="19">
        <f t="shared" si="24"/>
        <v>7130</v>
      </c>
      <c r="O363" s="19">
        <f t="shared" si="25"/>
        <v>6820</v>
      </c>
    </row>
    <row r="364">
      <c r="A364" s="13" t="s">
        <v>19</v>
      </c>
      <c r="B364" s="14" t="s">
        <v>460</v>
      </c>
      <c r="C364" s="15" t="s">
        <v>705</v>
      </c>
      <c r="D364" s="7"/>
      <c r="E364" s="15" t="s">
        <v>705</v>
      </c>
      <c r="F364" s="16" t="s">
        <v>706</v>
      </c>
      <c r="G364" s="7"/>
      <c r="H364" s="27">
        <v>100.0</v>
      </c>
      <c r="I364" s="16"/>
      <c r="J364" s="18">
        <f t="shared" si="20"/>
        <v>150</v>
      </c>
      <c r="K364" s="18">
        <f t="shared" si="21"/>
        <v>130</v>
      </c>
      <c r="L364" s="19">
        <f t="shared" si="22"/>
        <v>130</v>
      </c>
      <c r="M364" s="19">
        <f t="shared" si="23"/>
        <v>120</v>
      </c>
      <c r="N364" s="19">
        <f t="shared" si="24"/>
        <v>115</v>
      </c>
      <c r="O364" s="19">
        <f t="shared" si="25"/>
        <v>110</v>
      </c>
    </row>
    <row r="365">
      <c r="A365" s="13" t="s">
        <v>19</v>
      </c>
      <c r="B365" s="14" t="s">
        <v>460</v>
      </c>
      <c r="C365" s="15" t="s">
        <v>705</v>
      </c>
      <c r="D365" s="7"/>
      <c r="E365" s="15" t="s">
        <v>705</v>
      </c>
      <c r="F365" s="16" t="s">
        <v>707</v>
      </c>
      <c r="G365" s="7"/>
      <c r="H365" s="27">
        <v>200.0</v>
      </c>
      <c r="I365" s="16"/>
      <c r="J365" s="18">
        <f t="shared" si="20"/>
        <v>300</v>
      </c>
      <c r="K365" s="18">
        <f t="shared" si="21"/>
        <v>260</v>
      </c>
      <c r="L365" s="19">
        <f t="shared" si="22"/>
        <v>260</v>
      </c>
      <c r="M365" s="19">
        <f t="shared" si="23"/>
        <v>240</v>
      </c>
      <c r="N365" s="19">
        <f t="shared" si="24"/>
        <v>230</v>
      </c>
      <c r="O365" s="19">
        <f t="shared" si="25"/>
        <v>220</v>
      </c>
    </row>
    <row r="366">
      <c r="A366" s="13" t="s">
        <v>19</v>
      </c>
      <c r="B366" s="14" t="s">
        <v>460</v>
      </c>
      <c r="C366" s="15" t="s">
        <v>701</v>
      </c>
      <c r="D366" s="7"/>
      <c r="E366" s="15" t="s">
        <v>708</v>
      </c>
      <c r="F366" s="16" t="s">
        <v>709</v>
      </c>
      <c r="G366" s="7"/>
      <c r="H366" s="27">
        <v>200.0</v>
      </c>
      <c r="I366" s="16"/>
      <c r="J366" s="18">
        <f t="shared" si="20"/>
        <v>300</v>
      </c>
      <c r="K366" s="18">
        <f t="shared" si="21"/>
        <v>260</v>
      </c>
      <c r="L366" s="19">
        <f t="shared" si="22"/>
        <v>260</v>
      </c>
      <c r="M366" s="19">
        <f t="shared" si="23"/>
        <v>240</v>
      </c>
      <c r="N366" s="19">
        <f t="shared" si="24"/>
        <v>230</v>
      </c>
      <c r="O366" s="19">
        <f t="shared" si="25"/>
        <v>220</v>
      </c>
    </row>
    <row r="367">
      <c r="A367" s="13" t="s">
        <v>19</v>
      </c>
      <c r="B367" s="14" t="s">
        <v>460</v>
      </c>
      <c r="C367" s="15" t="s">
        <v>701</v>
      </c>
      <c r="D367" s="7"/>
      <c r="E367" s="15" t="s">
        <v>708</v>
      </c>
      <c r="F367" s="16" t="s">
        <v>710</v>
      </c>
      <c r="G367" s="7"/>
      <c r="H367" s="27">
        <v>100.0</v>
      </c>
      <c r="I367" s="16"/>
      <c r="J367" s="18">
        <f t="shared" si="20"/>
        <v>150</v>
      </c>
      <c r="K367" s="18">
        <f t="shared" si="21"/>
        <v>130</v>
      </c>
      <c r="L367" s="19">
        <f t="shared" si="22"/>
        <v>130</v>
      </c>
      <c r="M367" s="19">
        <f t="shared" si="23"/>
        <v>120</v>
      </c>
      <c r="N367" s="19">
        <f t="shared" si="24"/>
        <v>115</v>
      </c>
      <c r="O367" s="19">
        <f t="shared" si="25"/>
        <v>110</v>
      </c>
    </row>
    <row r="368">
      <c r="A368" s="13" t="s">
        <v>19</v>
      </c>
      <c r="B368" s="14" t="s">
        <v>460</v>
      </c>
      <c r="C368" s="15" t="s">
        <v>701</v>
      </c>
      <c r="D368" s="7"/>
      <c r="E368" s="15" t="s">
        <v>711</v>
      </c>
      <c r="F368" s="16"/>
      <c r="G368" s="7"/>
      <c r="H368" s="27">
        <v>130.0</v>
      </c>
      <c r="I368" s="16"/>
      <c r="J368" s="18">
        <f t="shared" si="20"/>
        <v>195</v>
      </c>
      <c r="K368" s="18">
        <f t="shared" si="21"/>
        <v>169</v>
      </c>
      <c r="L368" s="19">
        <f t="shared" si="22"/>
        <v>169</v>
      </c>
      <c r="M368" s="19">
        <f t="shared" si="23"/>
        <v>156</v>
      </c>
      <c r="N368" s="19">
        <f t="shared" si="24"/>
        <v>149.5</v>
      </c>
      <c r="O368" s="19">
        <f t="shared" si="25"/>
        <v>143</v>
      </c>
    </row>
    <row r="369">
      <c r="A369" s="13" t="s">
        <v>19</v>
      </c>
      <c r="B369" s="14" t="s">
        <v>460</v>
      </c>
      <c r="C369" s="15" t="s">
        <v>712</v>
      </c>
      <c r="D369" s="7"/>
      <c r="E369" s="15" t="s">
        <v>712</v>
      </c>
      <c r="F369" s="16" t="s">
        <v>713</v>
      </c>
      <c r="G369" s="7"/>
      <c r="H369" s="27">
        <v>20.0</v>
      </c>
      <c r="I369" s="16"/>
      <c r="J369" s="18">
        <f t="shared" si="20"/>
        <v>30</v>
      </c>
      <c r="K369" s="18">
        <f t="shared" si="21"/>
        <v>26</v>
      </c>
      <c r="L369" s="19">
        <f t="shared" si="22"/>
        <v>26</v>
      </c>
      <c r="M369" s="19">
        <f t="shared" si="23"/>
        <v>24</v>
      </c>
      <c r="N369" s="19">
        <f t="shared" si="24"/>
        <v>23</v>
      </c>
      <c r="O369" s="19">
        <f t="shared" si="25"/>
        <v>22</v>
      </c>
    </row>
    <row r="370">
      <c r="A370" s="13" t="s">
        <v>19</v>
      </c>
      <c r="B370" s="14" t="s">
        <v>460</v>
      </c>
      <c r="C370" s="15" t="s">
        <v>714</v>
      </c>
      <c r="D370" s="7"/>
      <c r="E370" s="15" t="s">
        <v>714</v>
      </c>
      <c r="F370" s="16" t="s">
        <v>715</v>
      </c>
      <c r="G370" s="7"/>
      <c r="H370" s="27">
        <v>20.0</v>
      </c>
      <c r="I370" s="16"/>
      <c r="J370" s="18">
        <f t="shared" si="20"/>
        <v>30</v>
      </c>
      <c r="K370" s="18">
        <f t="shared" si="21"/>
        <v>26</v>
      </c>
      <c r="L370" s="19">
        <f t="shared" si="22"/>
        <v>26</v>
      </c>
      <c r="M370" s="19">
        <f t="shared" si="23"/>
        <v>24</v>
      </c>
      <c r="N370" s="19">
        <f t="shared" si="24"/>
        <v>23</v>
      </c>
      <c r="O370" s="19">
        <f t="shared" si="25"/>
        <v>22</v>
      </c>
    </row>
    <row r="371">
      <c r="A371" s="13" t="s">
        <v>19</v>
      </c>
      <c r="B371" s="14" t="s">
        <v>460</v>
      </c>
      <c r="C371" s="15" t="s">
        <v>716</v>
      </c>
      <c r="D371" s="7"/>
      <c r="E371" s="15" t="s">
        <v>716</v>
      </c>
      <c r="F371" s="16" t="s">
        <v>717</v>
      </c>
      <c r="G371" s="7"/>
      <c r="H371" s="27">
        <v>30.0</v>
      </c>
      <c r="I371" s="16"/>
      <c r="J371" s="18">
        <f t="shared" si="20"/>
        <v>45</v>
      </c>
      <c r="K371" s="18">
        <f t="shared" si="21"/>
        <v>39</v>
      </c>
      <c r="L371" s="19">
        <f t="shared" si="22"/>
        <v>39</v>
      </c>
      <c r="M371" s="19">
        <f t="shared" si="23"/>
        <v>36</v>
      </c>
      <c r="N371" s="19">
        <f t="shared" si="24"/>
        <v>34.5</v>
      </c>
      <c r="O371" s="19">
        <f t="shared" si="25"/>
        <v>33</v>
      </c>
    </row>
    <row r="372">
      <c r="A372" s="13" t="s">
        <v>19</v>
      </c>
      <c r="B372" s="14" t="s">
        <v>460</v>
      </c>
      <c r="C372" s="15" t="s">
        <v>718</v>
      </c>
      <c r="D372" s="7"/>
      <c r="E372" s="15" t="s">
        <v>718</v>
      </c>
      <c r="F372" s="16" t="s">
        <v>719</v>
      </c>
      <c r="G372" s="7"/>
      <c r="H372" s="27">
        <v>40.0</v>
      </c>
      <c r="I372" s="16"/>
      <c r="J372" s="18">
        <f t="shared" si="20"/>
        <v>60</v>
      </c>
      <c r="K372" s="18">
        <f t="shared" si="21"/>
        <v>52</v>
      </c>
      <c r="L372" s="19">
        <f t="shared" si="22"/>
        <v>52</v>
      </c>
      <c r="M372" s="19">
        <f t="shared" si="23"/>
        <v>48</v>
      </c>
      <c r="N372" s="19">
        <f t="shared" si="24"/>
        <v>46</v>
      </c>
      <c r="O372" s="19">
        <f t="shared" si="25"/>
        <v>44</v>
      </c>
    </row>
    <row r="373">
      <c r="A373" s="13" t="s">
        <v>19</v>
      </c>
      <c r="B373" s="14" t="s">
        <v>460</v>
      </c>
      <c r="C373" s="15" t="s">
        <v>720</v>
      </c>
      <c r="D373" s="7"/>
      <c r="E373" s="15" t="s">
        <v>721</v>
      </c>
      <c r="F373" s="16" t="s">
        <v>722</v>
      </c>
      <c r="G373" s="7"/>
      <c r="H373" s="27">
        <v>1300.0</v>
      </c>
      <c r="I373" s="16"/>
      <c r="J373" s="18">
        <f t="shared" si="20"/>
        <v>1950</v>
      </c>
      <c r="K373" s="18">
        <f t="shared" si="21"/>
        <v>1690</v>
      </c>
      <c r="L373" s="19">
        <f t="shared" si="22"/>
        <v>1690</v>
      </c>
      <c r="M373" s="19">
        <f t="shared" si="23"/>
        <v>1560</v>
      </c>
      <c r="N373" s="19">
        <f t="shared" si="24"/>
        <v>1495</v>
      </c>
      <c r="O373" s="19">
        <f t="shared" si="25"/>
        <v>1430</v>
      </c>
    </row>
    <row r="374">
      <c r="A374" s="13" t="s">
        <v>19</v>
      </c>
      <c r="B374" s="14" t="s">
        <v>460</v>
      </c>
      <c r="C374" s="15" t="s">
        <v>720</v>
      </c>
      <c r="D374" s="7"/>
      <c r="E374" s="15" t="s">
        <v>723</v>
      </c>
      <c r="F374" s="16" t="s">
        <v>724</v>
      </c>
      <c r="G374" s="7"/>
      <c r="H374" s="27">
        <v>2500.0</v>
      </c>
      <c r="I374" s="16"/>
      <c r="J374" s="18">
        <f t="shared" si="20"/>
        <v>3750</v>
      </c>
      <c r="K374" s="18">
        <f t="shared" si="21"/>
        <v>3250</v>
      </c>
      <c r="L374" s="19">
        <f t="shared" si="22"/>
        <v>3250</v>
      </c>
      <c r="M374" s="19">
        <f t="shared" si="23"/>
        <v>3000</v>
      </c>
      <c r="N374" s="19">
        <f t="shared" si="24"/>
        <v>2875</v>
      </c>
      <c r="O374" s="19">
        <f t="shared" si="25"/>
        <v>2750</v>
      </c>
    </row>
    <row r="375">
      <c r="A375" s="13" t="s">
        <v>19</v>
      </c>
      <c r="B375" s="14" t="s">
        <v>460</v>
      </c>
      <c r="C375" s="15" t="s">
        <v>720</v>
      </c>
      <c r="D375" s="7"/>
      <c r="E375" s="15" t="s">
        <v>725</v>
      </c>
      <c r="F375" s="16" t="s">
        <v>726</v>
      </c>
      <c r="G375" s="7"/>
      <c r="H375" s="27">
        <v>1900.0</v>
      </c>
      <c r="I375" s="16"/>
      <c r="J375" s="18">
        <f t="shared" si="20"/>
        <v>2850</v>
      </c>
      <c r="K375" s="18">
        <f t="shared" si="21"/>
        <v>2470</v>
      </c>
      <c r="L375" s="19">
        <f t="shared" si="22"/>
        <v>2470</v>
      </c>
      <c r="M375" s="19">
        <f t="shared" si="23"/>
        <v>2280</v>
      </c>
      <c r="N375" s="19">
        <f t="shared" si="24"/>
        <v>2185</v>
      </c>
      <c r="O375" s="19">
        <f t="shared" si="25"/>
        <v>2090</v>
      </c>
    </row>
    <row r="376">
      <c r="A376" s="13" t="s">
        <v>19</v>
      </c>
      <c r="B376" s="14" t="s">
        <v>460</v>
      </c>
      <c r="C376" s="15" t="s">
        <v>720</v>
      </c>
      <c r="D376" s="7"/>
      <c r="E376" s="15" t="s">
        <v>727</v>
      </c>
      <c r="F376" s="16" t="s">
        <v>728</v>
      </c>
      <c r="G376" s="7"/>
      <c r="H376" s="27">
        <v>1300.0</v>
      </c>
      <c r="I376" s="16"/>
      <c r="J376" s="18">
        <f t="shared" si="20"/>
        <v>1950</v>
      </c>
      <c r="K376" s="18">
        <f t="shared" si="21"/>
        <v>1690</v>
      </c>
      <c r="L376" s="19">
        <f t="shared" si="22"/>
        <v>1690</v>
      </c>
      <c r="M376" s="19">
        <f t="shared" si="23"/>
        <v>1560</v>
      </c>
      <c r="N376" s="19">
        <f t="shared" si="24"/>
        <v>1495</v>
      </c>
      <c r="O376" s="19">
        <f t="shared" si="25"/>
        <v>1430</v>
      </c>
    </row>
    <row r="377">
      <c r="A377" s="13" t="s">
        <v>19</v>
      </c>
      <c r="B377" s="14" t="s">
        <v>460</v>
      </c>
      <c r="C377" s="15" t="s">
        <v>720</v>
      </c>
      <c r="D377" s="7"/>
      <c r="E377" s="15" t="s">
        <v>729</v>
      </c>
      <c r="F377" s="16"/>
      <c r="G377" s="7"/>
      <c r="H377" s="27">
        <v>130.0</v>
      </c>
      <c r="I377" s="16"/>
      <c r="J377" s="18">
        <f t="shared" si="20"/>
        <v>195</v>
      </c>
      <c r="K377" s="18">
        <f t="shared" si="21"/>
        <v>169</v>
      </c>
      <c r="L377" s="19">
        <f t="shared" si="22"/>
        <v>169</v>
      </c>
      <c r="M377" s="19">
        <f t="shared" si="23"/>
        <v>156</v>
      </c>
      <c r="N377" s="19">
        <f t="shared" si="24"/>
        <v>149.5</v>
      </c>
      <c r="O377" s="19">
        <f t="shared" si="25"/>
        <v>143</v>
      </c>
    </row>
    <row r="378">
      <c r="A378" s="13" t="s">
        <v>19</v>
      </c>
      <c r="B378" s="14" t="s">
        <v>460</v>
      </c>
      <c r="C378" s="15" t="s">
        <v>720</v>
      </c>
      <c r="D378" s="7"/>
      <c r="E378" s="15" t="s">
        <v>730</v>
      </c>
      <c r="F378" s="16" t="s">
        <v>731</v>
      </c>
      <c r="G378" s="7"/>
      <c r="H378" s="27">
        <v>1300.0</v>
      </c>
      <c r="I378" s="16"/>
      <c r="J378" s="18">
        <f t="shared" si="20"/>
        <v>1950</v>
      </c>
      <c r="K378" s="18">
        <f t="shared" si="21"/>
        <v>1690</v>
      </c>
      <c r="L378" s="19">
        <f t="shared" si="22"/>
        <v>1690</v>
      </c>
      <c r="M378" s="19">
        <f t="shared" si="23"/>
        <v>1560</v>
      </c>
      <c r="N378" s="19">
        <f t="shared" si="24"/>
        <v>1495</v>
      </c>
      <c r="O378" s="19">
        <f t="shared" si="25"/>
        <v>1430</v>
      </c>
    </row>
    <row r="379">
      <c r="A379" s="13" t="s">
        <v>19</v>
      </c>
      <c r="B379" s="14" t="s">
        <v>460</v>
      </c>
      <c r="C379" s="15" t="s">
        <v>720</v>
      </c>
      <c r="D379" s="7"/>
      <c r="E379" s="15" t="s">
        <v>730</v>
      </c>
      <c r="F379" s="16" t="s">
        <v>732</v>
      </c>
      <c r="G379" s="7"/>
      <c r="H379" s="27">
        <v>1000.0</v>
      </c>
      <c r="I379" s="16"/>
      <c r="J379" s="18">
        <f t="shared" si="20"/>
        <v>1500</v>
      </c>
      <c r="K379" s="18">
        <f t="shared" si="21"/>
        <v>1300</v>
      </c>
      <c r="L379" s="19">
        <f t="shared" si="22"/>
        <v>1300</v>
      </c>
      <c r="M379" s="19">
        <f t="shared" si="23"/>
        <v>1200</v>
      </c>
      <c r="N379" s="19">
        <f t="shared" si="24"/>
        <v>1150</v>
      </c>
      <c r="O379" s="19">
        <f t="shared" si="25"/>
        <v>1100</v>
      </c>
    </row>
    <row r="380">
      <c r="A380" s="13" t="s">
        <v>19</v>
      </c>
      <c r="B380" s="14" t="s">
        <v>460</v>
      </c>
      <c r="C380" s="15" t="s">
        <v>720</v>
      </c>
      <c r="D380" s="7"/>
      <c r="E380" s="15" t="s">
        <v>733</v>
      </c>
      <c r="F380" s="16" t="s">
        <v>734</v>
      </c>
      <c r="G380" s="7"/>
      <c r="H380" s="27">
        <v>4400.0</v>
      </c>
      <c r="I380" s="16"/>
      <c r="J380" s="18">
        <f t="shared" si="20"/>
        <v>6600</v>
      </c>
      <c r="K380" s="18">
        <f t="shared" si="21"/>
        <v>5720</v>
      </c>
      <c r="L380" s="19">
        <f t="shared" si="22"/>
        <v>5720</v>
      </c>
      <c r="M380" s="19">
        <f t="shared" si="23"/>
        <v>5280</v>
      </c>
      <c r="N380" s="19">
        <f t="shared" si="24"/>
        <v>5060</v>
      </c>
      <c r="O380" s="19">
        <f t="shared" si="25"/>
        <v>4840</v>
      </c>
    </row>
    <row r="381">
      <c r="A381" s="13" t="s">
        <v>19</v>
      </c>
      <c r="B381" s="14" t="s">
        <v>460</v>
      </c>
      <c r="C381" s="15" t="s">
        <v>720</v>
      </c>
      <c r="D381" s="7"/>
      <c r="E381" s="15" t="s">
        <v>735</v>
      </c>
      <c r="F381" s="16" t="s">
        <v>736</v>
      </c>
      <c r="G381" s="7"/>
      <c r="H381" s="27">
        <v>700.0</v>
      </c>
      <c r="I381" s="16"/>
      <c r="J381" s="18">
        <f t="shared" si="20"/>
        <v>1050</v>
      </c>
      <c r="K381" s="18">
        <f t="shared" si="21"/>
        <v>910</v>
      </c>
      <c r="L381" s="19">
        <f t="shared" si="22"/>
        <v>910</v>
      </c>
      <c r="M381" s="19">
        <f t="shared" si="23"/>
        <v>840</v>
      </c>
      <c r="N381" s="19">
        <f t="shared" si="24"/>
        <v>805</v>
      </c>
      <c r="O381" s="19">
        <f t="shared" si="25"/>
        <v>770</v>
      </c>
    </row>
    <row r="382">
      <c r="A382" s="13" t="s">
        <v>19</v>
      </c>
      <c r="B382" s="14" t="s">
        <v>460</v>
      </c>
      <c r="C382" s="15" t="s">
        <v>720</v>
      </c>
      <c r="D382" s="7"/>
      <c r="E382" s="15" t="s">
        <v>737</v>
      </c>
      <c r="F382" s="16" t="s">
        <v>738</v>
      </c>
      <c r="G382" s="7"/>
      <c r="H382" s="27">
        <v>1000.0</v>
      </c>
      <c r="I382" s="16"/>
      <c r="J382" s="18">
        <f t="shared" si="20"/>
        <v>1500</v>
      </c>
      <c r="K382" s="18">
        <f t="shared" si="21"/>
        <v>1300</v>
      </c>
      <c r="L382" s="19">
        <f t="shared" si="22"/>
        <v>1300</v>
      </c>
      <c r="M382" s="19">
        <f t="shared" si="23"/>
        <v>1200</v>
      </c>
      <c r="N382" s="19">
        <f t="shared" si="24"/>
        <v>1150</v>
      </c>
      <c r="O382" s="19">
        <f t="shared" si="25"/>
        <v>1100</v>
      </c>
    </row>
    <row r="383">
      <c r="A383" s="13" t="s">
        <v>19</v>
      </c>
      <c r="B383" s="14" t="s">
        <v>460</v>
      </c>
      <c r="C383" s="15" t="s">
        <v>720</v>
      </c>
      <c r="D383" s="7"/>
      <c r="E383" s="15" t="s">
        <v>739</v>
      </c>
      <c r="F383" s="16" t="s">
        <v>740</v>
      </c>
      <c r="G383" s="7"/>
      <c r="H383" s="27">
        <v>70.0</v>
      </c>
      <c r="I383" s="16"/>
      <c r="J383" s="18">
        <f t="shared" si="20"/>
        <v>105</v>
      </c>
      <c r="K383" s="18">
        <f t="shared" si="21"/>
        <v>91</v>
      </c>
      <c r="L383" s="19">
        <f t="shared" si="22"/>
        <v>91</v>
      </c>
      <c r="M383" s="19">
        <f t="shared" si="23"/>
        <v>84</v>
      </c>
      <c r="N383" s="19">
        <f t="shared" si="24"/>
        <v>80.5</v>
      </c>
      <c r="O383" s="19">
        <f t="shared" si="25"/>
        <v>77</v>
      </c>
    </row>
    <row r="384">
      <c r="A384" s="13" t="s">
        <v>19</v>
      </c>
      <c r="B384" s="14" t="s">
        <v>460</v>
      </c>
      <c r="C384" s="15" t="s">
        <v>720</v>
      </c>
      <c r="D384" s="7"/>
      <c r="E384" s="15" t="s">
        <v>741</v>
      </c>
      <c r="F384" s="16" t="s">
        <v>740</v>
      </c>
      <c r="G384" s="7"/>
      <c r="H384" s="27">
        <v>70.0</v>
      </c>
      <c r="I384" s="16"/>
      <c r="J384" s="18">
        <f t="shared" si="20"/>
        <v>105</v>
      </c>
      <c r="K384" s="18">
        <f t="shared" si="21"/>
        <v>91</v>
      </c>
      <c r="L384" s="19">
        <f t="shared" si="22"/>
        <v>91</v>
      </c>
      <c r="M384" s="19">
        <f t="shared" si="23"/>
        <v>84</v>
      </c>
      <c r="N384" s="19">
        <f t="shared" si="24"/>
        <v>80.5</v>
      </c>
      <c r="O384" s="19">
        <f t="shared" si="25"/>
        <v>77</v>
      </c>
    </row>
    <row r="385">
      <c r="A385" s="13" t="s">
        <v>19</v>
      </c>
      <c r="B385" s="14" t="s">
        <v>460</v>
      </c>
      <c r="C385" s="15" t="s">
        <v>742</v>
      </c>
      <c r="D385" s="7"/>
      <c r="E385" s="15" t="s">
        <v>743</v>
      </c>
      <c r="F385" s="16" t="s">
        <v>744</v>
      </c>
      <c r="G385" s="7"/>
      <c r="H385" s="27">
        <v>700.0</v>
      </c>
      <c r="I385" s="16"/>
      <c r="J385" s="18">
        <f t="shared" si="20"/>
        <v>1050</v>
      </c>
      <c r="K385" s="18">
        <f t="shared" si="21"/>
        <v>910</v>
      </c>
      <c r="L385" s="19">
        <f t="shared" si="22"/>
        <v>910</v>
      </c>
      <c r="M385" s="19">
        <f t="shared" si="23"/>
        <v>840</v>
      </c>
      <c r="N385" s="19">
        <f t="shared" si="24"/>
        <v>805</v>
      </c>
      <c r="O385" s="19">
        <f t="shared" si="25"/>
        <v>770</v>
      </c>
    </row>
    <row r="386">
      <c r="A386" s="13" t="s">
        <v>19</v>
      </c>
      <c r="B386" s="14" t="s">
        <v>460</v>
      </c>
      <c r="C386" s="15" t="s">
        <v>742</v>
      </c>
      <c r="D386" s="7"/>
      <c r="E386" s="15" t="s">
        <v>745</v>
      </c>
      <c r="F386" s="16" t="s">
        <v>746</v>
      </c>
      <c r="G386" s="7"/>
      <c r="H386" s="27">
        <v>300.0</v>
      </c>
      <c r="I386" s="16"/>
      <c r="J386" s="18">
        <f t="shared" si="20"/>
        <v>450</v>
      </c>
      <c r="K386" s="18">
        <f t="shared" si="21"/>
        <v>390</v>
      </c>
      <c r="L386" s="19">
        <f t="shared" si="22"/>
        <v>390</v>
      </c>
      <c r="M386" s="19">
        <f t="shared" si="23"/>
        <v>360</v>
      </c>
      <c r="N386" s="19">
        <f t="shared" si="24"/>
        <v>345</v>
      </c>
      <c r="O386" s="19">
        <f t="shared" si="25"/>
        <v>330</v>
      </c>
    </row>
    <row r="387">
      <c r="A387" s="13" t="s">
        <v>19</v>
      </c>
      <c r="B387" s="14" t="s">
        <v>460</v>
      </c>
      <c r="C387" s="15" t="s">
        <v>742</v>
      </c>
      <c r="D387" s="7"/>
      <c r="E387" s="15" t="s">
        <v>747</v>
      </c>
      <c r="F387" s="16" t="s">
        <v>748</v>
      </c>
      <c r="G387" s="7"/>
      <c r="H387" s="27">
        <v>1300.0</v>
      </c>
      <c r="I387" s="16"/>
      <c r="J387" s="18">
        <f t="shared" si="20"/>
        <v>1950</v>
      </c>
      <c r="K387" s="18">
        <f t="shared" si="21"/>
        <v>1690</v>
      </c>
      <c r="L387" s="19">
        <f t="shared" si="22"/>
        <v>1690</v>
      </c>
      <c r="M387" s="19">
        <f t="shared" si="23"/>
        <v>1560</v>
      </c>
      <c r="N387" s="19">
        <f t="shared" si="24"/>
        <v>1495</v>
      </c>
      <c r="O387" s="19">
        <f t="shared" si="25"/>
        <v>1430</v>
      </c>
    </row>
    <row r="388">
      <c r="A388" s="13" t="s">
        <v>19</v>
      </c>
      <c r="B388" s="14" t="s">
        <v>460</v>
      </c>
      <c r="C388" s="15" t="s">
        <v>742</v>
      </c>
      <c r="D388" s="7"/>
      <c r="E388" s="15" t="s">
        <v>749</v>
      </c>
      <c r="F388" s="16" t="s">
        <v>750</v>
      </c>
      <c r="G388" s="7"/>
      <c r="H388" s="27">
        <v>1300.0</v>
      </c>
      <c r="I388" s="16"/>
      <c r="J388" s="18">
        <f t="shared" si="20"/>
        <v>1950</v>
      </c>
      <c r="K388" s="18">
        <f t="shared" si="21"/>
        <v>1690</v>
      </c>
      <c r="L388" s="19">
        <f t="shared" si="22"/>
        <v>1690</v>
      </c>
      <c r="M388" s="19">
        <f t="shared" si="23"/>
        <v>1560</v>
      </c>
      <c r="N388" s="19">
        <f t="shared" si="24"/>
        <v>1495</v>
      </c>
      <c r="O388" s="19">
        <f t="shared" si="25"/>
        <v>1430</v>
      </c>
    </row>
    <row r="389">
      <c r="A389" s="13" t="s">
        <v>19</v>
      </c>
      <c r="B389" s="14" t="s">
        <v>460</v>
      </c>
      <c r="C389" s="15" t="s">
        <v>742</v>
      </c>
      <c r="D389" s="7"/>
      <c r="E389" s="15" t="s">
        <v>751</v>
      </c>
      <c r="F389" s="16" t="s">
        <v>752</v>
      </c>
      <c r="G389" s="7"/>
      <c r="H389" s="27">
        <v>5.0</v>
      </c>
      <c r="I389" s="16"/>
      <c r="J389" s="18">
        <f t="shared" si="20"/>
        <v>7.5</v>
      </c>
      <c r="K389" s="18">
        <f t="shared" si="21"/>
        <v>6.5</v>
      </c>
      <c r="L389" s="19">
        <f t="shared" si="22"/>
        <v>6.5</v>
      </c>
      <c r="M389" s="19">
        <f t="shared" si="23"/>
        <v>6</v>
      </c>
      <c r="N389" s="19">
        <f t="shared" si="24"/>
        <v>5.75</v>
      </c>
      <c r="O389" s="19">
        <f t="shared" si="25"/>
        <v>5.5</v>
      </c>
    </row>
    <row r="390">
      <c r="A390" s="13" t="s">
        <v>19</v>
      </c>
      <c r="B390" s="14" t="s">
        <v>460</v>
      </c>
      <c r="C390" s="15" t="s">
        <v>742</v>
      </c>
      <c r="D390" s="7"/>
      <c r="E390" s="15" t="s">
        <v>753</v>
      </c>
      <c r="F390" s="16" t="s">
        <v>754</v>
      </c>
      <c r="G390" s="7"/>
      <c r="H390" s="27">
        <v>6200.0</v>
      </c>
      <c r="I390" s="16"/>
      <c r="J390" s="18">
        <f t="shared" si="20"/>
        <v>9300</v>
      </c>
      <c r="K390" s="18">
        <f t="shared" si="21"/>
        <v>8060</v>
      </c>
      <c r="L390" s="19">
        <f t="shared" si="22"/>
        <v>8060</v>
      </c>
      <c r="M390" s="19">
        <f t="shared" si="23"/>
        <v>7440</v>
      </c>
      <c r="N390" s="19">
        <f t="shared" si="24"/>
        <v>7130</v>
      </c>
      <c r="O390" s="19">
        <f t="shared" si="25"/>
        <v>6820</v>
      </c>
    </row>
    <row r="391">
      <c r="A391" s="13" t="s">
        <v>19</v>
      </c>
      <c r="B391" s="14" t="s">
        <v>460</v>
      </c>
      <c r="C391" s="15" t="s">
        <v>755</v>
      </c>
      <c r="D391" s="7"/>
      <c r="E391" s="15" t="s">
        <v>755</v>
      </c>
      <c r="F391" s="16" t="s">
        <v>756</v>
      </c>
      <c r="G391" s="7"/>
      <c r="H391" s="27">
        <v>400.0</v>
      </c>
      <c r="I391" s="16"/>
      <c r="J391" s="18">
        <f t="shared" si="20"/>
        <v>600</v>
      </c>
      <c r="K391" s="18">
        <f t="shared" si="21"/>
        <v>520</v>
      </c>
      <c r="L391" s="19">
        <f t="shared" si="22"/>
        <v>520</v>
      </c>
      <c r="M391" s="19">
        <f t="shared" si="23"/>
        <v>480</v>
      </c>
      <c r="N391" s="19">
        <f t="shared" si="24"/>
        <v>460</v>
      </c>
      <c r="O391" s="19">
        <f t="shared" si="25"/>
        <v>440</v>
      </c>
    </row>
    <row r="392">
      <c r="A392" s="13" t="s">
        <v>19</v>
      </c>
      <c r="B392" s="14" t="s">
        <v>460</v>
      </c>
      <c r="C392" s="15" t="s">
        <v>755</v>
      </c>
      <c r="D392" s="7"/>
      <c r="E392" s="15" t="s">
        <v>755</v>
      </c>
      <c r="F392" s="16" t="s">
        <v>757</v>
      </c>
      <c r="G392" s="7"/>
      <c r="H392" s="27">
        <v>400.0</v>
      </c>
      <c r="I392" s="16"/>
      <c r="J392" s="18">
        <f t="shared" si="20"/>
        <v>600</v>
      </c>
      <c r="K392" s="18">
        <f t="shared" si="21"/>
        <v>520</v>
      </c>
      <c r="L392" s="19">
        <f t="shared" si="22"/>
        <v>520</v>
      </c>
      <c r="M392" s="19">
        <f t="shared" si="23"/>
        <v>480</v>
      </c>
      <c r="N392" s="19">
        <f t="shared" si="24"/>
        <v>460</v>
      </c>
      <c r="O392" s="19">
        <f t="shared" si="25"/>
        <v>440</v>
      </c>
    </row>
    <row r="393">
      <c r="A393" s="13" t="s">
        <v>19</v>
      </c>
      <c r="B393" s="14" t="s">
        <v>460</v>
      </c>
      <c r="C393" s="15" t="s">
        <v>758</v>
      </c>
      <c r="D393" s="7"/>
      <c r="E393" s="15" t="s">
        <v>759</v>
      </c>
      <c r="F393" s="16" t="s">
        <v>760</v>
      </c>
      <c r="G393" s="7"/>
      <c r="H393" s="27">
        <v>1900.0</v>
      </c>
      <c r="I393" s="16"/>
      <c r="J393" s="18">
        <f t="shared" si="20"/>
        <v>2850</v>
      </c>
      <c r="K393" s="18">
        <f t="shared" si="21"/>
        <v>2470</v>
      </c>
      <c r="L393" s="19">
        <f t="shared" si="22"/>
        <v>2470</v>
      </c>
      <c r="M393" s="19">
        <f t="shared" si="23"/>
        <v>2280</v>
      </c>
      <c r="N393" s="19">
        <f t="shared" si="24"/>
        <v>2185</v>
      </c>
      <c r="O393" s="19">
        <f t="shared" si="25"/>
        <v>2090</v>
      </c>
    </row>
    <row r="394">
      <c r="A394" s="13" t="s">
        <v>19</v>
      </c>
      <c r="B394" s="14" t="s">
        <v>460</v>
      </c>
      <c r="C394" s="15" t="s">
        <v>758</v>
      </c>
      <c r="D394" s="7"/>
      <c r="E394" s="15" t="s">
        <v>761</v>
      </c>
      <c r="F394" s="16" t="s">
        <v>762</v>
      </c>
      <c r="G394" s="7"/>
      <c r="H394" s="27">
        <v>1900.0</v>
      </c>
      <c r="I394" s="16"/>
      <c r="J394" s="18">
        <f t="shared" si="20"/>
        <v>2850</v>
      </c>
      <c r="K394" s="18">
        <f t="shared" si="21"/>
        <v>2470</v>
      </c>
      <c r="L394" s="19">
        <f t="shared" si="22"/>
        <v>2470</v>
      </c>
      <c r="M394" s="19">
        <f t="shared" si="23"/>
        <v>2280</v>
      </c>
      <c r="N394" s="19">
        <f t="shared" si="24"/>
        <v>2185</v>
      </c>
      <c r="O394" s="19">
        <f t="shared" si="25"/>
        <v>2090</v>
      </c>
    </row>
    <row r="395">
      <c r="A395" s="13" t="s">
        <v>19</v>
      </c>
      <c r="B395" s="14" t="s">
        <v>460</v>
      </c>
      <c r="C395" s="15" t="s">
        <v>758</v>
      </c>
      <c r="D395" s="7"/>
      <c r="E395" s="15" t="s">
        <v>763</v>
      </c>
      <c r="F395" s="16" t="s">
        <v>764</v>
      </c>
      <c r="G395" s="7"/>
      <c r="H395" s="27">
        <v>1900.0</v>
      </c>
      <c r="I395" s="16"/>
      <c r="J395" s="18">
        <f t="shared" si="20"/>
        <v>2850</v>
      </c>
      <c r="K395" s="18">
        <f t="shared" si="21"/>
        <v>2470</v>
      </c>
      <c r="L395" s="19">
        <f t="shared" si="22"/>
        <v>2470</v>
      </c>
      <c r="M395" s="19">
        <f t="shared" si="23"/>
        <v>2280</v>
      </c>
      <c r="N395" s="19">
        <f t="shared" si="24"/>
        <v>2185</v>
      </c>
      <c r="O395" s="19">
        <f t="shared" si="25"/>
        <v>2090</v>
      </c>
    </row>
    <row r="396">
      <c r="A396" s="13" t="s">
        <v>19</v>
      </c>
      <c r="B396" s="14" t="s">
        <v>460</v>
      </c>
      <c r="C396" s="15" t="s">
        <v>758</v>
      </c>
      <c r="D396" s="7"/>
      <c r="E396" s="15" t="s">
        <v>765</v>
      </c>
      <c r="F396" s="16" t="s">
        <v>766</v>
      </c>
      <c r="G396" s="7"/>
      <c r="H396" s="27">
        <v>1900.0</v>
      </c>
      <c r="I396" s="16"/>
      <c r="J396" s="18">
        <f t="shared" si="20"/>
        <v>2850</v>
      </c>
      <c r="K396" s="18">
        <f t="shared" si="21"/>
        <v>2470</v>
      </c>
      <c r="L396" s="19">
        <f t="shared" si="22"/>
        <v>2470</v>
      </c>
      <c r="M396" s="19">
        <f t="shared" si="23"/>
        <v>2280</v>
      </c>
      <c r="N396" s="19">
        <f t="shared" si="24"/>
        <v>2185</v>
      </c>
      <c r="O396" s="19">
        <f t="shared" si="25"/>
        <v>2090</v>
      </c>
    </row>
    <row r="397">
      <c r="A397" s="13" t="s">
        <v>19</v>
      </c>
      <c r="B397" s="14" t="s">
        <v>460</v>
      </c>
      <c r="C397" s="15" t="s">
        <v>758</v>
      </c>
      <c r="D397" s="7"/>
      <c r="E397" s="15" t="s">
        <v>767</v>
      </c>
      <c r="F397" s="16" t="s">
        <v>768</v>
      </c>
      <c r="G397" s="7"/>
      <c r="H397" s="27">
        <v>1900.0</v>
      </c>
      <c r="I397" s="16"/>
      <c r="J397" s="18">
        <f t="shared" si="20"/>
        <v>2850</v>
      </c>
      <c r="K397" s="18">
        <f t="shared" si="21"/>
        <v>2470</v>
      </c>
      <c r="L397" s="19">
        <f t="shared" si="22"/>
        <v>2470</v>
      </c>
      <c r="M397" s="19">
        <f t="shared" si="23"/>
        <v>2280</v>
      </c>
      <c r="N397" s="19">
        <f t="shared" si="24"/>
        <v>2185</v>
      </c>
      <c r="O397" s="19">
        <f t="shared" si="25"/>
        <v>2090</v>
      </c>
    </row>
    <row r="398">
      <c r="A398" s="13" t="s">
        <v>19</v>
      </c>
      <c r="B398" s="14" t="s">
        <v>460</v>
      </c>
      <c r="C398" s="15" t="s">
        <v>758</v>
      </c>
      <c r="D398" s="7"/>
      <c r="E398" s="15" t="s">
        <v>769</v>
      </c>
      <c r="F398" s="16" t="s">
        <v>770</v>
      </c>
      <c r="G398" s="7"/>
      <c r="H398" s="27">
        <v>3100.0</v>
      </c>
      <c r="I398" s="16"/>
      <c r="J398" s="18">
        <f t="shared" si="20"/>
        <v>4650</v>
      </c>
      <c r="K398" s="18">
        <f t="shared" si="21"/>
        <v>4030</v>
      </c>
      <c r="L398" s="19">
        <f t="shared" si="22"/>
        <v>4030</v>
      </c>
      <c r="M398" s="19">
        <f t="shared" si="23"/>
        <v>3720</v>
      </c>
      <c r="N398" s="19">
        <f t="shared" si="24"/>
        <v>3565</v>
      </c>
      <c r="O398" s="19">
        <f t="shared" si="25"/>
        <v>3410</v>
      </c>
    </row>
    <row r="399">
      <c r="A399" s="13" t="s">
        <v>19</v>
      </c>
      <c r="B399" s="14" t="s">
        <v>460</v>
      </c>
      <c r="C399" s="15" t="s">
        <v>758</v>
      </c>
      <c r="D399" s="7"/>
      <c r="E399" s="15" t="s">
        <v>771</v>
      </c>
      <c r="F399" s="16" t="s">
        <v>772</v>
      </c>
      <c r="G399" s="7"/>
      <c r="H399" s="27">
        <v>3100.0</v>
      </c>
      <c r="I399" s="16"/>
      <c r="J399" s="18">
        <f t="shared" si="20"/>
        <v>4650</v>
      </c>
      <c r="K399" s="18">
        <f t="shared" si="21"/>
        <v>4030</v>
      </c>
      <c r="L399" s="19">
        <f t="shared" si="22"/>
        <v>4030</v>
      </c>
      <c r="M399" s="19">
        <f t="shared" si="23"/>
        <v>3720</v>
      </c>
      <c r="N399" s="19">
        <f t="shared" si="24"/>
        <v>3565</v>
      </c>
      <c r="O399" s="19">
        <f t="shared" si="25"/>
        <v>3410</v>
      </c>
    </row>
    <row r="400">
      <c r="A400" s="13" t="s">
        <v>19</v>
      </c>
      <c r="B400" s="14" t="s">
        <v>460</v>
      </c>
      <c r="C400" s="15" t="s">
        <v>758</v>
      </c>
      <c r="D400" s="7"/>
      <c r="E400" s="15" t="s">
        <v>773</v>
      </c>
      <c r="F400" s="16" t="s">
        <v>774</v>
      </c>
      <c r="G400" s="7"/>
      <c r="H400" s="27">
        <v>1300.0</v>
      </c>
      <c r="I400" s="16"/>
      <c r="J400" s="18">
        <f t="shared" si="20"/>
        <v>1950</v>
      </c>
      <c r="K400" s="18">
        <f t="shared" si="21"/>
        <v>1690</v>
      </c>
      <c r="L400" s="19">
        <f t="shared" si="22"/>
        <v>1690</v>
      </c>
      <c r="M400" s="19">
        <f t="shared" si="23"/>
        <v>1560</v>
      </c>
      <c r="N400" s="19">
        <f t="shared" si="24"/>
        <v>1495</v>
      </c>
      <c r="O400" s="19">
        <f t="shared" si="25"/>
        <v>1430</v>
      </c>
    </row>
    <row r="401">
      <c r="A401" s="13" t="s">
        <v>19</v>
      </c>
      <c r="B401" s="14" t="s">
        <v>460</v>
      </c>
      <c r="C401" s="15" t="s">
        <v>758</v>
      </c>
      <c r="D401" s="7"/>
      <c r="E401" s="15" t="s">
        <v>775</v>
      </c>
      <c r="F401" s="16" t="s">
        <v>776</v>
      </c>
      <c r="G401" s="7"/>
      <c r="H401" s="27">
        <v>1300.0</v>
      </c>
      <c r="I401" s="16"/>
      <c r="J401" s="18">
        <f t="shared" si="20"/>
        <v>1950</v>
      </c>
      <c r="K401" s="18">
        <f t="shared" si="21"/>
        <v>1690</v>
      </c>
      <c r="L401" s="19">
        <f t="shared" si="22"/>
        <v>1690</v>
      </c>
      <c r="M401" s="19">
        <f t="shared" si="23"/>
        <v>1560</v>
      </c>
      <c r="N401" s="19">
        <f t="shared" si="24"/>
        <v>1495</v>
      </c>
      <c r="O401" s="19">
        <f t="shared" si="25"/>
        <v>1430</v>
      </c>
    </row>
    <row r="402">
      <c r="A402" s="13" t="s">
        <v>19</v>
      </c>
      <c r="B402" s="14" t="s">
        <v>460</v>
      </c>
      <c r="C402" s="15" t="s">
        <v>758</v>
      </c>
      <c r="D402" s="7"/>
      <c r="E402" s="15" t="s">
        <v>777</v>
      </c>
      <c r="F402" s="16" t="s">
        <v>778</v>
      </c>
      <c r="G402" s="7"/>
      <c r="H402" s="27">
        <v>1300.0</v>
      </c>
      <c r="I402" s="16"/>
      <c r="J402" s="18">
        <f t="shared" si="20"/>
        <v>1950</v>
      </c>
      <c r="K402" s="18">
        <f t="shared" si="21"/>
        <v>1690</v>
      </c>
      <c r="L402" s="19">
        <f t="shared" si="22"/>
        <v>1690</v>
      </c>
      <c r="M402" s="19">
        <f t="shared" si="23"/>
        <v>1560</v>
      </c>
      <c r="N402" s="19">
        <f t="shared" si="24"/>
        <v>1495</v>
      </c>
      <c r="O402" s="19">
        <f t="shared" si="25"/>
        <v>1430</v>
      </c>
    </row>
    <row r="403">
      <c r="A403" s="13" t="s">
        <v>19</v>
      </c>
      <c r="B403" s="14" t="s">
        <v>460</v>
      </c>
      <c r="C403" s="15" t="s">
        <v>758</v>
      </c>
      <c r="D403" s="7"/>
      <c r="E403" s="15" t="s">
        <v>779</v>
      </c>
      <c r="F403" s="16" t="s">
        <v>780</v>
      </c>
      <c r="G403" s="7"/>
      <c r="H403" s="27">
        <v>1300.0</v>
      </c>
      <c r="I403" s="16"/>
      <c r="J403" s="18">
        <f t="shared" si="20"/>
        <v>1950</v>
      </c>
      <c r="K403" s="18">
        <f t="shared" si="21"/>
        <v>1690</v>
      </c>
      <c r="L403" s="19">
        <f t="shared" si="22"/>
        <v>1690</v>
      </c>
      <c r="M403" s="19">
        <f t="shared" si="23"/>
        <v>1560</v>
      </c>
      <c r="N403" s="19">
        <f t="shared" si="24"/>
        <v>1495</v>
      </c>
      <c r="O403" s="19">
        <f t="shared" si="25"/>
        <v>1430</v>
      </c>
    </row>
    <row r="404">
      <c r="A404" s="13" t="s">
        <v>19</v>
      </c>
      <c r="B404" s="14" t="s">
        <v>460</v>
      </c>
      <c r="C404" s="15" t="s">
        <v>758</v>
      </c>
      <c r="D404" s="7"/>
      <c r="E404" s="15" t="s">
        <v>781</v>
      </c>
      <c r="F404" s="16" t="s">
        <v>782</v>
      </c>
      <c r="G404" s="7"/>
      <c r="H404" s="27">
        <v>1300.0</v>
      </c>
      <c r="I404" s="16"/>
      <c r="J404" s="18">
        <f t="shared" si="20"/>
        <v>1950</v>
      </c>
      <c r="K404" s="18">
        <f t="shared" si="21"/>
        <v>1690</v>
      </c>
      <c r="L404" s="19">
        <f t="shared" si="22"/>
        <v>1690</v>
      </c>
      <c r="M404" s="19">
        <f t="shared" si="23"/>
        <v>1560</v>
      </c>
      <c r="N404" s="19">
        <f t="shared" si="24"/>
        <v>1495</v>
      </c>
      <c r="O404" s="19">
        <f t="shared" si="25"/>
        <v>1430</v>
      </c>
    </row>
    <row r="405">
      <c r="A405" s="13" t="s">
        <v>19</v>
      </c>
      <c r="B405" s="14" t="s">
        <v>460</v>
      </c>
      <c r="C405" s="15" t="s">
        <v>758</v>
      </c>
      <c r="D405" s="7"/>
      <c r="E405" s="15" t="s">
        <v>783</v>
      </c>
      <c r="F405" s="16" t="s">
        <v>784</v>
      </c>
      <c r="G405" s="7"/>
      <c r="H405" s="27">
        <v>1900.0</v>
      </c>
      <c r="I405" s="16"/>
      <c r="J405" s="18">
        <f t="shared" si="20"/>
        <v>2850</v>
      </c>
      <c r="K405" s="18">
        <f t="shared" si="21"/>
        <v>2470</v>
      </c>
      <c r="L405" s="19">
        <f t="shared" si="22"/>
        <v>2470</v>
      </c>
      <c r="M405" s="19">
        <f t="shared" si="23"/>
        <v>2280</v>
      </c>
      <c r="N405" s="19">
        <f t="shared" si="24"/>
        <v>2185</v>
      </c>
      <c r="O405" s="19">
        <f t="shared" si="25"/>
        <v>2090</v>
      </c>
    </row>
    <row r="406">
      <c r="A406" s="13" t="s">
        <v>19</v>
      </c>
      <c r="B406" s="14" t="s">
        <v>460</v>
      </c>
      <c r="C406" s="15" t="s">
        <v>758</v>
      </c>
      <c r="D406" s="7"/>
      <c r="E406" s="15" t="s">
        <v>785</v>
      </c>
      <c r="F406" s="16" t="s">
        <v>786</v>
      </c>
      <c r="G406" s="7"/>
      <c r="H406" s="27">
        <v>2500.0</v>
      </c>
      <c r="I406" s="16"/>
      <c r="J406" s="18">
        <f t="shared" si="20"/>
        <v>3750</v>
      </c>
      <c r="K406" s="18">
        <f t="shared" si="21"/>
        <v>3250</v>
      </c>
      <c r="L406" s="19">
        <f t="shared" si="22"/>
        <v>3250</v>
      </c>
      <c r="M406" s="19">
        <f t="shared" si="23"/>
        <v>3000</v>
      </c>
      <c r="N406" s="19">
        <f t="shared" si="24"/>
        <v>2875</v>
      </c>
      <c r="O406" s="19">
        <f t="shared" si="25"/>
        <v>2750</v>
      </c>
    </row>
    <row r="407">
      <c r="A407" s="13" t="s">
        <v>19</v>
      </c>
      <c r="B407" s="14" t="s">
        <v>460</v>
      </c>
      <c r="C407" s="15" t="s">
        <v>758</v>
      </c>
      <c r="D407" s="7"/>
      <c r="E407" s="15" t="s">
        <v>787</v>
      </c>
      <c r="F407" s="16" t="s">
        <v>788</v>
      </c>
      <c r="G407" s="7"/>
      <c r="H407" s="27">
        <v>1900.0</v>
      </c>
      <c r="I407" s="16"/>
      <c r="J407" s="18">
        <f t="shared" si="20"/>
        <v>2850</v>
      </c>
      <c r="K407" s="18">
        <f t="shared" si="21"/>
        <v>2470</v>
      </c>
      <c r="L407" s="19">
        <f t="shared" si="22"/>
        <v>2470</v>
      </c>
      <c r="M407" s="19">
        <f t="shared" si="23"/>
        <v>2280</v>
      </c>
      <c r="N407" s="19">
        <f t="shared" si="24"/>
        <v>2185</v>
      </c>
      <c r="O407" s="19">
        <f t="shared" si="25"/>
        <v>2090</v>
      </c>
    </row>
    <row r="408">
      <c r="A408" s="13" t="s">
        <v>19</v>
      </c>
      <c r="B408" s="14" t="s">
        <v>460</v>
      </c>
      <c r="C408" s="15" t="s">
        <v>758</v>
      </c>
      <c r="D408" s="7"/>
      <c r="E408" s="15" t="s">
        <v>789</v>
      </c>
      <c r="F408" s="16" t="s">
        <v>790</v>
      </c>
      <c r="G408" s="7"/>
      <c r="H408" s="27">
        <v>3100.0</v>
      </c>
      <c r="I408" s="16"/>
      <c r="J408" s="18">
        <f t="shared" si="20"/>
        <v>4650</v>
      </c>
      <c r="K408" s="18">
        <f t="shared" si="21"/>
        <v>4030</v>
      </c>
      <c r="L408" s="19">
        <f t="shared" si="22"/>
        <v>4030</v>
      </c>
      <c r="M408" s="19">
        <f t="shared" si="23"/>
        <v>3720</v>
      </c>
      <c r="N408" s="19">
        <f t="shared" si="24"/>
        <v>3565</v>
      </c>
      <c r="O408" s="19">
        <f t="shared" si="25"/>
        <v>3410</v>
      </c>
    </row>
    <row r="409">
      <c r="A409" s="13" t="s">
        <v>19</v>
      </c>
      <c r="B409" s="14" t="s">
        <v>460</v>
      </c>
      <c r="C409" s="15" t="s">
        <v>758</v>
      </c>
      <c r="D409" s="7"/>
      <c r="E409" s="15" t="s">
        <v>791</v>
      </c>
      <c r="F409" s="16" t="s">
        <v>792</v>
      </c>
      <c r="G409" s="7"/>
      <c r="H409" s="27">
        <v>1900.0</v>
      </c>
      <c r="I409" s="16"/>
      <c r="J409" s="18">
        <f t="shared" si="20"/>
        <v>2850</v>
      </c>
      <c r="K409" s="18">
        <f t="shared" si="21"/>
        <v>2470</v>
      </c>
      <c r="L409" s="19">
        <f t="shared" si="22"/>
        <v>2470</v>
      </c>
      <c r="M409" s="19">
        <f t="shared" si="23"/>
        <v>2280</v>
      </c>
      <c r="N409" s="19">
        <f t="shared" si="24"/>
        <v>2185</v>
      </c>
      <c r="O409" s="19">
        <f t="shared" si="25"/>
        <v>2090</v>
      </c>
    </row>
    <row r="410">
      <c r="A410" s="13" t="s">
        <v>19</v>
      </c>
      <c r="B410" s="14" t="s">
        <v>460</v>
      </c>
      <c r="C410" s="15" t="s">
        <v>758</v>
      </c>
      <c r="D410" s="7"/>
      <c r="E410" s="15" t="s">
        <v>793</v>
      </c>
      <c r="F410" s="16" t="s">
        <v>794</v>
      </c>
      <c r="G410" s="7"/>
      <c r="H410" s="27">
        <v>1500.0</v>
      </c>
      <c r="I410" s="16"/>
      <c r="J410" s="18">
        <f t="shared" si="20"/>
        <v>2250</v>
      </c>
      <c r="K410" s="18">
        <f t="shared" si="21"/>
        <v>1950</v>
      </c>
      <c r="L410" s="19">
        <f t="shared" si="22"/>
        <v>1950</v>
      </c>
      <c r="M410" s="19">
        <f t="shared" si="23"/>
        <v>1800</v>
      </c>
      <c r="N410" s="19">
        <f t="shared" si="24"/>
        <v>1725</v>
      </c>
      <c r="O410" s="19">
        <f t="shared" si="25"/>
        <v>1650</v>
      </c>
    </row>
    <row r="411">
      <c r="A411" s="13" t="s">
        <v>19</v>
      </c>
      <c r="B411" s="14" t="s">
        <v>460</v>
      </c>
      <c r="C411" s="15" t="s">
        <v>758</v>
      </c>
      <c r="D411" s="7"/>
      <c r="E411" s="15" t="s">
        <v>795</v>
      </c>
      <c r="F411" s="16" t="s">
        <v>790</v>
      </c>
      <c r="G411" s="7"/>
      <c r="H411" s="27">
        <v>1900.0</v>
      </c>
      <c r="I411" s="16"/>
      <c r="J411" s="18">
        <f t="shared" si="20"/>
        <v>2850</v>
      </c>
      <c r="K411" s="18">
        <f t="shared" si="21"/>
        <v>2470</v>
      </c>
      <c r="L411" s="19">
        <f t="shared" si="22"/>
        <v>2470</v>
      </c>
      <c r="M411" s="19">
        <f t="shared" si="23"/>
        <v>2280</v>
      </c>
      <c r="N411" s="19">
        <f t="shared" si="24"/>
        <v>2185</v>
      </c>
      <c r="O411" s="19">
        <f t="shared" si="25"/>
        <v>2090</v>
      </c>
    </row>
    <row r="412">
      <c r="A412" s="13" t="s">
        <v>19</v>
      </c>
      <c r="B412" s="14" t="s">
        <v>460</v>
      </c>
      <c r="C412" s="15" t="s">
        <v>758</v>
      </c>
      <c r="D412" s="7"/>
      <c r="E412" s="15" t="s">
        <v>796</v>
      </c>
      <c r="F412" s="16" t="s">
        <v>797</v>
      </c>
      <c r="G412" s="7"/>
      <c r="H412" s="27">
        <v>1300.0</v>
      </c>
      <c r="I412" s="16"/>
      <c r="J412" s="18">
        <f t="shared" si="20"/>
        <v>1950</v>
      </c>
      <c r="K412" s="18">
        <f t="shared" si="21"/>
        <v>1690</v>
      </c>
      <c r="L412" s="19">
        <f t="shared" si="22"/>
        <v>1690</v>
      </c>
      <c r="M412" s="19">
        <f t="shared" si="23"/>
        <v>1560</v>
      </c>
      <c r="N412" s="19">
        <f t="shared" si="24"/>
        <v>1495</v>
      </c>
      <c r="O412" s="19">
        <f t="shared" si="25"/>
        <v>1430</v>
      </c>
    </row>
    <row r="413">
      <c r="A413" s="13" t="s">
        <v>19</v>
      </c>
      <c r="B413" s="14" t="s">
        <v>460</v>
      </c>
      <c r="C413" s="15" t="s">
        <v>758</v>
      </c>
      <c r="D413" s="7"/>
      <c r="E413" s="15" t="s">
        <v>798</v>
      </c>
      <c r="F413" s="16" t="s">
        <v>799</v>
      </c>
      <c r="G413" s="7"/>
      <c r="H413" s="27">
        <v>1900.0</v>
      </c>
      <c r="I413" s="16"/>
      <c r="J413" s="18">
        <f t="shared" si="20"/>
        <v>2850</v>
      </c>
      <c r="K413" s="18">
        <f t="shared" si="21"/>
        <v>2470</v>
      </c>
      <c r="L413" s="19">
        <f t="shared" si="22"/>
        <v>2470</v>
      </c>
      <c r="M413" s="19">
        <f t="shared" si="23"/>
        <v>2280</v>
      </c>
      <c r="N413" s="19">
        <f t="shared" si="24"/>
        <v>2185</v>
      </c>
      <c r="O413" s="19">
        <f t="shared" si="25"/>
        <v>2090</v>
      </c>
    </row>
    <row r="414">
      <c r="A414" s="13" t="s">
        <v>19</v>
      </c>
      <c r="B414" s="14" t="s">
        <v>460</v>
      </c>
      <c r="C414" s="15" t="s">
        <v>758</v>
      </c>
      <c r="D414" s="7"/>
      <c r="E414" s="15" t="s">
        <v>800</v>
      </c>
      <c r="F414" s="16" t="s">
        <v>801</v>
      </c>
      <c r="G414" s="7"/>
      <c r="H414" s="27">
        <v>1900.0</v>
      </c>
      <c r="I414" s="16"/>
      <c r="J414" s="18">
        <f t="shared" si="20"/>
        <v>2850</v>
      </c>
      <c r="K414" s="18">
        <f t="shared" si="21"/>
        <v>2470</v>
      </c>
      <c r="L414" s="19">
        <f t="shared" si="22"/>
        <v>2470</v>
      </c>
      <c r="M414" s="19">
        <f t="shared" si="23"/>
        <v>2280</v>
      </c>
      <c r="N414" s="19">
        <f t="shared" si="24"/>
        <v>2185</v>
      </c>
      <c r="O414" s="19">
        <f t="shared" si="25"/>
        <v>2090</v>
      </c>
    </row>
    <row r="415">
      <c r="A415" s="13" t="s">
        <v>19</v>
      </c>
      <c r="B415" s="14" t="s">
        <v>460</v>
      </c>
      <c r="C415" s="15" t="s">
        <v>758</v>
      </c>
      <c r="D415" s="7"/>
      <c r="E415" s="15" t="s">
        <v>802</v>
      </c>
      <c r="F415" s="16" t="s">
        <v>803</v>
      </c>
      <c r="G415" s="7"/>
      <c r="H415" s="27">
        <v>1300.0</v>
      </c>
      <c r="I415" s="16"/>
      <c r="J415" s="18">
        <f t="shared" si="20"/>
        <v>1950</v>
      </c>
      <c r="K415" s="18">
        <f t="shared" si="21"/>
        <v>1690</v>
      </c>
      <c r="L415" s="19">
        <f t="shared" si="22"/>
        <v>1690</v>
      </c>
      <c r="M415" s="19">
        <f t="shared" si="23"/>
        <v>1560</v>
      </c>
      <c r="N415" s="19">
        <f t="shared" si="24"/>
        <v>1495</v>
      </c>
      <c r="O415" s="19">
        <f t="shared" si="25"/>
        <v>1430</v>
      </c>
    </row>
    <row r="416">
      <c r="A416" s="13" t="s">
        <v>19</v>
      </c>
      <c r="B416" s="14" t="s">
        <v>460</v>
      </c>
      <c r="C416" s="15" t="s">
        <v>758</v>
      </c>
      <c r="D416" s="7"/>
      <c r="E416" s="15" t="s">
        <v>804</v>
      </c>
      <c r="F416" s="16" t="s">
        <v>805</v>
      </c>
      <c r="G416" s="7"/>
      <c r="H416" s="27">
        <v>1300.0</v>
      </c>
      <c r="I416" s="16"/>
      <c r="J416" s="18">
        <f t="shared" si="20"/>
        <v>1950</v>
      </c>
      <c r="K416" s="18">
        <f t="shared" si="21"/>
        <v>1690</v>
      </c>
      <c r="L416" s="19">
        <f t="shared" si="22"/>
        <v>1690</v>
      </c>
      <c r="M416" s="19">
        <f t="shared" si="23"/>
        <v>1560</v>
      </c>
      <c r="N416" s="19">
        <f t="shared" si="24"/>
        <v>1495</v>
      </c>
      <c r="O416" s="19">
        <f t="shared" si="25"/>
        <v>1430</v>
      </c>
    </row>
    <row r="417">
      <c r="A417" s="13" t="s">
        <v>19</v>
      </c>
      <c r="B417" s="14" t="s">
        <v>460</v>
      </c>
      <c r="C417" s="15" t="s">
        <v>758</v>
      </c>
      <c r="D417" s="7"/>
      <c r="E417" s="15" t="s">
        <v>806</v>
      </c>
      <c r="F417" s="16" t="s">
        <v>807</v>
      </c>
      <c r="G417" s="7"/>
      <c r="H417" s="27">
        <v>1300.0</v>
      </c>
      <c r="I417" s="16"/>
      <c r="J417" s="18">
        <f t="shared" si="20"/>
        <v>1950</v>
      </c>
      <c r="K417" s="18">
        <f t="shared" si="21"/>
        <v>1690</v>
      </c>
      <c r="L417" s="19">
        <f t="shared" si="22"/>
        <v>1690</v>
      </c>
      <c r="M417" s="19">
        <f t="shared" si="23"/>
        <v>1560</v>
      </c>
      <c r="N417" s="19">
        <f t="shared" si="24"/>
        <v>1495</v>
      </c>
      <c r="O417" s="19">
        <f t="shared" si="25"/>
        <v>1430</v>
      </c>
    </row>
    <row r="418">
      <c r="A418" s="13" t="s">
        <v>19</v>
      </c>
      <c r="B418" s="14" t="s">
        <v>460</v>
      </c>
      <c r="C418" s="15" t="s">
        <v>758</v>
      </c>
      <c r="D418" s="7"/>
      <c r="E418" s="15" t="s">
        <v>808</v>
      </c>
      <c r="F418" s="16" t="s">
        <v>809</v>
      </c>
      <c r="G418" s="7"/>
      <c r="H418" s="27">
        <v>1300.0</v>
      </c>
      <c r="I418" s="16"/>
      <c r="J418" s="18">
        <f t="shared" si="20"/>
        <v>1950</v>
      </c>
      <c r="K418" s="18">
        <f t="shared" si="21"/>
        <v>1690</v>
      </c>
      <c r="L418" s="19">
        <f t="shared" si="22"/>
        <v>1690</v>
      </c>
      <c r="M418" s="19">
        <f t="shared" si="23"/>
        <v>1560</v>
      </c>
      <c r="N418" s="19">
        <f t="shared" si="24"/>
        <v>1495</v>
      </c>
      <c r="O418" s="19">
        <f t="shared" si="25"/>
        <v>1430</v>
      </c>
    </row>
    <row r="419">
      <c r="A419" s="13" t="s">
        <v>19</v>
      </c>
      <c r="B419" s="14" t="s">
        <v>460</v>
      </c>
      <c r="C419" s="15" t="s">
        <v>758</v>
      </c>
      <c r="D419" s="7"/>
      <c r="E419" s="15" t="s">
        <v>810</v>
      </c>
      <c r="F419" s="16" t="s">
        <v>811</v>
      </c>
      <c r="G419" s="7"/>
      <c r="H419" s="27">
        <v>1900.0</v>
      </c>
      <c r="I419" s="16"/>
      <c r="J419" s="18">
        <f t="shared" si="20"/>
        <v>2850</v>
      </c>
      <c r="K419" s="18">
        <f t="shared" si="21"/>
        <v>2470</v>
      </c>
      <c r="L419" s="19">
        <f t="shared" si="22"/>
        <v>2470</v>
      </c>
      <c r="M419" s="19">
        <f t="shared" si="23"/>
        <v>2280</v>
      </c>
      <c r="N419" s="19">
        <f t="shared" si="24"/>
        <v>2185</v>
      </c>
      <c r="O419" s="19">
        <f t="shared" si="25"/>
        <v>2090</v>
      </c>
    </row>
    <row r="420">
      <c r="A420" s="13" t="s">
        <v>19</v>
      </c>
      <c r="B420" s="14" t="s">
        <v>460</v>
      </c>
      <c r="C420" s="15" t="s">
        <v>758</v>
      </c>
      <c r="D420" s="7"/>
      <c r="E420" s="15" t="s">
        <v>812</v>
      </c>
      <c r="F420" s="16" t="s">
        <v>813</v>
      </c>
      <c r="G420" s="7"/>
      <c r="H420" s="27">
        <v>1300.0</v>
      </c>
      <c r="I420" s="16"/>
      <c r="J420" s="18">
        <f t="shared" si="20"/>
        <v>1950</v>
      </c>
      <c r="K420" s="18">
        <f t="shared" si="21"/>
        <v>1690</v>
      </c>
      <c r="L420" s="19">
        <f t="shared" si="22"/>
        <v>1690</v>
      </c>
      <c r="M420" s="19">
        <f t="shared" si="23"/>
        <v>1560</v>
      </c>
      <c r="N420" s="19">
        <f t="shared" si="24"/>
        <v>1495</v>
      </c>
      <c r="O420" s="19">
        <f t="shared" si="25"/>
        <v>1430</v>
      </c>
    </row>
    <row r="421">
      <c r="A421" s="13" t="s">
        <v>19</v>
      </c>
      <c r="B421" s="14" t="s">
        <v>460</v>
      </c>
      <c r="C421" s="15" t="s">
        <v>814</v>
      </c>
      <c r="D421" s="7"/>
      <c r="E421" s="36" t="s">
        <v>815</v>
      </c>
      <c r="F421" s="16" t="s">
        <v>816</v>
      </c>
      <c r="G421" s="7"/>
      <c r="H421" s="27">
        <v>3100.0</v>
      </c>
      <c r="I421" s="16"/>
      <c r="J421" s="18">
        <f t="shared" si="20"/>
        <v>4650</v>
      </c>
      <c r="K421" s="18">
        <f t="shared" si="21"/>
        <v>4030</v>
      </c>
      <c r="L421" s="19">
        <f t="shared" si="22"/>
        <v>4030</v>
      </c>
      <c r="M421" s="19">
        <f t="shared" si="23"/>
        <v>3720</v>
      </c>
      <c r="N421" s="19">
        <f t="shared" si="24"/>
        <v>3565</v>
      </c>
      <c r="O421" s="19">
        <f t="shared" si="25"/>
        <v>3410</v>
      </c>
    </row>
    <row r="422">
      <c r="A422" s="13" t="s">
        <v>19</v>
      </c>
      <c r="B422" s="14" t="s">
        <v>460</v>
      </c>
      <c r="C422" s="15" t="s">
        <v>814</v>
      </c>
      <c r="D422" s="7"/>
      <c r="E422" s="15" t="s">
        <v>817</v>
      </c>
      <c r="F422" s="16" t="s">
        <v>818</v>
      </c>
      <c r="G422" s="7"/>
      <c r="H422" s="27">
        <v>3100.0</v>
      </c>
      <c r="I422" s="16"/>
      <c r="J422" s="18">
        <f t="shared" si="20"/>
        <v>4650</v>
      </c>
      <c r="K422" s="18">
        <f t="shared" si="21"/>
        <v>4030</v>
      </c>
      <c r="L422" s="19">
        <f t="shared" si="22"/>
        <v>4030</v>
      </c>
      <c r="M422" s="19">
        <f t="shared" si="23"/>
        <v>3720</v>
      </c>
      <c r="N422" s="19">
        <f t="shared" si="24"/>
        <v>3565</v>
      </c>
      <c r="O422" s="19">
        <f t="shared" si="25"/>
        <v>3410</v>
      </c>
    </row>
    <row r="423">
      <c r="A423" s="13" t="s">
        <v>19</v>
      </c>
      <c r="B423" s="5" t="s">
        <v>819</v>
      </c>
      <c r="C423" s="5" t="s">
        <v>820</v>
      </c>
      <c r="D423" s="5" t="s">
        <v>821</v>
      </c>
      <c r="E423" s="5" t="s">
        <v>822</v>
      </c>
      <c r="F423" s="5" t="s">
        <v>823</v>
      </c>
      <c r="G423" s="15" t="s">
        <v>821</v>
      </c>
      <c r="H423" s="27">
        <v>7100.0</v>
      </c>
      <c r="I423" s="7"/>
      <c r="J423" s="18">
        <f t="shared" si="20"/>
        <v>10650</v>
      </c>
      <c r="K423" s="18">
        <f t="shared" si="21"/>
        <v>9230</v>
      </c>
      <c r="L423" s="19">
        <f t="shared" si="22"/>
        <v>9230</v>
      </c>
      <c r="M423" s="19">
        <f t="shared" si="23"/>
        <v>8520</v>
      </c>
      <c r="N423" s="19">
        <f t="shared" si="24"/>
        <v>8165</v>
      </c>
      <c r="O423" s="19">
        <f t="shared" si="25"/>
        <v>7810</v>
      </c>
    </row>
    <row r="424">
      <c r="A424" s="13" t="s">
        <v>19</v>
      </c>
      <c r="B424" s="5" t="s">
        <v>819</v>
      </c>
      <c r="C424" s="5" t="s">
        <v>317</v>
      </c>
      <c r="D424" s="5" t="s">
        <v>824</v>
      </c>
      <c r="E424" s="5" t="s">
        <v>825</v>
      </c>
      <c r="F424" s="5" t="s">
        <v>826</v>
      </c>
      <c r="G424" s="15" t="s">
        <v>827</v>
      </c>
      <c r="H424" s="27">
        <v>12500.0</v>
      </c>
      <c r="I424" s="7"/>
      <c r="J424" s="18">
        <f t="shared" si="20"/>
        <v>18750</v>
      </c>
      <c r="K424" s="18">
        <f t="shared" si="21"/>
        <v>16250</v>
      </c>
      <c r="L424" s="19">
        <f t="shared" si="22"/>
        <v>16250</v>
      </c>
      <c r="M424" s="19">
        <f t="shared" si="23"/>
        <v>15000</v>
      </c>
      <c r="N424" s="19">
        <f t="shared" si="24"/>
        <v>14375</v>
      </c>
      <c r="O424" s="19">
        <f t="shared" si="25"/>
        <v>13750</v>
      </c>
    </row>
    <row r="425">
      <c r="A425" s="13" t="s">
        <v>19</v>
      </c>
      <c r="B425" s="5" t="s">
        <v>819</v>
      </c>
      <c r="C425" s="5" t="s">
        <v>317</v>
      </c>
      <c r="D425" s="5" t="s">
        <v>824</v>
      </c>
      <c r="E425" s="5" t="s">
        <v>828</v>
      </c>
      <c r="F425" s="5" t="s">
        <v>829</v>
      </c>
      <c r="G425" s="15" t="s">
        <v>827</v>
      </c>
      <c r="H425" s="27">
        <v>10200.0</v>
      </c>
      <c r="I425" s="7"/>
      <c r="J425" s="18">
        <f t="shared" si="20"/>
        <v>15300</v>
      </c>
      <c r="K425" s="18">
        <f t="shared" si="21"/>
        <v>13260</v>
      </c>
      <c r="L425" s="19">
        <f t="shared" si="22"/>
        <v>13260</v>
      </c>
      <c r="M425" s="19">
        <f t="shared" si="23"/>
        <v>12240</v>
      </c>
      <c r="N425" s="19">
        <f t="shared" si="24"/>
        <v>11730</v>
      </c>
      <c r="O425" s="19">
        <f t="shared" si="25"/>
        <v>11220</v>
      </c>
    </row>
    <row r="426">
      <c r="A426" s="13" t="s">
        <v>19</v>
      </c>
      <c r="B426" s="5" t="s">
        <v>819</v>
      </c>
      <c r="C426" s="5" t="s">
        <v>317</v>
      </c>
      <c r="D426" s="5" t="s">
        <v>824</v>
      </c>
      <c r="E426" s="5" t="s">
        <v>830</v>
      </c>
      <c r="F426" s="5" t="s">
        <v>831</v>
      </c>
      <c r="G426" s="23" t="s">
        <v>832</v>
      </c>
      <c r="H426" s="27">
        <v>15900.0</v>
      </c>
      <c r="I426" s="7"/>
      <c r="J426" s="18">
        <f t="shared" si="20"/>
        <v>23850</v>
      </c>
      <c r="K426" s="18">
        <f t="shared" si="21"/>
        <v>20670</v>
      </c>
      <c r="L426" s="19">
        <f t="shared" si="22"/>
        <v>20670</v>
      </c>
      <c r="M426" s="19">
        <f t="shared" si="23"/>
        <v>19080</v>
      </c>
      <c r="N426" s="19">
        <f t="shared" si="24"/>
        <v>18285</v>
      </c>
      <c r="O426" s="19">
        <f t="shared" si="25"/>
        <v>17490</v>
      </c>
    </row>
    <row r="427">
      <c r="A427" s="13" t="s">
        <v>19</v>
      </c>
      <c r="B427" s="5" t="s">
        <v>819</v>
      </c>
      <c r="C427" s="5" t="s">
        <v>317</v>
      </c>
      <c r="D427" s="5" t="s">
        <v>824</v>
      </c>
      <c r="E427" s="5" t="s">
        <v>833</v>
      </c>
      <c r="F427" s="5" t="s">
        <v>834</v>
      </c>
      <c r="G427" s="15" t="s">
        <v>832</v>
      </c>
      <c r="H427" s="27">
        <v>15900.0</v>
      </c>
      <c r="I427" s="7"/>
      <c r="J427" s="18">
        <f t="shared" si="20"/>
        <v>23850</v>
      </c>
      <c r="K427" s="18">
        <f t="shared" si="21"/>
        <v>20670</v>
      </c>
      <c r="L427" s="19">
        <f t="shared" si="22"/>
        <v>20670</v>
      </c>
      <c r="M427" s="19">
        <f t="shared" si="23"/>
        <v>19080</v>
      </c>
      <c r="N427" s="19">
        <f t="shared" si="24"/>
        <v>18285</v>
      </c>
      <c r="O427" s="19">
        <f t="shared" si="25"/>
        <v>17490</v>
      </c>
    </row>
    <row r="428">
      <c r="A428" s="13" t="s">
        <v>19</v>
      </c>
      <c r="B428" s="5" t="s">
        <v>819</v>
      </c>
      <c r="C428" s="5" t="s">
        <v>317</v>
      </c>
      <c r="D428" s="5" t="s">
        <v>835</v>
      </c>
      <c r="E428" s="5" t="s">
        <v>836</v>
      </c>
      <c r="F428" s="5" t="s">
        <v>837</v>
      </c>
      <c r="G428" s="15" t="s">
        <v>832</v>
      </c>
      <c r="H428" s="27">
        <v>15900.0</v>
      </c>
      <c r="I428" s="7"/>
      <c r="J428" s="18">
        <f t="shared" si="20"/>
        <v>23850</v>
      </c>
      <c r="K428" s="18">
        <f t="shared" si="21"/>
        <v>20670</v>
      </c>
      <c r="L428" s="19">
        <f t="shared" si="22"/>
        <v>20670</v>
      </c>
      <c r="M428" s="19">
        <f t="shared" si="23"/>
        <v>19080</v>
      </c>
      <c r="N428" s="19">
        <f t="shared" si="24"/>
        <v>18285</v>
      </c>
      <c r="O428" s="19">
        <f t="shared" si="25"/>
        <v>17490</v>
      </c>
    </row>
    <row r="429">
      <c r="A429" s="13" t="s">
        <v>19</v>
      </c>
      <c r="B429" s="5" t="s">
        <v>819</v>
      </c>
      <c r="C429" s="5" t="s">
        <v>317</v>
      </c>
      <c r="D429" s="5" t="s">
        <v>838</v>
      </c>
      <c r="E429" s="5" t="s">
        <v>839</v>
      </c>
      <c r="F429" s="5" t="s">
        <v>840</v>
      </c>
      <c r="G429" s="15" t="s">
        <v>832</v>
      </c>
      <c r="H429" s="27">
        <v>14150.0</v>
      </c>
      <c r="I429" s="7"/>
      <c r="J429" s="18">
        <f t="shared" si="20"/>
        <v>21225</v>
      </c>
      <c r="K429" s="18">
        <f t="shared" si="21"/>
        <v>18395</v>
      </c>
      <c r="L429" s="19">
        <f t="shared" si="22"/>
        <v>18395</v>
      </c>
      <c r="M429" s="19">
        <f t="shared" si="23"/>
        <v>16980</v>
      </c>
      <c r="N429" s="19">
        <f t="shared" si="24"/>
        <v>16272.5</v>
      </c>
      <c r="O429" s="19">
        <f t="shared" si="25"/>
        <v>15565</v>
      </c>
    </row>
    <row r="430">
      <c r="A430" s="13" t="s">
        <v>19</v>
      </c>
      <c r="B430" s="5" t="s">
        <v>819</v>
      </c>
      <c r="C430" s="5" t="s">
        <v>317</v>
      </c>
      <c r="D430" s="5" t="s">
        <v>824</v>
      </c>
      <c r="E430" s="5" t="s">
        <v>841</v>
      </c>
      <c r="F430" s="5" t="s">
        <v>842</v>
      </c>
      <c r="G430" s="15" t="s">
        <v>843</v>
      </c>
      <c r="H430" s="27">
        <v>14150.0</v>
      </c>
      <c r="I430" s="7"/>
      <c r="J430" s="18">
        <f t="shared" si="20"/>
        <v>21225</v>
      </c>
      <c r="K430" s="18">
        <f t="shared" si="21"/>
        <v>18395</v>
      </c>
      <c r="L430" s="19">
        <f t="shared" si="22"/>
        <v>18395</v>
      </c>
      <c r="M430" s="19">
        <f t="shared" si="23"/>
        <v>16980</v>
      </c>
      <c r="N430" s="19">
        <f t="shared" si="24"/>
        <v>16272.5</v>
      </c>
      <c r="O430" s="19">
        <f t="shared" si="25"/>
        <v>15565</v>
      </c>
    </row>
    <row r="431">
      <c r="A431" s="13" t="s">
        <v>19</v>
      </c>
      <c r="B431" s="5" t="s">
        <v>819</v>
      </c>
      <c r="C431" s="5" t="s">
        <v>317</v>
      </c>
      <c r="D431" s="5" t="s">
        <v>824</v>
      </c>
      <c r="E431" s="5" t="s">
        <v>844</v>
      </c>
      <c r="F431" s="5" t="s">
        <v>842</v>
      </c>
      <c r="G431" s="15" t="s">
        <v>843</v>
      </c>
      <c r="H431" s="27">
        <v>14150.0</v>
      </c>
      <c r="I431" s="7"/>
      <c r="J431" s="18">
        <f t="shared" si="20"/>
        <v>21225</v>
      </c>
      <c r="K431" s="18">
        <f t="shared" si="21"/>
        <v>18395</v>
      </c>
      <c r="L431" s="19">
        <f t="shared" si="22"/>
        <v>18395</v>
      </c>
      <c r="M431" s="19">
        <f t="shared" si="23"/>
        <v>16980</v>
      </c>
      <c r="N431" s="19">
        <f t="shared" si="24"/>
        <v>16272.5</v>
      </c>
      <c r="O431" s="19">
        <f t="shared" si="25"/>
        <v>15565</v>
      </c>
    </row>
    <row r="432">
      <c r="A432" s="13" t="s">
        <v>19</v>
      </c>
      <c r="B432" s="5" t="s">
        <v>819</v>
      </c>
      <c r="C432" s="5" t="s">
        <v>317</v>
      </c>
      <c r="D432" s="5" t="s">
        <v>824</v>
      </c>
      <c r="E432" s="5" t="s">
        <v>845</v>
      </c>
      <c r="F432" s="5" t="s">
        <v>846</v>
      </c>
      <c r="G432" s="23" t="s">
        <v>843</v>
      </c>
      <c r="H432" s="27">
        <v>15500.0</v>
      </c>
      <c r="I432" s="7"/>
      <c r="J432" s="18">
        <f t="shared" si="20"/>
        <v>23250</v>
      </c>
      <c r="K432" s="18">
        <f t="shared" si="21"/>
        <v>20150</v>
      </c>
      <c r="L432" s="19">
        <f t="shared" si="22"/>
        <v>20150</v>
      </c>
      <c r="M432" s="19">
        <f t="shared" si="23"/>
        <v>18600</v>
      </c>
      <c r="N432" s="19">
        <f t="shared" si="24"/>
        <v>17825</v>
      </c>
      <c r="O432" s="19">
        <f t="shared" si="25"/>
        <v>17050</v>
      </c>
    </row>
    <row r="433">
      <c r="A433" s="13" t="s">
        <v>19</v>
      </c>
      <c r="B433" s="5" t="s">
        <v>819</v>
      </c>
      <c r="C433" s="5" t="s">
        <v>317</v>
      </c>
      <c r="D433" s="5" t="s">
        <v>824</v>
      </c>
      <c r="E433" s="5" t="s">
        <v>847</v>
      </c>
      <c r="F433" s="5" t="s">
        <v>848</v>
      </c>
      <c r="G433" s="37" t="s">
        <v>843</v>
      </c>
      <c r="H433" s="27">
        <v>15900.0</v>
      </c>
      <c r="I433" s="7"/>
      <c r="J433" s="18">
        <f t="shared" si="20"/>
        <v>23850</v>
      </c>
      <c r="K433" s="18">
        <f t="shared" si="21"/>
        <v>20670</v>
      </c>
      <c r="L433" s="19">
        <f t="shared" si="22"/>
        <v>20670</v>
      </c>
      <c r="M433" s="19">
        <f t="shared" si="23"/>
        <v>19080</v>
      </c>
      <c r="N433" s="19">
        <f t="shared" si="24"/>
        <v>18285</v>
      </c>
      <c r="O433" s="19">
        <f t="shared" si="25"/>
        <v>17490</v>
      </c>
    </row>
    <row r="434">
      <c r="A434" s="13" t="s">
        <v>19</v>
      </c>
      <c r="B434" s="5" t="s">
        <v>819</v>
      </c>
      <c r="C434" s="5" t="s">
        <v>317</v>
      </c>
      <c r="D434" s="5" t="s">
        <v>824</v>
      </c>
      <c r="E434" s="5" t="s">
        <v>849</v>
      </c>
      <c r="F434" s="5" t="s">
        <v>850</v>
      </c>
      <c r="G434" s="15" t="s">
        <v>843</v>
      </c>
      <c r="H434" s="27">
        <v>15900.0</v>
      </c>
      <c r="I434" s="7"/>
      <c r="J434" s="18">
        <f t="shared" si="20"/>
        <v>23850</v>
      </c>
      <c r="K434" s="18">
        <f t="shared" si="21"/>
        <v>20670</v>
      </c>
      <c r="L434" s="19">
        <f t="shared" si="22"/>
        <v>20670</v>
      </c>
      <c r="M434" s="19">
        <f t="shared" si="23"/>
        <v>19080</v>
      </c>
      <c r="N434" s="19">
        <f t="shared" si="24"/>
        <v>18285</v>
      </c>
      <c r="O434" s="19">
        <f t="shared" si="25"/>
        <v>17490</v>
      </c>
    </row>
    <row r="435">
      <c r="A435" s="13" t="s">
        <v>19</v>
      </c>
      <c r="B435" s="5" t="s">
        <v>819</v>
      </c>
      <c r="C435" s="5" t="s">
        <v>317</v>
      </c>
      <c r="D435" s="5" t="s">
        <v>835</v>
      </c>
      <c r="E435" s="5" t="s">
        <v>851</v>
      </c>
      <c r="F435" s="5" t="s">
        <v>852</v>
      </c>
      <c r="G435" s="15" t="s">
        <v>843</v>
      </c>
      <c r="H435" s="27">
        <v>15900.0</v>
      </c>
      <c r="I435" s="7"/>
      <c r="J435" s="18">
        <f t="shared" si="20"/>
        <v>23850</v>
      </c>
      <c r="K435" s="18">
        <f t="shared" si="21"/>
        <v>20670</v>
      </c>
      <c r="L435" s="19">
        <f t="shared" si="22"/>
        <v>20670</v>
      </c>
      <c r="M435" s="19">
        <f t="shared" si="23"/>
        <v>19080</v>
      </c>
      <c r="N435" s="19">
        <f t="shared" si="24"/>
        <v>18285</v>
      </c>
      <c r="O435" s="19">
        <f t="shared" si="25"/>
        <v>17490</v>
      </c>
    </row>
    <row r="436">
      <c r="A436" s="13" t="s">
        <v>19</v>
      </c>
      <c r="B436" s="5" t="s">
        <v>819</v>
      </c>
      <c r="C436" s="5" t="s">
        <v>317</v>
      </c>
      <c r="D436" s="5" t="s">
        <v>824</v>
      </c>
      <c r="E436" s="5" t="s">
        <v>853</v>
      </c>
      <c r="F436" s="5" t="s">
        <v>854</v>
      </c>
      <c r="G436" s="29" t="s">
        <v>855</v>
      </c>
      <c r="H436" s="27">
        <v>20400.0</v>
      </c>
      <c r="I436" s="7"/>
      <c r="J436" s="18">
        <f t="shared" si="20"/>
        <v>30600</v>
      </c>
      <c r="K436" s="18">
        <f t="shared" si="21"/>
        <v>26520</v>
      </c>
      <c r="L436" s="19">
        <f t="shared" si="22"/>
        <v>26520</v>
      </c>
      <c r="M436" s="19">
        <f t="shared" si="23"/>
        <v>24480</v>
      </c>
      <c r="N436" s="19">
        <f t="shared" si="24"/>
        <v>23460</v>
      </c>
      <c r="O436" s="19">
        <f t="shared" si="25"/>
        <v>22440</v>
      </c>
    </row>
    <row r="437">
      <c r="A437" s="13" t="s">
        <v>19</v>
      </c>
      <c r="B437" s="5" t="s">
        <v>819</v>
      </c>
      <c r="C437" s="5" t="s">
        <v>317</v>
      </c>
      <c r="D437" s="5" t="s">
        <v>824</v>
      </c>
      <c r="E437" s="5" t="s">
        <v>856</v>
      </c>
      <c r="F437" s="5" t="s">
        <v>857</v>
      </c>
      <c r="G437" s="29" t="s">
        <v>855</v>
      </c>
      <c r="H437" s="27">
        <v>20400.0</v>
      </c>
      <c r="I437" s="7"/>
      <c r="J437" s="18">
        <f t="shared" si="20"/>
        <v>30600</v>
      </c>
      <c r="K437" s="18">
        <f t="shared" si="21"/>
        <v>26520</v>
      </c>
      <c r="L437" s="19">
        <f t="shared" si="22"/>
        <v>26520</v>
      </c>
      <c r="M437" s="19">
        <f t="shared" si="23"/>
        <v>24480</v>
      </c>
      <c r="N437" s="19">
        <f t="shared" si="24"/>
        <v>23460</v>
      </c>
      <c r="O437" s="19">
        <f t="shared" si="25"/>
        <v>22440</v>
      </c>
    </row>
    <row r="438">
      <c r="A438" s="13" t="s">
        <v>19</v>
      </c>
      <c r="B438" s="5" t="s">
        <v>819</v>
      </c>
      <c r="C438" s="5" t="s">
        <v>317</v>
      </c>
      <c r="D438" s="5" t="s">
        <v>824</v>
      </c>
      <c r="E438" s="5" t="s">
        <v>858</v>
      </c>
      <c r="F438" s="5" t="s">
        <v>859</v>
      </c>
      <c r="G438" s="16" t="s">
        <v>860</v>
      </c>
      <c r="H438" s="27">
        <v>25650.0</v>
      </c>
      <c r="I438" s="7"/>
      <c r="J438" s="18">
        <f t="shared" si="20"/>
        <v>38475</v>
      </c>
      <c r="K438" s="18">
        <f t="shared" si="21"/>
        <v>33345</v>
      </c>
      <c r="L438" s="19">
        <f t="shared" si="22"/>
        <v>33345</v>
      </c>
      <c r="M438" s="19">
        <f t="shared" si="23"/>
        <v>30780</v>
      </c>
      <c r="N438" s="19">
        <f t="shared" si="24"/>
        <v>29497.5</v>
      </c>
      <c r="O438" s="19">
        <f t="shared" si="25"/>
        <v>28215</v>
      </c>
    </row>
    <row r="439">
      <c r="A439" s="13" t="s">
        <v>19</v>
      </c>
      <c r="B439" s="5" t="s">
        <v>819</v>
      </c>
      <c r="C439" s="5" t="s">
        <v>317</v>
      </c>
      <c r="D439" s="5" t="s">
        <v>824</v>
      </c>
      <c r="E439" s="5" t="s">
        <v>861</v>
      </c>
      <c r="F439" s="5" t="s">
        <v>862</v>
      </c>
      <c r="G439" s="16" t="s">
        <v>860</v>
      </c>
      <c r="H439" s="27">
        <v>27400.0</v>
      </c>
      <c r="I439" s="7"/>
      <c r="J439" s="18">
        <f t="shared" si="20"/>
        <v>41100</v>
      </c>
      <c r="K439" s="18">
        <f t="shared" si="21"/>
        <v>35620</v>
      </c>
      <c r="L439" s="19">
        <f t="shared" si="22"/>
        <v>35620</v>
      </c>
      <c r="M439" s="19">
        <f t="shared" si="23"/>
        <v>32880</v>
      </c>
      <c r="N439" s="19">
        <f t="shared" si="24"/>
        <v>31510</v>
      </c>
      <c r="O439" s="19">
        <f t="shared" si="25"/>
        <v>30140</v>
      </c>
    </row>
    <row r="440">
      <c r="A440" s="13" t="s">
        <v>19</v>
      </c>
      <c r="B440" s="5" t="s">
        <v>819</v>
      </c>
      <c r="C440" s="5" t="s">
        <v>317</v>
      </c>
      <c r="D440" s="5" t="s">
        <v>824</v>
      </c>
      <c r="E440" s="5" t="s">
        <v>863</v>
      </c>
      <c r="F440" s="5" t="s">
        <v>864</v>
      </c>
      <c r="G440" s="16" t="s">
        <v>860</v>
      </c>
      <c r="H440" s="27">
        <v>28300.0</v>
      </c>
      <c r="I440" s="7"/>
      <c r="J440" s="18">
        <f t="shared" si="20"/>
        <v>42450</v>
      </c>
      <c r="K440" s="18">
        <f t="shared" si="21"/>
        <v>36790</v>
      </c>
      <c r="L440" s="19">
        <f t="shared" si="22"/>
        <v>36790</v>
      </c>
      <c r="M440" s="19">
        <f t="shared" si="23"/>
        <v>33960</v>
      </c>
      <c r="N440" s="19">
        <f t="shared" si="24"/>
        <v>32545</v>
      </c>
      <c r="O440" s="19">
        <f t="shared" si="25"/>
        <v>31130</v>
      </c>
    </row>
    <row r="441">
      <c r="A441" s="13" t="s">
        <v>19</v>
      </c>
      <c r="B441" s="5" t="s">
        <v>819</v>
      </c>
      <c r="C441" s="5" t="s">
        <v>317</v>
      </c>
      <c r="D441" s="5" t="s">
        <v>824</v>
      </c>
      <c r="E441" s="5" t="s">
        <v>865</v>
      </c>
      <c r="F441" s="5" t="s">
        <v>866</v>
      </c>
      <c r="G441" s="16" t="s">
        <v>860</v>
      </c>
      <c r="H441" s="27">
        <v>18600.0</v>
      </c>
      <c r="I441" s="7"/>
      <c r="J441" s="18">
        <f t="shared" si="20"/>
        <v>27900</v>
      </c>
      <c r="K441" s="18">
        <f t="shared" si="21"/>
        <v>24180</v>
      </c>
      <c r="L441" s="19">
        <f t="shared" si="22"/>
        <v>24180</v>
      </c>
      <c r="M441" s="19">
        <f t="shared" si="23"/>
        <v>22320</v>
      </c>
      <c r="N441" s="19">
        <f t="shared" si="24"/>
        <v>21390</v>
      </c>
      <c r="O441" s="19">
        <f t="shared" si="25"/>
        <v>20460</v>
      </c>
    </row>
    <row r="442">
      <c r="A442" s="13" t="s">
        <v>19</v>
      </c>
      <c r="B442" s="5" t="s">
        <v>819</v>
      </c>
      <c r="C442" s="5" t="s">
        <v>317</v>
      </c>
      <c r="D442" s="5" t="s">
        <v>824</v>
      </c>
      <c r="E442" s="5" t="s">
        <v>867</v>
      </c>
      <c r="F442" s="5" t="s">
        <v>868</v>
      </c>
      <c r="G442" s="16" t="s">
        <v>860</v>
      </c>
      <c r="H442" s="27">
        <v>20400.0</v>
      </c>
      <c r="I442" s="7"/>
      <c r="J442" s="18">
        <f t="shared" si="20"/>
        <v>30600</v>
      </c>
      <c r="K442" s="18">
        <f t="shared" si="21"/>
        <v>26520</v>
      </c>
      <c r="L442" s="19">
        <f t="shared" si="22"/>
        <v>26520</v>
      </c>
      <c r="M442" s="19">
        <f t="shared" si="23"/>
        <v>24480</v>
      </c>
      <c r="N442" s="19">
        <f t="shared" si="24"/>
        <v>23460</v>
      </c>
      <c r="O442" s="19">
        <f t="shared" si="25"/>
        <v>22440</v>
      </c>
    </row>
    <row r="443">
      <c r="A443" s="13" t="s">
        <v>19</v>
      </c>
      <c r="B443" s="5" t="s">
        <v>819</v>
      </c>
      <c r="C443" s="5" t="s">
        <v>317</v>
      </c>
      <c r="D443" s="5" t="s">
        <v>824</v>
      </c>
      <c r="E443" s="5" t="s">
        <v>869</v>
      </c>
      <c r="F443" s="5" t="s">
        <v>870</v>
      </c>
      <c r="G443" s="16" t="s">
        <v>860</v>
      </c>
      <c r="H443" s="27">
        <v>21200.0</v>
      </c>
      <c r="I443" s="7"/>
      <c r="J443" s="18">
        <f t="shared" si="20"/>
        <v>31800</v>
      </c>
      <c r="K443" s="18">
        <f t="shared" si="21"/>
        <v>27560</v>
      </c>
      <c r="L443" s="19">
        <f t="shared" si="22"/>
        <v>27560</v>
      </c>
      <c r="M443" s="19">
        <f t="shared" si="23"/>
        <v>25440</v>
      </c>
      <c r="N443" s="19">
        <f t="shared" si="24"/>
        <v>24380</v>
      </c>
      <c r="O443" s="19">
        <f t="shared" si="25"/>
        <v>23320</v>
      </c>
    </row>
    <row r="444">
      <c r="A444" s="13" t="s">
        <v>19</v>
      </c>
      <c r="B444" s="5" t="s">
        <v>819</v>
      </c>
      <c r="C444" s="5" t="s">
        <v>317</v>
      </c>
      <c r="D444" s="5" t="s">
        <v>824</v>
      </c>
      <c r="E444" s="5" t="s">
        <v>871</v>
      </c>
      <c r="F444" s="5" t="s">
        <v>872</v>
      </c>
      <c r="G444" s="30" t="s">
        <v>860</v>
      </c>
      <c r="H444" s="27">
        <v>25650.0</v>
      </c>
      <c r="I444" s="7"/>
      <c r="J444" s="18">
        <f t="shared" si="20"/>
        <v>38475</v>
      </c>
      <c r="K444" s="18">
        <f t="shared" si="21"/>
        <v>33345</v>
      </c>
      <c r="L444" s="19">
        <f t="shared" si="22"/>
        <v>33345</v>
      </c>
      <c r="M444" s="19">
        <f t="shared" si="23"/>
        <v>30780</v>
      </c>
      <c r="N444" s="19">
        <f t="shared" si="24"/>
        <v>29497.5</v>
      </c>
      <c r="O444" s="19">
        <f t="shared" si="25"/>
        <v>28215</v>
      </c>
    </row>
    <row r="445">
      <c r="A445" s="13" t="s">
        <v>19</v>
      </c>
      <c r="B445" s="5" t="s">
        <v>819</v>
      </c>
      <c r="C445" s="5" t="s">
        <v>317</v>
      </c>
      <c r="D445" s="5" t="s">
        <v>824</v>
      </c>
      <c r="E445" s="5" t="s">
        <v>873</v>
      </c>
      <c r="F445" s="5" t="s">
        <v>874</v>
      </c>
      <c r="G445" s="28" t="s">
        <v>875</v>
      </c>
      <c r="H445" s="27">
        <v>27400.0</v>
      </c>
      <c r="I445" s="7"/>
      <c r="J445" s="18">
        <f t="shared" si="20"/>
        <v>41100</v>
      </c>
      <c r="K445" s="18">
        <f t="shared" si="21"/>
        <v>35620</v>
      </c>
      <c r="L445" s="19">
        <f t="shared" si="22"/>
        <v>35620</v>
      </c>
      <c r="M445" s="19">
        <f t="shared" si="23"/>
        <v>32880</v>
      </c>
      <c r="N445" s="19">
        <f t="shared" si="24"/>
        <v>31510</v>
      </c>
      <c r="O445" s="19">
        <f t="shared" si="25"/>
        <v>30140</v>
      </c>
    </row>
    <row r="446">
      <c r="A446" s="13" t="s">
        <v>19</v>
      </c>
      <c r="B446" s="5" t="s">
        <v>819</v>
      </c>
      <c r="C446" s="5" t="s">
        <v>824</v>
      </c>
      <c r="D446" s="5" t="s">
        <v>876</v>
      </c>
      <c r="E446" s="5" t="s">
        <v>877</v>
      </c>
      <c r="F446" s="5" t="s">
        <v>878</v>
      </c>
      <c r="G446" s="23" t="s">
        <v>879</v>
      </c>
      <c r="H446" s="27">
        <v>20400.0</v>
      </c>
      <c r="I446" s="7"/>
      <c r="J446" s="18">
        <f t="shared" si="20"/>
        <v>30600</v>
      </c>
      <c r="K446" s="18">
        <f t="shared" si="21"/>
        <v>26520</v>
      </c>
      <c r="L446" s="19">
        <f t="shared" si="22"/>
        <v>26520</v>
      </c>
      <c r="M446" s="19">
        <f t="shared" si="23"/>
        <v>24480</v>
      </c>
      <c r="N446" s="19">
        <f t="shared" si="24"/>
        <v>23460</v>
      </c>
      <c r="O446" s="19">
        <f t="shared" si="25"/>
        <v>22440</v>
      </c>
    </row>
    <row r="447">
      <c r="A447" s="13" t="s">
        <v>19</v>
      </c>
      <c r="B447" s="5" t="s">
        <v>819</v>
      </c>
      <c r="C447" s="5" t="s">
        <v>317</v>
      </c>
      <c r="D447" s="5" t="s">
        <v>880</v>
      </c>
      <c r="E447" s="5" t="s">
        <v>881</v>
      </c>
      <c r="F447" s="5" t="s">
        <v>882</v>
      </c>
      <c r="G447" s="15" t="s">
        <v>883</v>
      </c>
      <c r="H447" s="27">
        <v>12500.0</v>
      </c>
      <c r="I447" s="7"/>
      <c r="J447" s="18">
        <f t="shared" si="20"/>
        <v>18750</v>
      </c>
      <c r="K447" s="18">
        <f t="shared" si="21"/>
        <v>16250</v>
      </c>
      <c r="L447" s="19">
        <f t="shared" si="22"/>
        <v>16250</v>
      </c>
      <c r="M447" s="19">
        <f t="shared" si="23"/>
        <v>15000</v>
      </c>
      <c r="N447" s="19">
        <f t="shared" si="24"/>
        <v>14375</v>
      </c>
      <c r="O447" s="19">
        <f t="shared" si="25"/>
        <v>13750</v>
      </c>
    </row>
    <row r="448">
      <c r="A448" s="13" t="s">
        <v>19</v>
      </c>
      <c r="B448" s="5" t="s">
        <v>819</v>
      </c>
      <c r="C448" s="5" t="s">
        <v>317</v>
      </c>
      <c r="D448" s="5" t="s">
        <v>880</v>
      </c>
      <c r="E448" s="5" t="s">
        <v>884</v>
      </c>
      <c r="F448" s="5" t="s">
        <v>885</v>
      </c>
      <c r="G448" s="15" t="s">
        <v>883</v>
      </c>
      <c r="H448" s="27">
        <v>10700.0</v>
      </c>
      <c r="I448" s="7"/>
      <c r="J448" s="18">
        <f t="shared" si="20"/>
        <v>16050</v>
      </c>
      <c r="K448" s="18">
        <f t="shared" si="21"/>
        <v>13910</v>
      </c>
      <c r="L448" s="19">
        <f t="shared" si="22"/>
        <v>13910</v>
      </c>
      <c r="M448" s="19">
        <f t="shared" si="23"/>
        <v>12840</v>
      </c>
      <c r="N448" s="19">
        <f t="shared" si="24"/>
        <v>12305</v>
      </c>
      <c r="O448" s="19">
        <f t="shared" si="25"/>
        <v>11770</v>
      </c>
    </row>
    <row r="449">
      <c r="A449" s="13" t="s">
        <v>19</v>
      </c>
      <c r="B449" s="5" t="s">
        <v>819</v>
      </c>
      <c r="C449" s="5" t="s">
        <v>317</v>
      </c>
      <c r="D449" s="5" t="s">
        <v>880</v>
      </c>
      <c r="E449" s="5" t="s">
        <v>886</v>
      </c>
      <c r="F449" s="5" t="s">
        <v>887</v>
      </c>
      <c r="G449" s="15" t="s">
        <v>883</v>
      </c>
      <c r="H449" s="27">
        <v>14900.0</v>
      </c>
      <c r="I449" s="7"/>
      <c r="J449" s="18">
        <f t="shared" si="20"/>
        <v>22350</v>
      </c>
      <c r="K449" s="18">
        <f t="shared" si="21"/>
        <v>19370</v>
      </c>
      <c r="L449" s="19">
        <f t="shared" si="22"/>
        <v>19370</v>
      </c>
      <c r="M449" s="19">
        <f t="shared" si="23"/>
        <v>17880</v>
      </c>
      <c r="N449" s="19">
        <f t="shared" si="24"/>
        <v>17135</v>
      </c>
      <c r="O449" s="19">
        <f t="shared" si="25"/>
        <v>16390</v>
      </c>
    </row>
    <row r="450">
      <c r="A450" s="13" t="s">
        <v>19</v>
      </c>
      <c r="B450" s="5" t="s">
        <v>819</v>
      </c>
      <c r="C450" s="5" t="s">
        <v>317</v>
      </c>
      <c r="D450" s="5" t="s">
        <v>880</v>
      </c>
      <c r="E450" s="5" t="s">
        <v>888</v>
      </c>
      <c r="F450" s="5" t="s">
        <v>889</v>
      </c>
      <c r="G450" s="15" t="s">
        <v>883</v>
      </c>
      <c r="H450" s="27">
        <v>11700.0</v>
      </c>
      <c r="I450" s="7"/>
      <c r="J450" s="18">
        <f t="shared" si="20"/>
        <v>17550</v>
      </c>
      <c r="K450" s="18">
        <f t="shared" si="21"/>
        <v>15210</v>
      </c>
      <c r="L450" s="19">
        <f t="shared" si="22"/>
        <v>15210</v>
      </c>
      <c r="M450" s="19">
        <f t="shared" si="23"/>
        <v>14040</v>
      </c>
      <c r="N450" s="19">
        <f t="shared" si="24"/>
        <v>13455</v>
      </c>
      <c r="O450" s="19">
        <f t="shared" si="25"/>
        <v>12870</v>
      </c>
    </row>
    <row r="451">
      <c r="A451" s="13" t="s">
        <v>19</v>
      </c>
      <c r="B451" s="5" t="s">
        <v>819</v>
      </c>
      <c r="C451" s="5" t="s">
        <v>317</v>
      </c>
      <c r="D451" s="5" t="s">
        <v>890</v>
      </c>
      <c r="E451" s="5" t="s">
        <v>891</v>
      </c>
      <c r="F451" s="5" t="s">
        <v>892</v>
      </c>
      <c r="G451" s="28" t="s">
        <v>277</v>
      </c>
      <c r="H451" s="27">
        <v>16800.0</v>
      </c>
      <c r="I451" s="7"/>
      <c r="J451" s="18">
        <f t="shared" si="20"/>
        <v>25200</v>
      </c>
      <c r="K451" s="18">
        <f t="shared" si="21"/>
        <v>21840</v>
      </c>
      <c r="L451" s="19">
        <f t="shared" si="22"/>
        <v>21840</v>
      </c>
      <c r="M451" s="19">
        <f t="shared" si="23"/>
        <v>20160</v>
      </c>
      <c r="N451" s="19">
        <f t="shared" si="24"/>
        <v>19320</v>
      </c>
      <c r="O451" s="19">
        <f t="shared" si="25"/>
        <v>18480</v>
      </c>
    </row>
    <row r="452">
      <c r="A452" s="13" t="s">
        <v>19</v>
      </c>
      <c r="B452" s="5" t="s">
        <v>819</v>
      </c>
      <c r="C452" s="5" t="s">
        <v>317</v>
      </c>
      <c r="D452" s="5" t="s">
        <v>890</v>
      </c>
      <c r="E452" s="5" t="s">
        <v>893</v>
      </c>
      <c r="F452" s="5" t="s">
        <v>894</v>
      </c>
      <c r="G452" s="15" t="s">
        <v>258</v>
      </c>
      <c r="H452" s="27">
        <v>7100.0</v>
      </c>
      <c r="I452" s="7"/>
      <c r="J452" s="18">
        <f t="shared" si="20"/>
        <v>10650</v>
      </c>
      <c r="K452" s="18">
        <f t="shared" si="21"/>
        <v>9230</v>
      </c>
      <c r="L452" s="19">
        <f t="shared" si="22"/>
        <v>9230</v>
      </c>
      <c r="M452" s="19">
        <f t="shared" si="23"/>
        <v>8520</v>
      </c>
      <c r="N452" s="19">
        <f t="shared" si="24"/>
        <v>8165</v>
      </c>
      <c r="O452" s="19">
        <f t="shared" si="25"/>
        <v>7810</v>
      </c>
    </row>
    <row r="453">
      <c r="A453" s="13" t="s">
        <v>19</v>
      </c>
      <c r="B453" s="5" t="s">
        <v>819</v>
      </c>
      <c r="C453" s="5" t="s">
        <v>317</v>
      </c>
      <c r="D453" s="5" t="s">
        <v>895</v>
      </c>
      <c r="E453" s="5" t="s">
        <v>896</v>
      </c>
      <c r="F453" s="5" t="s">
        <v>897</v>
      </c>
      <c r="G453" s="15" t="s">
        <v>898</v>
      </c>
      <c r="H453" s="27">
        <v>11050.0</v>
      </c>
      <c r="I453" s="7"/>
      <c r="J453" s="18">
        <f t="shared" si="20"/>
        <v>16575</v>
      </c>
      <c r="K453" s="18">
        <f t="shared" si="21"/>
        <v>14365</v>
      </c>
      <c r="L453" s="19">
        <f t="shared" si="22"/>
        <v>14365</v>
      </c>
      <c r="M453" s="19">
        <f t="shared" si="23"/>
        <v>13260</v>
      </c>
      <c r="N453" s="19">
        <f t="shared" si="24"/>
        <v>12707.5</v>
      </c>
      <c r="O453" s="19">
        <f t="shared" si="25"/>
        <v>12155</v>
      </c>
    </row>
    <row r="454">
      <c r="A454" s="13" t="s">
        <v>19</v>
      </c>
      <c r="B454" s="5" t="s">
        <v>819</v>
      </c>
      <c r="C454" s="5" t="s">
        <v>317</v>
      </c>
      <c r="D454" s="5" t="s">
        <v>899</v>
      </c>
      <c r="E454" s="5" t="s">
        <v>900</v>
      </c>
      <c r="F454" s="5" t="s">
        <v>901</v>
      </c>
      <c r="G454" s="28" t="s">
        <v>902</v>
      </c>
      <c r="H454" s="27">
        <v>7550.0</v>
      </c>
      <c r="I454" s="7"/>
      <c r="J454" s="18">
        <f t="shared" si="20"/>
        <v>11325</v>
      </c>
      <c r="K454" s="18">
        <f t="shared" si="21"/>
        <v>9815</v>
      </c>
      <c r="L454" s="19">
        <f t="shared" si="22"/>
        <v>9815</v>
      </c>
      <c r="M454" s="19">
        <f t="shared" si="23"/>
        <v>9060</v>
      </c>
      <c r="N454" s="19">
        <f t="shared" si="24"/>
        <v>8682.5</v>
      </c>
      <c r="O454" s="19">
        <f t="shared" si="25"/>
        <v>8305</v>
      </c>
    </row>
    <row r="455">
      <c r="A455" s="13" t="s">
        <v>19</v>
      </c>
      <c r="B455" s="5" t="s">
        <v>819</v>
      </c>
      <c r="C455" s="5" t="s">
        <v>317</v>
      </c>
      <c r="D455" s="5" t="s">
        <v>899</v>
      </c>
      <c r="E455" s="5" t="s">
        <v>903</v>
      </c>
      <c r="F455" s="5" t="s">
        <v>904</v>
      </c>
      <c r="G455" s="28" t="s">
        <v>905</v>
      </c>
      <c r="H455" s="27">
        <v>12850.0</v>
      </c>
      <c r="I455" s="7"/>
      <c r="J455" s="18">
        <f t="shared" si="20"/>
        <v>19275</v>
      </c>
      <c r="K455" s="18">
        <f t="shared" si="21"/>
        <v>16705</v>
      </c>
      <c r="L455" s="19">
        <f t="shared" si="22"/>
        <v>16705</v>
      </c>
      <c r="M455" s="19">
        <f t="shared" si="23"/>
        <v>15420</v>
      </c>
      <c r="N455" s="19">
        <f t="shared" si="24"/>
        <v>14777.5</v>
      </c>
      <c r="O455" s="19">
        <f t="shared" si="25"/>
        <v>14135</v>
      </c>
    </row>
    <row r="456">
      <c r="A456" s="13" t="s">
        <v>19</v>
      </c>
      <c r="B456" s="5" t="s">
        <v>819</v>
      </c>
      <c r="C456" s="5" t="s">
        <v>906</v>
      </c>
      <c r="D456" s="5" t="s">
        <v>907</v>
      </c>
      <c r="E456" s="5" t="s">
        <v>908</v>
      </c>
      <c r="F456" s="5" t="s">
        <v>909</v>
      </c>
      <c r="G456" s="15" t="s">
        <v>905</v>
      </c>
      <c r="H456" s="27">
        <v>16350.0</v>
      </c>
      <c r="I456" s="7"/>
      <c r="J456" s="18">
        <f t="shared" si="20"/>
        <v>24525</v>
      </c>
      <c r="K456" s="18">
        <f t="shared" si="21"/>
        <v>21255</v>
      </c>
      <c r="L456" s="19">
        <f t="shared" si="22"/>
        <v>21255</v>
      </c>
      <c r="M456" s="19">
        <f t="shared" si="23"/>
        <v>19620</v>
      </c>
      <c r="N456" s="19">
        <f t="shared" si="24"/>
        <v>18802.5</v>
      </c>
      <c r="O456" s="19">
        <f t="shared" si="25"/>
        <v>17985</v>
      </c>
    </row>
    <row r="457">
      <c r="A457" s="13" t="s">
        <v>19</v>
      </c>
      <c r="B457" s="5" t="s">
        <v>819</v>
      </c>
      <c r="C457" s="7"/>
      <c r="D457" s="7"/>
      <c r="E457" s="5" t="s">
        <v>910</v>
      </c>
      <c r="F457" s="5" t="s">
        <v>911</v>
      </c>
      <c r="G457" s="16"/>
      <c r="H457" s="27">
        <v>16800.0</v>
      </c>
      <c r="I457" s="7"/>
      <c r="J457" s="18">
        <f t="shared" si="20"/>
        <v>25200</v>
      </c>
      <c r="K457" s="18">
        <f t="shared" si="21"/>
        <v>21840</v>
      </c>
      <c r="L457" s="19">
        <f t="shared" si="22"/>
        <v>21840</v>
      </c>
      <c r="M457" s="19">
        <f t="shared" si="23"/>
        <v>20160</v>
      </c>
      <c r="N457" s="19">
        <f t="shared" si="24"/>
        <v>19320</v>
      </c>
      <c r="O457" s="19">
        <f t="shared" si="25"/>
        <v>18480</v>
      </c>
    </row>
    <row r="458">
      <c r="A458" s="13" t="s">
        <v>19</v>
      </c>
      <c r="B458" s="5" t="s">
        <v>819</v>
      </c>
      <c r="C458" s="5" t="s">
        <v>906</v>
      </c>
      <c r="D458" s="5" t="s">
        <v>912</v>
      </c>
      <c r="E458" s="5" t="s">
        <v>913</v>
      </c>
      <c r="F458" s="5" t="s">
        <v>914</v>
      </c>
      <c r="G458" s="15" t="s">
        <v>905</v>
      </c>
      <c r="H458" s="27">
        <v>16350.0</v>
      </c>
      <c r="I458" s="7"/>
      <c r="J458" s="18">
        <f t="shared" si="20"/>
        <v>24525</v>
      </c>
      <c r="K458" s="18">
        <f t="shared" si="21"/>
        <v>21255</v>
      </c>
      <c r="L458" s="19">
        <f t="shared" si="22"/>
        <v>21255</v>
      </c>
      <c r="M458" s="19">
        <f t="shared" si="23"/>
        <v>19620</v>
      </c>
      <c r="N458" s="19">
        <f t="shared" si="24"/>
        <v>18802.5</v>
      </c>
      <c r="O458" s="19">
        <f t="shared" si="25"/>
        <v>17985</v>
      </c>
    </row>
    <row r="459">
      <c r="A459" s="13" t="s">
        <v>19</v>
      </c>
      <c r="B459" s="5" t="s">
        <v>819</v>
      </c>
      <c r="C459" s="7"/>
      <c r="D459" s="7"/>
      <c r="E459" s="5" t="s">
        <v>915</v>
      </c>
      <c r="F459" s="5" t="s">
        <v>911</v>
      </c>
      <c r="G459" s="16"/>
      <c r="H459" s="27">
        <v>16800.0</v>
      </c>
      <c r="I459" s="7"/>
      <c r="J459" s="18">
        <f t="shared" si="20"/>
        <v>25200</v>
      </c>
      <c r="K459" s="18">
        <f t="shared" si="21"/>
        <v>21840</v>
      </c>
      <c r="L459" s="19">
        <f t="shared" si="22"/>
        <v>21840</v>
      </c>
      <c r="M459" s="19">
        <f t="shared" si="23"/>
        <v>20160</v>
      </c>
      <c r="N459" s="19">
        <f t="shared" si="24"/>
        <v>19320</v>
      </c>
      <c r="O459" s="19">
        <f t="shared" si="25"/>
        <v>18480</v>
      </c>
    </row>
    <row r="460">
      <c r="A460" s="13" t="s">
        <v>19</v>
      </c>
      <c r="B460" s="5" t="s">
        <v>819</v>
      </c>
      <c r="C460" s="5" t="s">
        <v>906</v>
      </c>
      <c r="D460" s="5" t="s">
        <v>916</v>
      </c>
      <c r="E460" s="5" t="s">
        <v>917</v>
      </c>
      <c r="F460" s="5" t="s">
        <v>918</v>
      </c>
      <c r="G460" s="28" t="s">
        <v>919</v>
      </c>
      <c r="H460" s="27">
        <v>9750.0</v>
      </c>
      <c r="I460" s="7"/>
      <c r="J460" s="18">
        <f t="shared" si="20"/>
        <v>14625</v>
      </c>
      <c r="K460" s="18">
        <f t="shared" si="21"/>
        <v>12675</v>
      </c>
      <c r="L460" s="19">
        <f t="shared" si="22"/>
        <v>12675</v>
      </c>
      <c r="M460" s="19">
        <f t="shared" si="23"/>
        <v>11700</v>
      </c>
      <c r="N460" s="19">
        <f t="shared" si="24"/>
        <v>11212.5</v>
      </c>
      <c r="O460" s="19">
        <f t="shared" si="25"/>
        <v>10725</v>
      </c>
    </row>
    <row r="461">
      <c r="A461" s="13" t="s">
        <v>19</v>
      </c>
      <c r="B461" s="5" t="s">
        <v>819</v>
      </c>
      <c r="C461" s="5" t="s">
        <v>906</v>
      </c>
      <c r="D461" s="5" t="s">
        <v>916</v>
      </c>
      <c r="E461" s="5" t="s">
        <v>920</v>
      </c>
      <c r="F461" s="5" t="s">
        <v>921</v>
      </c>
      <c r="G461" s="28" t="s">
        <v>919</v>
      </c>
      <c r="H461" s="27">
        <v>12550.0</v>
      </c>
      <c r="I461" s="7"/>
      <c r="J461" s="18">
        <f t="shared" si="20"/>
        <v>18825</v>
      </c>
      <c r="K461" s="18">
        <f t="shared" si="21"/>
        <v>16315</v>
      </c>
      <c r="L461" s="19">
        <f t="shared" si="22"/>
        <v>16315</v>
      </c>
      <c r="M461" s="19">
        <f t="shared" si="23"/>
        <v>15060</v>
      </c>
      <c r="N461" s="19">
        <f t="shared" si="24"/>
        <v>14432.5</v>
      </c>
      <c r="O461" s="19">
        <f t="shared" si="25"/>
        <v>13805</v>
      </c>
    </row>
    <row r="462">
      <c r="A462" s="13" t="s">
        <v>19</v>
      </c>
      <c r="B462" s="5" t="s">
        <v>819</v>
      </c>
      <c r="C462" s="5" t="s">
        <v>906</v>
      </c>
      <c r="D462" s="5" t="s">
        <v>916</v>
      </c>
      <c r="E462" s="5" t="s">
        <v>922</v>
      </c>
      <c r="F462" s="5" t="s">
        <v>923</v>
      </c>
      <c r="G462" s="28" t="s">
        <v>919</v>
      </c>
      <c r="H462" s="27">
        <v>13550.0</v>
      </c>
      <c r="I462" s="7"/>
      <c r="J462" s="18">
        <f t="shared" si="20"/>
        <v>20325</v>
      </c>
      <c r="K462" s="18">
        <f t="shared" si="21"/>
        <v>17615</v>
      </c>
      <c r="L462" s="19">
        <f t="shared" si="22"/>
        <v>17615</v>
      </c>
      <c r="M462" s="19">
        <f t="shared" si="23"/>
        <v>16260</v>
      </c>
      <c r="N462" s="19">
        <f t="shared" si="24"/>
        <v>15582.5</v>
      </c>
      <c r="O462" s="19">
        <f t="shared" si="25"/>
        <v>14905</v>
      </c>
    </row>
    <row r="463">
      <c r="A463" s="13" t="s">
        <v>19</v>
      </c>
      <c r="B463" s="5" t="s">
        <v>819</v>
      </c>
      <c r="C463" s="5" t="s">
        <v>906</v>
      </c>
      <c r="D463" s="5" t="s">
        <v>916</v>
      </c>
      <c r="E463" s="5" t="s">
        <v>924</v>
      </c>
      <c r="F463" s="5" t="s">
        <v>925</v>
      </c>
      <c r="G463" s="28" t="s">
        <v>919</v>
      </c>
      <c r="H463" s="27">
        <v>14500.0</v>
      </c>
      <c r="I463" s="7"/>
      <c r="J463" s="18">
        <f t="shared" si="20"/>
        <v>21750</v>
      </c>
      <c r="K463" s="18">
        <f t="shared" si="21"/>
        <v>18850</v>
      </c>
      <c r="L463" s="19">
        <f t="shared" si="22"/>
        <v>18850</v>
      </c>
      <c r="M463" s="19">
        <f t="shared" si="23"/>
        <v>17400</v>
      </c>
      <c r="N463" s="19">
        <f t="shared" si="24"/>
        <v>16675</v>
      </c>
      <c r="O463" s="19">
        <f t="shared" si="25"/>
        <v>15950</v>
      </c>
    </row>
    <row r="464">
      <c r="A464" s="13" t="s">
        <v>19</v>
      </c>
      <c r="B464" s="5" t="s">
        <v>819</v>
      </c>
      <c r="C464" s="5" t="s">
        <v>317</v>
      </c>
      <c r="D464" s="5" t="s">
        <v>926</v>
      </c>
      <c r="E464" s="5" t="s">
        <v>927</v>
      </c>
      <c r="F464" s="5" t="s">
        <v>928</v>
      </c>
      <c r="G464" s="15" t="s">
        <v>929</v>
      </c>
      <c r="H464" s="27">
        <v>14150.0</v>
      </c>
      <c r="I464" s="7"/>
      <c r="J464" s="18">
        <f t="shared" si="20"/>
        <v>21225</v>
      </c>
      <c r="K464" s="18">
        <f t="shared" si="21"/>
        <v>18395</v>
      </c>
      <c r="L464" s="19">
        <f t="shared" si="22"/>
        <v>18395</v>
      </c>
      <c r="M464" s="19">
        <f t="shared" si="23"/>
        <v>16980</v>
      </c>
      <c r="N464" s="19">
        <f t="shared" si="24"/>
        <v>16272.5</v>
      </c>
      <c r="O464" s="19">
        <f t="shared" si="25"/>
        <v>15565</v>
      </c>
    </row>
    <row r="465">
      <c r="A465" s="13" t="s">
        <v>19</v>
      </c>
      <c r="B465" s="5" t="s">
        <v>819</v>
      </c>
      <c r="C465" s="5" t="s">
        <v>317</v>
      </c>
      <c r="D465" s="5" t="s">
        <v>926</v>
      </c>
      <c r="E465" s="5" t="s">
        <v>930</v>
      </c>
      <c r="F465" s="5" t="s">
        <v>931</v>
      </c>
      <c r="G465" s="15" t="s">
        <v>932</v>
      </c>
      <c r="H465" s="27">
        <v>9300.0</v>
      </c>
      <c r="I465" s="7"/>
      <c r="J465" s="18">
        <f t="shared" si="20"/>
        <v>13950</v>
      </c>
      <c r="K465" s="18">
        <f t="shared" si="21"/>
        <v>12090</v>
      </c>
      <c r="L465" s="19">
        <f t="shared" si="22"/>
        <v>12090</v>
      </c>
      <c r="M465" s="19">
        <f t="shared" si="23"/>
        <v>11160</v>
      </c>
      <c r="N465" s="19">
        <f t="shared" si="24"/>
        <v>10695</v>
      </c>
      <c r="O465" s="19">
        <f t="shared" si="25"/>
        <v>10230</v>
      </c>
    </row>
    <row r="466">
      <c r="A466" s="13" t="s">
        <v>19</v>
      </c>
      <c r="B466" s="5" t="s">
        <v>819</v>
      </c>
      <c r="C466" s="5" t="s">
        <v>317</v>
      </c>
      <c r="D466" s="5" t="s">
        <v>926</v>
      </c>
      <c r="E466" s="5" t="s">
        <v>933</v>
      </c>
      <c r="F466" s="5" t="s">
        <v>934</v>
      </c>
      <c r="G466" s="37" t="s">
        <v>932</v>
      </c>
      <c r="H466" s="27">
        <v>9300.0</v>
      </c>
      <c r="I466" s="7"/>
      <c r="J466" s="18">
        <f t="shared" si="20"/>
        <v>13950</v>
      </c>
      <c r="K466" s="18">
        <f t="shared" si="21"/>
        <v>12090</v>
      </c>
      <c r="L466" s="19">
        <f t="shared" si="22"/>
        <v>12090</v>
      </c>
      <c r="M466" s="19">
        <f t="shared" si="23"/>
        <v>11160</v>
      </c>
      <c r="N466" s="19">
        <f t="shared" si="24"/>
        <v>10695</v>
      </c>
      <c r="O466" s="19">
        <f t="shared" si="25"/>
        <v>10230</v>
      </c>
    </row>
    <row r="467">
      <c r="A467" s="13" t="s">
        <v>19</v>
      </c>
      <c r="B467" s="5" t="s">
        <v>819</v>
      </c>
      <c r="C467" s="5" t="s">
        <v>317</v>
      </c>
      <c r="D467" s="5" t="s">
        <v>935</v>
      </c>
      <c r="E467" s="5" t="s">
        <v>936</v>
      </c>
      <c r="F467" s="5" t="s">
        <v>937</v>
      </c>
      <c r="G467" s="15" t="s">
        <v>898</v>
      </c>
      <c r="H467" s="27">
        <v>6750.0</v>
      </c>
      <c r="I467" s="7"/>
      <c r="J467" s="18">
        <f t="shared" si="20"/>
        <v>10125</v>
      </c>
      <c r="K467" s="18">
        <f t="shared" si="21"/>
        <v>8775</v>
      </c>
      <c r="L467" s="19">
        <f t="shared" si="22"/>
        <v>8775</v>
      </c>
      <c r="M467" s="19">
        <f t="shared" si="23"/>
        <v>8100</v>
      </c>
      <c r="N467" s="19">
        <f t="shared" si="24"/>
        <v>7762.5</v>
      </c>
      <c r="O467" s="19">
        <f t="shared" si="25"/>
        <v>7425</v>
      </c>
    </row>
    <row r="468">
      <c r="A468" s="13" t="s">
        <v>19</v>
      </c>
      <c r="B468" s="5" t="s">
        <v>819</v>
      </c>
      <c r="C468" s="5" t="s">
        <v>317</v>
      </c>
      <c r="D468" s="5" t="s">
        <v>926</v>
      </c>
      <c r="E468" s="5" t="s">
        <v>938</v>
      </c>
      <c r="F468" s="5" t="s">
        <v>939</v>
      </c>
      <c r="G468" s="15" t="s">
        <v>940</v>
      </c>
      <c r="H468" s="27">
        <v>5300.0</v>
      </c>
      <c r="I468" s="7"/>
      <c r="J468" s="18">
        <f t="shared" si="20"/>
        <v>7950</v>
      </c>
      <c r="K468" s="18">
        <f t="shared" si="21"/>
        <v>6890</v>
      </c>
      <c r="L468" s="19">
        <f t="shared" si="22"/>
        <v>6890</v>
      </c>
      <c r="M468" s="19">
        <f t="shared" si="23"/>
        <v>6360</v>
      </c>
      <c r="N468" s="19">
        <f t="shared" si="24"/>
        <v>6095</v>
      </c>
      <c r="O468" s="19">
        <f t="shared" si="25"/>
        <v>5830</v>
      </c>
    </row>
    <row r="469">
      <c r="A469" s="13" t="s">
        <v>19</v>
      </c>
      <c r="B469" s="5" t="s">
        <v>819</v>
      </c>
      <c r="C469" s="5" t="s">
        <v>317</v>
      </c>
      <c r="D469" s="5" t="s">
        <v>926</v>
      </c>
      <c r="E469" s="5" t="s">
        <v>941</v>
      </c>
      <c r="F469" s="5" t="s">
        <v>942</v>
      </c>
      <c r="G469" s="15" t="s">
        <v>943</v>
      </c>
      <c r="H469" s="27">
        <v>7100.0</v>
      </c>
      <c r="I469" s="7"/>
      <c r="J469" s="18">
        <f t="shared" si="20"/>
        <v>10650</v>
      </c>
      <c r="K469" s="18">
        <f t="shared" si="21"/>
        <v>9230</v>
      </c>
      <c r="L469" s="19">
        <f t="shared" si="22"/>
        <v>9230</v>
      </c>
      <c r="M469" s="19">
        <f t="shared" si="23"/>
        <v>8520</v>
      </c>
      <c r="N469" s="19">
        <f t="shared" si="24"/>
        <v>8165</v>
      </c>
      <c r="O469" s="19">
        <f t="shared" si="25"/>
        <v>7810</v>
      </c>
    </row>
    <row r="470">
      <c r="A470" s="13" t="s">
        <v>19</v>
      </c>
      <c r="B470" s="5" t="s">
        <v>819</v>
      </c>
      <c r="C470" s="5" t="s">
        <v>906</v>
      </c>
      <c r="D470" s="5" t="s">
        <v>926</v>
      </c>
      <c r="E470" s="5" t="s">
        <v>944</v>
      </c>
      <c r="F470" s="5" t="s">
        <v>945</v>
      </c>
      <c r="G470" s="23" t="s">
        <v>898</v>
      </c>
      <c r="H470" s="27">
        <v>5750.0</v>
      </c>
      <c r="I470" s="7"/>
      <c r="J470" s="18">
        <f t="shared" si="20"/>
        <v>8625</v>
      </c>
      <c r="K470" s="18">
        <f t="shared" si="21"/>
        <v>7475</v>
      </c>
      <c r="L470" s="19">
        <f t="shared" si="22"/>
        <v>7475</v>
      </c>
      <c r="M470" s="19">
        <f t="shared" si="23"/>
        <v>6900</v>
      </c>
      <c r="N470" s="19">
        <f t="shared" si="24"/>
        <v>6612.5</v>
      </c>
      <c r="O470" s="19">
        <f t="shared" si="25"/>
        <v>6325</v>
      </c>
    </row>
    <row r="471">
      <c r="A471" s="13" t="s">
        <v>19</v>
      </c>
      <c r="B471" s="5" t="s">
        <v>819</v>
      </c>
      <c r="C471" s="5" t="s">
        <v>946</v>
      </c>
      <c r="D471" s="5" t="s">
        <v>926</v>
      </c>
      <c r="E471" s="5" t="s">
        <v>947</v>
      </c>
      <c r="F471" s="5" t="s">
        <v>948</v>
      </c>
      <c r="G471" s="23" t="s">
        <v>898</v>
      </c>
      <c r="H471" s="27">
        <v>8050.0</v>
      </c>
      <c r="I471" s="7"/>
      <c r="J471" s="18">
        <f t="shared" si="20"/>
        <v>12075</v>
      </c>
      <c r="K471" s="18">
        <f t="shared" si="21"/>
        <v>10465</v>
      </c>
      <c r="L471" s="19">
        <f t="shared" si="22"/>
        <v>10465</v>
      </c>
      <c r="M471" s="19">
        <f t="shared" si="23"/>
        <v>9660</v>
      </c>
      <c r="N471" s="19">
        <f t="shared" si="24"/>
        <v>9257.5</v>
      </c>
      <c r="O471" s="19">
        <f t="shared" si="25"/>
        <v>8855</v>
      </c>
    </row>
    <row r="472">
      <c r="A472" s="13" t="s">
        <v>19</v>
      </c>
      <c r="B472" s="5" t="s">
        <v>819</v>
      </c>
      <c r="C472" s="5" t="s">
        <v>906</v>
      </c>
      <c r="D472" s="5" t="s">
        <v>926</v>
      </c>
      <c r="E472" s="5" t="s">
        <v>949</v>
      </c>
      <c r="F472" s="5" t="s">
        <v>945</v>
      </c>
      <c r="G472" s="23" t="s">
        <v>898</v>
      </c>
      <c r="H472" s="27">
        <v>5750.0</v>
      </c>
      <c r="I472" s="7"/>
      <c r="J472" s="18">
        <f t="shared" si="20"/>
        <v>8625</v>
      </c>
      <c r="K472" s="18">
        <f t="shared" si="21"/>
        <v>7475</v>
      </c>
      <c r="L472" s="19">
        <f t="shared" si="22"/>
        <v>7475</v>
      </c>
      <c r="M472" s="19">
        <f t="shared" si="23"/>
        <v>6900</v>
      </c>
      <c r="N472" s="19">
        <f t="shared" si="24"/>
        <v>6612.5</v>
      </c>
      <c r="O472" s="19">
        <f t="shared" si="25"/>
        <v>6325</v>
      </c>
    </row>
    <row r="473">
      <c r="A473" s="13" t="s">
        <v>19</v>
      </c>
      <c r="B473" s="5" t="s">
        <v>819</v>
      </c>
      <c r="C473" s="5" t="s">
        <v>317</v>
      </c>
      <c r="D473" s="5" t="s">
        <v>926</v>
      </c>
      <c r="E473" s="5" t="s">
        <v>950</v>
      </c>
      <c r="F473" s="5" t="s">
        <v>951</v>
      </c>
      <c r="G473" s="15" t="s">
        <v>952</v>
      </c>
      <c r="H473" s="27">
        <v>5750.0</v>
      </c>
      <c r="I473" s="7"/>
      <c r="J473" s="18">
        <f t="shared" si="20"/>
        <v>8625</v>
      </c>
      <c r="K473" s="18">
        <f t="shared" si="21"/>
        <v>7475</v>
      </c>
      <c r="L473" s="19">
        <f t="shared" si="22"/>
        <v>7475</v>
      </c>
      <c r="M473" s="19">
        <f t="shared" si="23"/>
        <v>6900</v>
      </c>
      <c r="N473" s="19">
        <f t="shared" si="24"/>
        <v>6612.5</v>
      </c>
      <c r="O473" s="19">
        <f t="shared" si="25"/>
        <v>6325</v>
      </c>
    </row>
    <row r="474">
      <c r="A474" s="13" t="s">
        <v>19</v>
      </c>
      <c r="B474" s="5" t="s">
        <v>819</v>
      </c>
      <c r="C474" s="5" t="s">
        <v>317</v>
      </c>
      <c r="D474" s="5" t="s">
        <v>926</v>
      </c>
      <c r="E474" s="5" t="s">
        <v>953</v>
      </c>
      <c r="F474" s="5" t="s">
        <v>954</v>
      </c>
      <c r="G474" s="15" t="s">
        <v>952</v>
      </c>
      <c r="H474" s="27">
        <v>5750.0</v>
      </c>
      <c r="I474" s="7"/>
      <c r="J474" s="18">
        <f t="shared" si="20"/>
        <v>8625</v>
      </c>
      <c r="K474" s="18">
        <f t="shared" si="21"/>
        <v>7475</v>
      </c>
      <c r="L474" s="19">
        <f t="shared" si="22"/>
        <v>7475</v>
      </c>
      <c r="M474" s="19">
        <f t="shared" si="23"/>
        <v>6900</v>
      </c>
      <c r="N474" s="19">
        <f t="shared" si="24"/>
        <v>6612.5</v>
      </c>
      <c r="O474" s="19">
        <f t="shared" si="25"/>
        <v>6325</v>
      </c>
    </row>
    <row r="475">
      <c r="A475" s="13" t="s">
        <v>19</v>
      </c>
      <c r="B475" s="5" t="s">
        <v>819</v>
      </c>
      <c r="C475" s="5" t="s">
        <v>955</v>
      </c>
      <c r="D475" s="5" t="s">
        <v>926</v>
      </c>
      <c r="E475" s="5" t="s">
        <v>956</v>
      </c>
      <c r="F475" s="5" t="s">
        <v>957</v>
      </c>
      <c r="G475" s="37" t="s">
        <v>952</v>
      </c>
      <c r="H475" s="27">
        <v>10350.0</v>
      </c>
      <c r="I475" s="7"/>
      <c r="J475" s="18">
        <f t="shared" si="20"/>
        <v>15525</v>
      </c>
      <c r="K475" s="18">
        <f t="shared" si="21"/>
        <v>13455</v>
      </c>
      <c r="L475" s="19">
        <f t="shared" si="22"/>
        <v>13455</v>
      </c>
      <c r="M475" s="19">
        <f t="shared" si="23"/>
        <v>12420</v>
      </c>
      <c r="N475" s="19">
        <f t="shared" si="24"/>
        <v>11902.5</v>
      </c>
      <c r="O475" s="19">
        <f t="shared" si="25"/>
        <v>11385</v>
      </c>
    </row>
    <row r="476">
      <c r="A476" s="13" t="s">
        <v>19</v>
      </c>
      <c r="B476" s="5" t="s">
        <v>819</v>
      </c>
      <c r="C476" s="5" t="s">
        <v>955</v>
      </c>
      <c r="D476" s="5" t="s">
        <v>926</v>
      </c>
      <c r="E476" s="5" t="s">
        <v>958</v>
      </c>
      <c r="F476" s="5" t="s">
        <v>959</v>
      </c>
      <c r="G476" s="37" t="s">
        <v>952</v>
      </c>
      <c r="H476" s="27">
        <v>10350.0</v>
      </c>
      <c r="I476" s="7"/>
      <c r="J476" s="18">
        <f t="shared" si="20"/>
        <v>15525</v>
      </c>
      <c r="K476" s="18">
        <f t="shared" si="21"/>
        <v>13455</v>
      </c>
      <c r="L476" s="19">
        <f t="shared" si="22"/>
        <v>13455</v>
      </c>
      <c r="M476" s="19">
        <f t="shared" si="23"/>
        <v>12420</v>
      </c>
      <c r="N476" s="19">
        <f t="shared" si="24"/>
        <v>11902.5</v>
      </c>
      <c r="O476" s="19">
        <f t="shared" si="25"/>
        <v>11385</v>
      </c>
    </row>
    <row r="477">
      <c r="A477" s="13" t="s">
        <v>19</v>
      </c>
      <c r="B477" s="5" t="s">
        <v>819</v>
      </c>
      <c r="C477" s="5" t="s">
        <v>317</v>
      </c>
      <c r="D477" s="5" t="s">
        <v>926</v>
      </c>
      <c r="E477" s="5" t="s">
        <v>960</v>
      </c>
      <c r="F477" s="5" t="s">
        <v>961</v>
      </c>
      <c r="G477" s="15" t="s">
        <v>457</v>
      </c>
      <c r="H477" s="27">
        <v>5300.0</v>
      </c>
      <c r="I477" s="7"/>
      <c r="J477" s="18">
        <f t="shared" si="20"/>
        <v>7950</v>
      </c>
      <c r="K477" s="18">
        <f t="shared" si="21"/>
        <v>6890</v>
      </c>
      <c r="L477" s="19">
        <f t="shared" si="22"/>
        <v>6890</v>
      </c>
      <c r="M477" s="19">
        <f t="shared" si="23"/>
        <v>6360</v>
      </c>
      <c r="N477" s="19">
        <f t="shared" si="24"/>
        <v>6095</v>
      </c>
      <c r="O477" s="19">
        <f t="shared" si="25"/>
        <v>5830</v>
      </c>
    </row>
    <row r="478">
      <c r="A478" s="13" t="s">
        <v>19</v>
      </c>
      <c r="B478" s="5" t="s">
        <v>819</v>
      </c>
      <c r="C478" s="5" t="s">
        <v>317</v>
      </c>
      <c r="D478" s="5" t="s">
        <v>926</v>
      </c>
      <c r="E478" s="5" t="s">
        <v>962</v>
      </c>
      <c r="F478" s="5" t="s">
        <v>963</v>
      </c>
      <c r="G478" s="15" t="s">
        <v>457</v>
      </c>
      <c r="H478" s="27">
        <v>12850.0</v>
      </c>
      <c r="I478" s="7"/>
      <c r="J478" s="18">
        <f t="shared" si="20"/>
        <v>19275</v>
      </c>
      <c r="K478" s="18">
        <f t="shared" si="21"/>
        <v>16705</v>
      </c>
      <c r="L478" s="19">
        <f t="shared" si="22"/>
        <v>16705</v>
      </c>
      <c r="M478" s="19">
        <f t="shared" si="23"/>
        <v>15420</v>
      </c>
      <c r="N478" s="19">
        <f t="shared" si="24"/>
        <v>14777.5</v>
      </c>
      <c r="O478" s="19">
        <f t="shared" si="25"/>
        <v>14135</v>
      </c>
    </row>
    <row r="479">
      <c r="A479" s="13" t="s">
        <v>19</v>
      </c>
      <c r="B479" s="5" t="s">
        <v>819</v>
      </c>
      <c r="C479" s="5" t="s">
        <v>317</v>
      </c>
      <c r="D479" s="5" t="s">
        <v>926</v>
      </c>
      <c r="E479" s="5" t="s">
        <v>964</v>
      </c>
      <c r="F479" s="5" t="s">
        <v>965</v>
      </c>
      <c r="G479" s="15" t="s">
        <v>457</v>
      </c>
      <c r="H479" s="27">
        <v>10600.0</v>
      </c>
      <c r="I479" s="7"/>
      <c r="J479" s="18">
        <f t="shared" si="20"/>
        <v>15900</v>
      </c>
      <c r="K479" s="18">
        <f t="shared" si="21"/>
        <v>13780</v>
      </c>
      <c r="L479" s="19">
        <f t="shared" si="22"/>
        <v>13780</v>
      </c>
      <c r="M479" s="19">
        <f t="shared" si="23"/>
        <v>12720</v>
      </c>
      <c r="N479" s="19">
        <f t="shared" si="24"/>
        <v>12190</v>
      </c>
      <c r="O479" s="19">
        <f t="shared" si="25"/>
        <v>11660</v>
      </c>
    </row>
    <row r="480">
      <c r="A480" s="13" t="s">
        <v>19</v>
      </c>
      <c r="B480" s="5" t="s">
        <v>819</v>
      </c>
      <c r="C480" s="5" t="s">
        <v>317</v>
      </c>
      <c r="D480" s="5" t="s">
        <v>926</v>
      </c>
      <c r="E480" s="5" t="s">
        <v>966</v>
      </c>
      <c r="F480" s="5" t="s">
        <v>967</v>
      </c>
      <c r="G480" s="15" t="s">
        <v>457</v>
      </c>
      <c r="H480" s="27">
        <v>7100.0</v>
      </c>
      <c r="I480" s="7"/>
      <c r="J480" s="18">
        <f t="shared" si="20"/>
        <v>10650</v>
      </c>
      <c r="K480" s="18">
        <f t="shared" si="21"/>
        <v>9230</v>
      </c>
      <c r="L480" s="19">
        <f t="shared" si="22"/>
        <v>9230</v>
      </c>
      <c r="M480" s="19">
        <f t="shared" si="23"/>
        <v>8520</v>
      </c>
      <c r="N480" s="19">
        <f t="shared" si="24"/>
        <v>8165</v>
      </c>
      <c r="O480" s="19">
        <f t="shared" si="25"/>
        <v>7810</v>
      </c>
    </row>
    <row r="481">
      <c r="A481" s="13" t="s">
        <v>19</v>
      </c>
      <c r="B481" s="5" t="s">
        <v>819</v>
      </c>
      <c r="C481" s="5" t="s">
        <v>317</v>
      </c>
      <c r="D481" s="5" t="s">
        <v>926</v>
      </c>
      <c r="E481" s="5" t="s">
        <v>968</v>
      </c>
      <c r="F481" s="5" t="s">
        <v>969</v>
      </c>
      <c r="G481" s="15" t="s">
        <v>457</v>
      </c>
      <c r="H481" s="27">
        <v>7100.0</v>
      </c>
      <c r="I481" s="7"/>
      <c r="J481" s="18">
        <f t="shared" si="20"/>
        <v>10650</v>
      </c>
      <c r="K481" s="18">
        <f t="shared" si="21"/>
        <v>9230</v>
      </c>
      <c r="L481" s="19">
        <f t="shared" si="22"/>
        <v>9230</v>
      </c>
      <c r="M481" s="19">
        <f t="shared" si="23"/>
        <v>8520</v>
      </c>
      <c r="N481" s="19">
        <f t="shared" si="24"/>
        <v>8165</v>
      </c>
      <c r="O481" s="19">
        <f t="shared" si="25"/>
        <v>7810</v>
      </c>
    </row>
    <row r="482">
      <c r="A482" s="13" t="s">
        <v>19</v>
      </c>
      <c r="B482" s="5" t="s">
        <v>819</v>
      </c>
      <c r="C482" s="5" t="s">
        <v>317</v>
      </c>
      <c r="D482" s="5" t="s">
        <v>926</v>
      </c>
      <c r="E482" s="5" t="s">
        <v>970</v>
      </c>
      <c r="F482" s="5" t="s">
        <v>971</v>
      </c>
      <c r="G482" s="15" t="s">
        <v>457</v>
      </c>
      <c r="H482" s="27">
        <v>6650.0</v>
      </c>
      <c r="I482" s="7"/>
      <c r="J482" s="18">
        <f t="shared" si="20"/>
        <v>9975</v>
      </c>
      <c r="K482" s="18">
        <f t="shared" si="21"/>
        <v>8645</v>
      </c>
      <c r="L482" s="19">
        <f t="shared" si="22"/>
        <v>8645</v>
      </c>
      <c r="M482" s="19">
        <f t="shared" si="23"/>
        <v>7980</v>
      </c>
      <c r="N482" s="19">
        <f t="shared" si="24"/>
        <v>7647.5</v>
      </c>
      <c r="O482" s="19">
        <f t="shared" si="25"/>
        <v>7315</v>
      </c>
    </row>
    <row r="483">
      <c r="A483" s="13" t="s">
        <v>19</v>
      </c>
      <c r="B483" s="5" t="s">
        <v>819</v>
      </c>
      <c r="C483" s="5" t="s">
        <v>906</v>
      </c>
      <c r="D483" s="5" t="s">
        <v>916</v>
      </c>
      <c r="E483" s="5" t="s">
        <v>972</v>
      </c>
      <c r="F483" s="5" t="s">
        <v>973</v>
      </c>
      <c r="G483" s="15" t="s">
        <v>457</v>
      </c>
      <c r="H483" s="27">
        <v>4600.0</v>
      </c>
      <c r="I483" s="7"/>
      <c r="J483" s="18">
        <f t="shared" si="20"/>
        <v>6900</v>
      </c>
      <c r="K483" s="18">
        <f t="shared" si="21"/>
        <v>5980</v>
      </c>
      <c r="L483" s="19">
        <f t="shared" si="22"/>
        <v>5980</v>
      </c>
      <c r="M483" s="19">
        <f t="shared" si="23"/>
        <v>5520</v>
      </c>
      <c r="N483" s="19">
        <f t="shared" si="24"/>
        <v>5290</v>
      </c>
      <c r="O483" s="19">
        <f t="shared" si="25"/>
        <v>5060</v>
      </c>
    </row>
    <row r="484">
      <c r="A484" s="13" t="s">
        <v>19</v>
      </c>
      <c r="B484" s="5" t="s">
        <v>819</v>
      </c>
      <c r="C484" s="5" t="s">
        <v>906</v>
      </c>
      <c r="D484" s="5" t="s">
        <v>916</v>
      </c>
      <c r="E484" s="5" t="s">
        <v>974</v>
      </c>
      <c r="F484" s="5" t="s">
        <v>975</v>
      </c>
      <c r="G484" s="15" t="s">
        <v>457</v>
      </c>
      <c r="H484" s="27">
        <v>3400.0</v>
      </c>
      <c r="I484" s="7"/>
      <c r="J484" s="18">
        <f t="shared" si="20"/>
        <v>5100</v>
      </c>
      <c r="K484" s="18">
        <f t="shared" si="21"/>
        <v>4420</v>
      </c>
      <c r="L484" s="19">
        <f t="shared" si="22"/>
        <v>4420</v>
      </c>
      <c r="M484" s="19">
        <f t="shared" si="23"/>
        <v>4080</v>
      </c>
      <c r="N484" s="19">
        <f t="shared" si="24"/>
        <v>3910</v>
      </c>
      <c r="O484" s="19">
        <f t="shared" si="25"/>
        <v>3740</v>
      </c>
    </row>
    <row r="485">
      <c r="A485" s="13" t="s">
        <v>19</v>
      </c>
      <c r="B485" s="5" t="s">
        <v>819</v>
      </c>
      <c r="C485" s="5" t="s">
        <v>317</v>
      </c>
      <c r="D485" s="5" t="s">
        <v>926</v>
      </c>
      <c r="E485" s="5" t="s">
        <v>976</v>
      </c>
      <c r="F485" s="5" t="s">
        <v>977</v>
      </c>
      <c r="G485" s="15" t="s">
        <v>457</v>
      </c>
      <c r="H485" s="27">
        <v>2650.0</v>
      </c>
      <c r="I485" s="7"/>
      <c r="J485" s="18">
        <f t="shared" si="20"/>
        <v>3975</v>
      </c>
      <c r="K485" s="18">
        <f t="shared" si="21"/>
        <v>3445</v>
      </c>
      <c r="L485" s="19">
        <f t="shared" si="22"/>
        <v>3445</v>
      </c>
      <c r="M485" s="19">
        <f t="shared" si="23"/>
        <v>3180</v>
      </c>
      <c r="N485" s="19">
        <f t="shared" si="24"/>
        <v>3047.5</v>
      </c>
      <c r="O485" s="19">
        <f t="shared" si="25"/>
        <v>2915</v>
      </c>
    </row>
    <row r="486">
      <c r="A486" s="13" t="s">
        <v>19</v>
      </c>
      <c r="B486" s="5" t="s">
        <v>819</v>
      </c>
      <c r="C486" s="5" t="s">
        <v>317</v>
      </c>
      <c r="D486" s="5" t="s">
        <v>978</v>
      </c>
      <c r="E486" s="5" t="s">
        <v>979</v>
      </c>
      <c r="F486" s="5" t="s">
        <v>980</v>
      </c>
      <c r="G486" s="15" t="s">
        <v>277</v>
      </c>
      <c r="H486" s="27">
        <v>5750.0</v>
      </c>
      <c r="I486" s="7"/>
      <c r="J486" s="18">
        <f t="shared" si="20"/>
        <v>8625</v>
      </c>
      <c r="K486" s="18">
        <f t="shared" si="21"/>
        <v>7475</v>
      </c>
      <c r="L486" s="19">
        <f t="shared" si="22"/>
        <v>7475</v>
      </c>
      <c r="M486" s="19">
        <f t="shared" si="23"/>
        <v>6900</v>
      </c>
      <c r="N486" s="19">
        <f t="shared" si="24"/>
        <v>6612.5</v>
      </c>
      <c r="O486" s="19">
        <f t="shared" si="25"/>
        <v>6325</v>
      </c>
    </row>
    <row r="487">
      <c r="A487" s="13" t="s">
        <v>19</v>
      </c>
      <c r="B487" s="5" t="s">
        <v>819</v>
      </c>
      <c r="C487" s="5" t="s">
        <v>317</v>
      </c>
      <c r="D487" s="5" t="s">
        <v>978</v>
      </c>
      <c r="E487" s="5" t="s">
        <v>981</v>
      </c>
      <c r="F487" s="5" t="s">
        <v>982</v>
      </c>
      <c r="G487" s="15" t="s">
        <v>940</v>
      </c>
      <c r="H487" s="27">
        <v>5600.0</v>
      </c>
      <c r="I487" s="7"/>
      <c r="J487" s="18">
        <f t="shared" si="20"/>
        <v>8400</v>
      </c>
      <c r="K487" s="18">
        <f t="shared" si="21"/>
        <v>7280</v>
      </c>
      <c r="L487" s="19">
        <f t="shared" si="22"/>
        <v>7280</v>
      </c>
      <c r="M487" s="19">
        <f t="shared" si="23"/>
        <v>6720</v>
      </c>
      <c r="N487" s="19">
        <f t="shared" si="24"/>
        <v>6440</v>
      </c>
      <c r="O487" s="19">
        <f t="shared" si="25"/>
        <v>6160</v>
      </c>
    </row>
    <row r="488">
      <c r="A488" s="13" t="s">
        <v>19</v>
      </c>
      <c r="B488" s="5" t="s">
        <v>819</v>
      </c>
      <c r="C488" s="5" t="s">
        <v>317</v>
      </c>
      <c r="D488" s="5" t="s">
        <v>978</v>
      </c>
      <c r="E488" s="5" t="s">
        <v>983</v>
      </c>
      <c r="F488" s="5" t="s">
        <v>982</v>
      </c>
      <c r="G488" s="15" t="s">
        <v>940</v>
      </c>
      <c r="H488" s="27">
        <v>5600.0</v>
      </c>
      <c r="I488" s="7"/>
      <c r="J488" s="18">
        <f t="shared" si="20"/>
        <v>8400</v>
      </c>
      <c r="K488" s="18">
        <f t="shared" si="21"/>
        <v>7280</v>
      </c>
      <c r="L488" s="19">
        <f t="shared" si="22"/>
        <v>7280</v>
      </c>
      <c r="M488" s="19">
        <f t="shared" si="23"/>
        <v>6720</v>
      </c>
      <c r="N488" s="19">
        <f t="shared" si="24"/>
        <v>6440</v>
      </c>
      <c r="O488" s="19">
        <f t="shared" si="25"/>
        <v>6160</v>
      </c>
    </row>
    <row r="489">
      <c r="A489" s="13" t="s">
        <v>19</v>
      </c>
      <c r="B489" s="5" t="s">
        <v>819</v>
      </c>
      <c r="C489" s="5" t="s">
        <v>317</v>
      </c>
      <c r="D489" s="5" t="s">
        <v>978</v>
      </c>
      <c r="E489" s="5" t="s">
        <v>984</v>
      </c>
      <c r="F489" s="5" t="s">
        <v>985</v>
      </c>
      <c r="G489" s="28" t="s">
        <v>986</v>
      </c>
      <c r="H489" s="27">
        <v>6200.0</v>
      </c>
      <c r="I489" s="7"/>
      <c r="J489" s="18">
        <f t="shared" si="20"/>
        <v>9300</v>
      </c>
      <c r="K489" s="18">
        <f t="shared" si="21"/>
        <v>8060</v>
      </c>
      <c r="L489" s="19">
        <f t="shared" si="22"/>
        <v>8060</v>
      </c>
      <c r="M489" s="19">
        <f t="shared" si="23"/>
        <v>7440</v>
      </c>
      <c r="N489" s="19">
        <f t="shared" si="24"/>
        <v>7130</v>
      </c>
      <c r="O489" s="19">
        <f t="shared" si="25"/>
        <v>6820</v>
      </c>
    </row>
    <row r="490">
      <c r="A490" s="13" t="s">
        <v>19</v>
      </c>
      <c r="B490" s="5" t="s">
        <v>819</v>
      </c>
      <c r="C490" s="5" t="s">
        <v>317</v>
      </c>
      <c r="D490" s="5" t="s">
        <v>978</v>
      </c>
      <c r="E490" s="5" t="s">
        <v>987</v>
      </c>
      <c r="F490" s="5" t="s">
        <v>985</v>
      </c>
      <c r="G490" s="28" t="s">
        <v>986</v>
      </c>
      <c r="H490" s="27">
        <v>6200.0</v>
      </c>
      <c r="I490" s="7"/>
      <c r="J490" s="18">
        <f t="shared" si="20"/>
        <v>9300</v>
      </c>
      <c r="K490" s="18">
        <f t="shared" si="21"/>
        <v>8060</v>
      </c>
      <c r="L490" s="19">
        <f t="shared" si="22"/>
        <v>8060</v>
      </c>
      <c r="M490" s="19">
        <f t="shared" si="23"/>
        <v>7440</v>
      </c>
      <c r="N490" s="19">
        <f t="shared" si="24"/>
        <v>7130</v>
      </c>
      <c r="O490" s="19">
        <f t="shared" si="25"/>
        <v>6820</v>
      </c>
    </row>
    <row r="491">
      <c r="A491" s="13" t="s">
        <v>19</v>
      </c>
      <c r="B491" s="5" t="s">
        <v>819</v>
      </c>
      <c r="C491" s="5" t="s">
        <v>317</v>
      </c>
      <c r="D491" s="5" t="s">
        <v>978</v>
      </c>
      <c r="E491" s="5" t="s">
        <v>988</v>
      </c>
      <c r="F491" s="5" t="s">
        <v>989</v>
      </c>
      <c r="G491" s="28" t="s">
        <v>457</v>
      </c>
      <c r="H491" s="27">
        <v>4900.0</v>
      </c>
      <c r="I491" s="7"/>
      <c r="J491" s="18">
        <f t="shared" si="20"/>
        <v>7350</v>
      </c>
      <c r="K491" s="18">
        <f t="shared" si="21"/>
        <v>6370</v>
      </c>
      <c r="L491" s="19">
        <f t="shared" si="22"/>
        <v>6370</v>
      </c>
      <c r="M491" s="19">
        <f t="shared" si="23"/>
        <v>5880</v>
      </c>
      <c r="N491" s="19">
        <f t="shared" si="24"/>
        <v>5635</v>
      </c>
      <c r="O491" s="19">
        <f t="shared" si="25"/>
        <v>5390</v>
      </c>
    </row>
    <row r="492">
      <c r="A492" s="13" t="s">
        <v>19</v>
      </c>
      <c r="B492" s="5" t="s">
        <v>819</v>
      </c>
      <c r="C492" s="5" t="s">
        <v>990</v>
      </c>
      <c r="D492" s="5" t="s">
        <v>991</v>
      </c>
      <c r="E492" s="5" t="s">
        <v>992</v>
      </c>
      <c r="F492" s="5" t="s">
        <v>993</v>
      </c>
      <c r="G492" s="15" t="s">
        <v>457</v>
      </c>
      <c r="H492" s="27">
        <v>900.0</v>
      </c>
      <c r="I492" s="7"/>
      <c r="J492" s="18">
        <f t="shared" si="20"/>
        <v>1350</v>
      </c>
      <c r="K492" s="18">
        <f t="shared" si="21"/>
        <v>1170</v>
      </c>
      <c r="L492" s="19">
        <f t="shared" si="22"/>
        <v>1170</v>
      </c>
      <c r="M492" s="19">
        <f t="shared" si="23"/>
        <v>1080</v>
      </c>
      <c r="N492" s="19">
        <f t="shared" si="24"/>
        <v>1035</v>
      </c>
      <c r="O492" s="19">
        <f t="shared" si="25"/>
        <v>990</v>
      </c>
    </row>
    <row r="493">
      <c r="A493" s="13" t="s">
        <v>19</v>
      </c>
      <c r="B493" s="5" t="s">
        <v>819</v>
      </c>
      <c r="C493" s="5" t="s">
        <v>994</v>
      </c>
      <c r="D493" s="5" t="s">
        <v>995</v>
      </c>
      <c r="E493" s="5" t="s">
        <v>996</v>
      </c>
      <c r="F493" s="5" t="s">
        <v>997</v>
      </c>
      <c r="G493" s="15" t="s">
        <v>998</v>
      </c>
      <c r="H493" s="27">
        <v>15900.0</v>
      </c>
      <c r="I493" s="7"/>
      <c r="J493" s="18">
        <f t="shared" si="20"/>
        <v>23850</v>
      </c>
      <c r="K493" s="18">
        <f t="shared" si="21"/>
        <v>20670</v>
      </c>
      <c r="L493" s="19">
        <f t="shared" si="22"/>
        <v>20670</v>
      </c>
      <c r="M493" s="19">
        <f t="shared" si="23"/>
        <v>19080</v>
      </c>
      <c r="N493" s="19">
        <f t="shared" si="24"/>
        <v>18285</v>
      </c>
      <c r="O493" s="19">
        <f t="shared" si="25"/>
        <v>17490</v>
      </c>
    </row>
    <row r="494">
      <c r="A494" s="13" t="s">
        <v>19</v>
      </c>
      <c r="B494" s="5" t="s">
        <v>819</v>
      </c>
      <c r="C494" s="7"/>
      <c r="D494" s="7"/>
      <c r="E494" s="5" t="s">
        <v>999</v>
      </c>
      <c r="F494" s="5" t="s">
        <v>1000</v>
      </c>
      <c r="G494" s="16"/>
      <c r="H494" s="27">
        <v>16350.0</v>
      </c>
      <c r="I494" s="7"/>
      <c r="J494" s="18">
        <f t="shared" si="20"/>
        <v>24525</v>
      </c>
      <c r="K494" s="18">
        <f t="shared" si="21"/>
        <v>21255</v>
      </c>
      <c r="L494" s="19">
        <f t="shared" si="22"/>
        <v>21255</v>
      </c>
      <c r="M494" s="19">
        <f t="shared" si="23"/>
        <v>19620</v>
      </c>
      <c r="N494" s="19">
        <f t="shared" si="24"/>
        <v>18802.5</v>
      </c>
      <c r="O494" s="19">
        <f t="shared" si="25"/>
        <v>17985</v>
      </c>
    </row>
    <row r="495">
      <c r="A495" s="13" t="s">
        <v>19</v>
      </c>
      <c r="B495" s="5" t="s">
        <v>819</v>
      </c>
      <c r="C495" s="5" t="s">
        <v>994</v>
      </c>
      <c r="D495" s="5" t="s">
        <v>1001</v>
      </c>
      <c r="E495" s="5" t="s">
        <v>1002</v>
      </c>
      <c r="F495" s="5" t="s">
        <v>1003</v>
      </c>
      <c r="G495" s="15" t="s">
        <v>998</v>
      </c>
      <c r="H495" s="27">
        <v>16350.0</v>
      </c>
      <c r="I495" s="7"/>
      <c r="J495" s="18">
        <f t="shared" si="20"/>
        <v>24525</v>
      </c>
      <c r="K495" s="18">
        <f t="shared" si="21"/>
        <v>21255</v>
      </c>
      <c r="L495" s="19">
        <f t="shared" si="22"/>
        <v>21255</v>
      </c>
      <c r="M495" s="19">
        <f t="shared" si="23"/>
        <v>19620</v>
      </c>
      <c r="N495" s="19">
        <f t="shared" si="24"/>
        <v>18802.5</v>
      </c>
      <c r="O495" s="19">
        <f t="shared" si="25"/>
        <v>17985</v>
      </c>
    </row>
    <row r="496">
      <c r="A496" s="13" t="s">
        <v>19</v>
      </c>
      <c r="B496" s="5" t="s">
        <v>819</v>
      </c>
      <c r="C496" s="7"/>
      <c r="D496" s="7"/>
      <c r="E496" s="5" t="s">
        <v>1002</v>
      </c>
      <c r="F496" s="5" t="s">
        <v>1000</v>
      </c>
      <c r="G496" s="16"/>
      <c r="H496" s="27">
        <v>16800.0</v>
      </c>
      <c r="I496" s="7"/>
      <c r="J496" s="18">
        <f t="shared" si="20"/>
        <v>25200</v>
      </c>
      <c r="K496" s="18">
        <f t="shared" si="21"/>
        <v>21840</v>
      </c>
      <c r="L496" s="19">
        <f t="shared" si="22"/>
        <v>21840</v>
      </c>
      <c r="M496" s="19">
        <f t="shared" si="23"/>
        <v>20160</v>
      </c>
      <c r="N496" s="19">
        <f t="shared" si="24"/>
        <v>19320</v>
      </c>
      <c r="O496" s="19">
        <f t="shared" si="25"/>
        <v>18480</v>
      </c>
    </row>
    <row r="497">
      <c r="A497" s="13" t="s">
        <v>19</v>
      </c>
      <c r="B497" s="5" t="s">
        <v>819</v>
      </c>
      <c r="C497" s="5" t="s">
        <v>994</v>
      </c>
      <c r="D497" s="5" t="s">
        <v>1004</v>
      </c>
      <c r="E497" s="5" t="s">
        <v>1005</v>
      </c>
      <c r="F497" s="5" t="s">
        <v>1006</v>
      </c>
      <c r="G497" s="15" t="s">
        <v>457</v>
      </c>
      <c r="H497" s="27">
        <v>4800.0</v>
      </c>
      <c r="I497" s="7"/>
      <c r="J497" s="18">
        <f t="shared" si="20"/>
        <v>7200</v>
      </c>
      <c r="K497" s="18">
        <f t="shared" si="21"/>
        <v>6240</v>
      </c>
      <c r="L497" s="19">
        <f t="shared" si="22"/>
        <v>6240</v>
      </c>
      <c r="M497" s="19">
        <f t="shared" si="23"/>
        <v>5760</v>
      </c>
      <c r="N497" s="19">
        <f t="shared" si="24"/>
        <v>5520</v>
      </c>
      <c r="O497" s="19">
        <f t="shared" si="25"/>
        <v>5280</v>
      </c>
    </row>
    <row r="498">
      <c r="A498" s="13" t="s">
        <v>19</v>
      </c>
      <c r="B498" s="5" t="s">
        <v>819</v>
      </c>
      <c r="C498" s="5" t="s">
        <v>994</v>
      </c>
      <c r="D498" s="5" t="s">
        <v>1004</v>
      </c>
      <c r="E498" s="5" t="s">
        <v>1007</v>
      </c>
      <c r="F498" s="5" t="s">
        <v>1008</v>
      </c>
      <c r="G498" s="28" t="s">
        <v>457</v>
      </c>
      <c r="H498" s="27">
        <v>4600.0</v>
      </c>
      <c r="I498" s="7"/>
      <c r="J498" s="18">
        <f t="shared" si="20"/>
        <v>6900</v>
      </c>
      <c r="K498" s="18">
        <f t="shared" si="21"/>
        <v>5980</v>
      </c>
      <c r="L498" s="19">
        <f t="shared" si="22"/>
        <v>5980</v>
      </c>
      <c r="M498" s="19">
        <f t="shared" si="23"/>
        <v>5520</v>
      </c>
      <c r="N498" s="19">
        <f t="shared" si="24"/>
        <v>5290</v>
      </c>
      <c r="O498" s="19">
        <f t="shared" si="25"/>
        <v>5060</v>
      </c>
    </row>
    <row r="499">
      <c r="A499" s="13" t="s">
        <v>19</v>
      </c>
      <c r="B499" s="5" t="s">
        <v>819</v>
      </c>
      <c r="C499" s="5" t="s">
        <v>994</v>
      </c>
      <c r="D499" s="5" t="s">
        <v>1004</v>
      </c>
      <c r="E499" s="5" t="s">
        <v>1009</v>
      </c>
      <c r="F499" s="5" t="s">
        <v>1010</v>
      </c>
      <c r="G499" s="28" t="s">
        <v>457</v>
      </c>
      <c r="H499" s="27">
        <v>4800.0</v>
      </c>
      <c r="I499" s="7"/>
      <c r="J499" s="18">
        <f t="shared" si="20"/>
        <v>7200</v>
      </c>
      <c r="K499" s="18">
        <f t="shared" si="21"/>
        <v>6240</v>
      </c>
      <c r="L499" s="19">
        <f t="shared" si="22"/>
        <v>6240</v>
      </c>
      <c r="M499" s="19">
        <f t="shared" si="23"/>
        <v>5760</v>
      </c>
      <c r="N499" s="19">
        <f t="shared" si="24"/>
        <v>5520</v>
      </c>
      <c r="O499" s="19">
        <f t="shared" si="25"/>
        <v>5280</v>
      </c>
    </row>
    <row r="500">
      <c r="A500" s="13" t="s">
        <v>19</v>
      </c>
      <c r="B500" s="5" t="s">
        <v>819</v>
      </c>
      <c r="C500" s="5" t="s">
        <v>994</v>
      </c>
      <c r="D500" s="5" t="s">
        <v>1004</v>
      </c>
      <c r="E500" s="5" t="s">
        <v>1011</v>
      </c>
      <c r="F500" s="5" t="s">
        <v>1012</v>
      </c>
      <c r="G500" s="15" t="s">
        <v>457</v>
      </c>
      <c r="H500" s="27">
        <v>4450.0</v>
      </c>
      <c r="I500" s="7"/>
      <c r="J500" s="18">
        <f t="shared" si="20"/>
        <v>6675</v>
      </c>
      <c r="K500" s="18">
        <f t="shared" si="21"/>
        <v>5785</v>
      </c>
      <c r="L500" s="19">
        <f t="shared" si="22"/>
        <v>5785</v>
      </c>
      <c r="M500" s="19">
        <f t="shared" si="23"/>
        <v>5340</v>
      </c>
      <c r="N500" s="19">
        <f t="shared" si="24"/>
        <v>5117.5</v>
      </c>
      <c r="O500" s="19">
        <f t="shared" si="25"/>
        <v>4895</v>
      </c>
    </row>
    <row r="501">
      <c r="A501" s="13" t="s">
        <v>19</v>
      </c>
      <c r="B501" s="5" t="s">
        <v>819</v>
      </c>
      <c r="C501" s="5" t="s">
        <v>994</v>
      </c>
      <c r="D501" s="5" t="s">
        <v>1004</v>
      </c>
      <c r="E501" s="5" t="s">
        <v>1013</v>
      </c>
      <c r="F501" s="5" t="s">
        <v>1014</v>
      </c>
      <c r="G501" s="15" t="s">
        <v>457</v>
      </c>
      <c r="H501" s="27">
        <v>3750.0</v>
      </c>
      <c r="I501" s="7"/>
      <c r="J501" s="18">
        <f t="shared" si="20"/>
        <v>5625</v>
      </c>
      <c r="K501" s="18">
        <f t="shared" si="21"/>
        <v>4875</v>
      </c>
      <c r="L501" s="19">
        <f t="shared" si="22"/>
        <v>4875</v>
      </c>
      <c r="M501" s="19">
        <f t="shared" si="23"/>
        <v>4500</v>
      </c>
      <c r="N501" s="19">
        <f t="shared" si="24"/>
        <v>4312.5</v>
      </c>
      <c r="O501" s="19">
        <f t="shared" si="25"/>
        <v>4125</v>
      </c>
    </row>
    <row r="502">
      <c r="A502" s="38" t="s">
        <v>19</v>
      </c>
      <c r="B502" s="5" t="s">
        <v>1015</v>
      </c>
      <c r="C502" s="5" t="s">
        <v>1016</v>
      </c>
      <c r="D502" s="5" t="s">
        <v>1017</v>
      </c>
      <c r="E502" s="5" t="s">
        <v>1018</v>
      </c>
      <c r="F502" s="5" t="s">
        <v>1019</v>
      </c>
      <c r="G502" s="5" t="s">
        <v>457</v>
      </c>
      <c r="H502" s="39">
        <v>4000.0</v>
      </c>
      <c r="I502" s="7"/>
      <c r="J502" s="18">
        <f t="shared" si="20"/>
        <v>6000</v>
      </c>
      <c r="K502" s="18">
        <f t="shared" si="21"/>
        <v>5200</v>
      </c>
      <c r="L502" s="19">
        <f t="shared" si="22"/>
        <v>5200</v>
      </c>
      <c r="M502" s="19">
        <f t="shared" si="23"/>
        <v>4800</v>
      </c>
      <c r="N502" s="19">
        <f t="shared" si="24"/>
        <v>4600</v>
      </c>
      <c r="O502" s="19">
        <f t="shared" si="25"/>
        <v>4400</v>
      </c>
    </row>
    <row r="503">
      <c r="A503" s="38" t="s">
        <v>19</v>
      </c>
      <c r="B503" s="5" t="s">
        <v>1015</v>
      </c>
      <c r="C503" s="5" t="s">
        <v>1016</v>
      </c>
      <c r="D503" s="5" t="s">
        <v>1017</v>
      </c>
      <c r="E503" s="5" t="s">
        <v>1020</v>
      </c>
      <c r="F503" s="5" t="s">
        <v>1021</v>
      </c>
      <c r="G503" s="5" t="s">
        <v>457</v>
      </c>
      <c r="H503" s="39">
        <v>7500.0</v>
      </c>
      <c r="I503" s="7"/>
      <c r="J503" s="18">
        <f t="shared" si="20"/>
        <v>11250</v>
      </c>
      <c r="K503" s="18">
        <f t="shared" si="21"/>
        <v>9750</v>
      </c>
      <c r="L503" s="19">
        <f t="shared" si="22"/>
        <v>9750</v>
      </c>
      <c r="M503" s="19">
        <f t="shared" si="23"/>
        <v>9000</v>
      </c>
      <c r="N503" s="19">
        <f t="shared" si="24"/>
        <v>8625</v>
      </c>
      <c r="O503" s="19">
        <f t="shared" si="25"/>
        <v>8250</v>
      </c>
    </row>
    <row r="504">
      <c r="A504" s="38" t="s">
        <v>19</v>
      </c>
      <c r="B504" s="5" t="s">
        <v>1015</v>
      </c>
      <c r="C504" s="5" t="s">
        <v>1016</v>
      </c>
      <c r="D504" s="5" t="s">
        <v>1022</v>
      </c>
      <c r="E504" s="5" t="s">
        <v>1023</v>
      </c>
      <c r="F504" s="5" t="s">
        <v>1024</v>
      </c>
      <c r="G504" s="5" t="s">
        <v>457</v>
      </c>
      <c r="H504" s="39">
        <v>4300.0</v>
      </c>
      <c r="I504" s="7"/>
      <c r="J504" s="18">
        <f t="shared" si="20"/>
        <v>6450</v>
      </c>
      <c r="K504" s="18">
        <f t="shared" si="21"/>
        <v>5590</v>
      </c>
      <c r="L504" s="19">
        <f t="shared" si="22"/>
        <v>5590</v>
      </c>
      <c r="M504" s="19">
        <f t="shared" si="23"/>
        <v>5160</v>
      </c>
      <c r="N504" s="19">
        <f t="shared" si="24"/>
        <v>4945</v>
      </c>
      <c r="O504" s="19">
        <f t="shared" si="25"/>
        <v>4730</v>
      </c>
    </row>
    <row r="505">
      <c r="A505" s="38" t="s">
        <v>19</v>
      </c>
      <c r="B505" s="5" t="s">
        <v>1015</v>
      </c>
      <c r="C505" s="5" t="s">
        <v>1016</v>
      </c>
      <c r="D505" s="5" t="s">
        <v>1022</v>
      </c>
      <c r="E505" s="5" t="s">
        <v>1025</v>
      </c>
      <c r="F505" s="5" t="s">
        <v>1026</v>
      </c>
      <c r="G505" s="5" t="s">
        <v>457</v>
      </c>
      <c r="H505" s="39">
        <v>6000.0</v>
      </c>
      <c r="I505" s="7"/>
      <c r="J505" s="18">
        <f t="shared" si="20"/>
        <v>9000</v>
      </c>
      <c r="K505" s="18">
        <f t="shared" si="21"/>
        <v>7800</v>
      </c>
      <c r="L505" s="19">
        <f t="shared" si="22"/>
        <v>7800</v>
      </c>
      <c r="M505" s="19">
        <f t="shared" si="23"/>
        <v>7200</v>
      </c>
      <c r="N505" s="19">
        <f t="shared" si="24"/>
        <v>6900</v>
      </c>
      <c r="O505" s="19">
        <f t="shared" si="25"/>
        <v>6600</v>
      </c>
    </row>
    <row r="506">
      <c r="A506" s="38" t="s">
        <v>19</v>
      </c>
      <c r="B506" s="5" t="s">
        <v>1015</v>
      </c>
      <c r="C506" s="5" t="s">
        <v>1016</v>
      </c>
      <c r="D506" s="5" t="s">
        <v>1022</v>
      </c>
      <c r="E506" s="5" t="s">
        <v>1027</v>
      </c>
      <c r="F506" s="5" t="s">
        <v>1028</v>
      </c>
      <c r="G506" s="5" t="s">
        <v>457</v>
      </c>
      <c r="H506" s="39">
        <v>7900.0</v>
      </c>
      <c r="I506" s="7"/>
      <c r="J506" s="18">
        <f t="shared" si="20"/>
        <v>11850</v>
      </c>
      <c r="K506" s="18">
        <f t="shared" si="21"/>
        <v>10270</v>
      </c>
      <c r="L506" s="19">
        <f t="shared" si="22"/>
        <v>10270</v>
      </c>
      <c r="M506" s="19">
        <f t="shared" si="23"/>
        <v>9480</v>
      </c>
      <c r="N506" s="19">
        <f t="shared" si="24"/>
        <v>9085</v>
      </c>
      <c r="O506" s="19">
        <f t="shared" si="25"/>
        <v>8690</v>
      </c>
    </row>
    <row r="507">
      <c r="A507" s="38" t="s">
        <v>19</v>
      </c>
      <c r="B507" s="5" t="s">
        <v>1015</v>
      </c>
      <c r="C507" s="5" t="s">
        <v>1016</v>
      </c>
      <c r="D507" s="5" t="s">
        <v>1029</v>
      </c>
      <c r="E507" s="5" t="s">
        <v>1030</v>
      </c>
      <c r="F507" s="5" t="s">
        <v>1031</v>
      </c>
      <c r="G507" s="5" t="s">
        <v>457</v>
      </c>
      <c r="H507" s="39">
        <v>7620.0</v>
      </c>
      <c r="I507" s="7"/>
      <c r="J507" s="18">
        <f t="shared" si="20"/>
        <v>11430</v>
      </c>
      <c r="K507" s="18">
        <f t="shared" si="21"/>
        <v>9906</v>
      </c>
      <c r="L507" s="19">
        <f t="shared" si="22"/>
        <v>9906</v>
      </c>
      <c r="M507" s="19">
        <f t="shared" si="23"/>
        <v>9144</v>
      </c>
      <c r="N507" s="19">
        <f t="shared" si="24"/>
        <v>8763</v>
      </c>
      <c r="O507" s="19">
        <f t="shared" si="25"/>
        <v>8382</v>
      </c>
    </row>
    <row r="508">
      <c r="A508" s="38" t="s">
        <v>19</v>
      </c>
      <c r="B508" s="5" t="s">
        <v>1015</v>
      </c>
      <c r="C508" s="5" t="s">
        <v>1016</v>
      </c>
      <c r="D508" s="5" t="s">
        <v>1029</v>
      </c>
      <c r="E508" s="5" t="s">
        <v>1032</v>
      </c>
      <c r="F508" s="5" t="s">
        <v>1033</v>
      </c>
      <c r="G508" s="5" t="s">
        <v>457</v>
      </c>
      <c r="H508" s="39">
        <v>11340.0</v>
      </c>
      <c r="I508" s="7"/>
      <c r="J508" s="18">
        <f t="shared" si="20"/>
        <v>17010</v>
      </c>
      <c r="K508" s="18">
        <f t="shared" si="21"/>
        <v>14742</v>
      </c>
      <c r="L508" s="19">
        <f t="shared" si="22"/>
        <v>14742</v>
      </c>
      <c r="M508" s="19">
        <f t="shared" si="23"/>
        <v>13608</v>
      </c>
      <c r="N508" s="19">
        <f t="shared" si="24"/>
        <v>13041</v>
      </c>
      <c r="O508" s="19">
        <f t="shared" si="25"/>
        <v>12474</v>
      </c>
    </row>
    <row r="509">
      <c r="A509" s="38" t="s">
        <v>19</v>
      </c>
      <c r="B509" s="5" t="s">
        <v>1015</v>
      </c>
      <c r="C509" s="5" t="s">
        <v>1016</v>
      </c>
      <c r="D509" s="5" t="s">
        <v>1029</v>
      </c>
      <c r="E509" s="5" t="s">
        <v>1034</v>
      </c>
      <c r="F509" s="5" t="s">
        <v>1035</v>
      </c>
      <c r="G509" s="5" t="s">
        <v>457</v>
      </c>
      <c r="H509" s="39">
        <v>15000.0</v>
      </c>
      <c r="I509" s="7"/>
      <c r="J509" s="18">
        <f t="shared" si="20"/>
        <v>22500</v>
      </c>
      <c r="K509" s="18">
        <f t="shared" si="21"/>
        <v>19500</v>
      </c>
      <c r="L509" s="19">
        <f t="shared" si="22"/>
        <v>19500</v>
      </c>
      <c r="M509" s="19">
        <f t="shared" si="23"/>
        <v>18000</v>
      </c>
      <c r="N509" s="19">
        <f t="shared" si="24"/>
        <v>17250</v>
      </c>
      <c r="O509" s="19">
        <f t="shared" si="25"/>
        <v>16500</v>
      </c>
    </row>
    <row r="510">
      <c r="A510" s="38" t="s">
        <v>19</v>
      </c>
      <c r="B510" s="5" t="s">
        <v>1015</v>
      </c>
      <c r="C510" s="5" t="s">
        <v>1016</v>
      </c>
      <c r="D510" s="5" t="s">
        <v>1036</v>
      </c>
      <c r="E510" s="5" t="s">
        <v>1037</v>
      </c>
      <c r="F510" s="5" t="s">
        <v>1038</v>
      </c>
      <c r="G510" s="5" t="s">
        <v>457</v>
      </c>
      <c r="H510" s="39">
        <v>6850.0</v>
      </c>
      <c r="I510" s="7"/>
      <c r="J510" s="18">
        <f t="shared" si="20"/>
        <v>10275</v>
      </c>
      <c r="K510" s="18">
        <f t="shared" si="21"/>
        <v>8905</v>
      </c>
      <c r="L510" s="19">
        <f t="shared" si="22"/>
        <v>8905</v>
      </c>
      <c r="M510" s="19">
        <f t="shared" si="23"/>
        <v>8220</v>
      </c>
      <c r="N510" s="19">
        <f t="shared" si="24"/>
        <v>7877.5</v>
      </c>
      <c r="O510" s="19">
        <f t="shared" si="25"/>
        <v>7535</v>
      </c>
    </row>
    <row r="511">
      <c r="A511" s="38" t="s">
        <v>19</v>
      </c>
      <c r="B511" s="5" t="s">
        <v>1015</v>
      </c>
      <c r="C511" s="5" t="s">
        <v>1016</v>
      </c>
      <c r="D511" s="5" t="s">
        <v>1036</v>
      </c>
      <c r="E511" s="5" t="s">
        <v>1039</v>
      </c>
      <c r="F511" s="5" t="s">
        <v>1040</v>
      </c>
      <c r="G511" s="5" t="s">
        <v>457</v>
      </c>
      <c r="H511" s="39">
        <v>7600.0</v>
      </c>
      <c r="I511" s="7"/>
      <c r="J511" s="18">
        <f t="shared" si="20"/>
        <v>11400</v>
      </c>
      <c r="K511" s="18">
        <f t="shared" si="21"/>
        <v>9880</v>
      </c>
      <c r="L511" s="19">
        <f t="shared" si="22"/>
        <v>9880</v>
      </c>
      <c r="M511" s="19">
        <f t="shared" si="23"/>
        <v>9120</v>
      </c>
      <c r="N511" s="19">
        <f t="shared" si="24"/>
        <v>8740</v>
      </c>
      <c r="O511" s="19">
        <f t="shared" si="25"/>
        <v>8360</v>
      </c>
    </row>
    <row r="512">
      <c r="A512" s="38" t="s">
        <v>19</v>
      </c>
      <c r="B512" s="5" t="s">
        <v>1015</v>
      </c>
      <c r="C512" s="5" t="s">
        <v>1016</v>
      </c>
      <c r="D512" s="5" t="s">
        <v>1036</v>
      </c>
      <c r="E512" s="5" t="s">
        <v>1041</v>
      </c>
      <c r="F512" s="5" t="s">
        <v>1042</v>
      </c>
      <c r="G512" s="5" t="s">
        <v>457</v>
      </c>
      <c r="H512" s="39">
        <v>9300.0</v>
      </c>
      <c r="I512" s="7"/>
      <c r="J512" s="18">
        <f t="shared" si="20"/>
        <v>13950</v>
      </c>
      <c r="K512" s="18">
        <f t="shared" si="21"/>
        <v>12090</v>
      </c>
      <c r="L512" s="19">
        <f t="shared" si="22"/>
        <v>12090</v>
      </c>
      <c r="M512" s="19">
        <f t="shared" si="23"/>
        <v>11160</v>
      </c>
      <c r="N512" s="19">
        <f t="shared" si="24"/>
        <v>10695</v>
      </c>
      <c r="O512" s="19">
        <f t="shared" si="25"/>
        <v>10230</v>
      </c>
    </row>
    <row r="513">
      <c r="A513" s="38" t="s">
        <v>19</v>
      </c>
      <c r="B513" s="5" t="s">
        <v>1015</v>
      </c>
      <c r="C513" s="5" t="s">
        <v>1016</v>
      </c>
      <c r="D513" s="5" t="s">
        <v>1036</v>
      </c>
      <c r="E513" s="5" t="s">
        <v>1043</v>
      </c>
      <c r="F513" s="5" t="s">
        <v>1044</v>
      </c>
      <c r="G513" s="5" t="s">
        <v>457</v>
      </c>
      <c r="H513" s="39">
        <v>10250.0</v>
      </c>
      <c r="I513" s="7"/>
      <c r="J513" s="18">
        <f t="shared" si="20"/>
        <v>15375</v>
      </c>
      <c r="K513" s="18">
        <f t="shared" si="21"/>
        <v>13325</v>
      </c>
      <c r="L513" s="19">
        <f t="shared" si="22"/>
        <v>13325</v>
      </c>
      <c r="M513" s="19">
        <f t="shared" si="23"/>
        <v>12300</v>
      </c>
      <c r="N513" s="19">
        <f t="shared" si="24"/>
        <v>11787.5</v>
      </c>
      <c r="O513" s="19">
        <f t="shared" si="25"/>
        <v>11275</v>
      </c>
    </row>
    <row r="514">
      <c r="A514" s="38" t="s">
        <v>19</v>
      </c>
      <c r="B514" s="5" t="s">
        <v>1015</v>
      </c>
      <c r="C514" s="5" t="s">
        <v>1016</v>
      </c>
      <c r="D514" s="5" t="s">
        <v>1045</v>
      </c>
      <c r="E514" s="5" t="s">
        <v>1046</v>
      </c>
      <c r="F514" s="5" t="s">
        <v>1047</v>
      </c>
      <c r="G514" s="5" t="s">
        <v>457</v>
      </c>
      <c r="H514" s="39">
        <v>9200.0</v>
      </c>
      <c r="I514" s="7"/>
      <c r="J514" s="18">
        <f t="shared" si="20"/>
        <v>13800</v>
      </c>
      <c r="K514" s="18">
        <f t="shared" si="21"/>
        <v>11960</v>
      </c>
      <c r="L514" s="19">
        <f t="shared" si="22"/>
        <v>11960</v>
      </c>
      <c r="M514" s="19">
        <f t="shared" si="23"/>
        <v>11040</v>
      </c>
      <c r="N514" s="19">
        <f t="shared" si="24"/>
        <v>10580</v>
      </c>
      <c r="O514" s="19">
        <f t="shared" si="25"/>
        <v>10120</v>
      </c>
    </row>
    <row r="515">
      <c r="A515" s="38" t="s">
        <v>19</v>
      </c>
      <c r="B515" s="5" t="s">
        <v>1015</v>
      </c>
      <c r="C515" s="5" t="s">
        <v>1016</v>
      </c>
      <c r="D515" s="5" t="s">
        <v>1045</v>
      </c>
      <c r="E515" s="5" t="s">
        <v>1048</v>
      </c>
      <c r="F515" s="5" t="s">
        <v>1049</v>
      </c>
      <c r="G515" s="5" t="s">
        <v>457</v>
      </c>
      <c r="H515" s="39">
        <v>9200.0</v>
      </c>
      <c r="I515" s="7"/>
      <c r="J515" s="18">
        <f t="shared" si="20"/>
        <v>13800</v>
      </c>
      <c r="K515" s="18">
        <f t="shared" si="21"/>
        <v>11960</v>
      </c>
      <c r="L515" s="19">
        <f t="shared" si="22"/>
        <v>11960</v>
      </c>
      <c r="M515" s="19">
        <f t="shared" si="23"/>
        <v>11040</v>
      </c>
      <c r="N515" s="19">
        <f t="shared" si="24"/>
        <v>10580</v>
      </c>
      <c r="O515" s="19">
        <f t="shared" si="25"/>
        <v>10120</v>
      </c>
    </row>
    <row r="516">
      <c r="A516" s="38" t="s">
        <v>19</v>
      </c>
      <c r="B516" s="5" t="s">
        <v>1015</v>
      </c>
      <c r="C516" s="5" t="s">
        <v>1016</v>
      </c>
      <c r="D516" s="5" t="s">
        <v>1045</v>
      </c>
      <c r="E516" s="5" t="s">
        <v>1050</v>
      </c>
      <c r="F516" s="5" t="s">
        <v>1051</v>
      </c>
      <c r="G516" s="5" t="s">
        <v>457</v>
      </c>
      <c r="H516" s="39">
        <v>13650.0</v>
      </c>
      <c r="I516" s="7"/>
      <c r="J516" s="18">
        <f t="shared" si="20"/>
        <v>20475</v>
      </c>
      <c r="K516" s="18">
        <f t="shared" si="21"/>
        <v>17745</v>
      </c>
      <c r="L516" s="19">
        <f t="shared" si="22"/>
        <v>17745</v>
      </c>
      <c r="M516" s="19">
        <f t="shared" si="23"/>
        <v>16380</v>
      </c>
      <c r="N516" s="19">
        <f t="shared" si="24"/>
        <v>15697.5</v>
      </c>
      <c r="O516" s="19">
        <f t="shared" si="25"/>
        <v>15015</v>
      </c>
    </row>
    <row r="517">
      <c r="A517" s="38" t="s">
        <v>19</v>
      </c>
      <c r="B517" s="5" t="s">
        <v>1015</v>
      </c>
      <c r="C517" s="5" t="s">
        <v>1016</v>
      </c>
      <c r="D517" s="5" t="s">
        <v>1045</v>
      </c>
      <c r="E517" s="5" t="s">
        <v>1052</v>
      </c>
      <c r="F517" s="5" t="s">
        <v>1053</v>
      </c>
      <c r="G517" s="5" t="s">
        <v>457</v>
      </c>
      <c r="H517" s="39">
        <v>17380.0</v>
      </c>
      <c r="I517" s="7"/>
      <c r="J517" s="18">
        <f t="shared" si="20"/>
        <v>26070</v>
      </c>
      <c r="K517" s="18">
        <f t="shared" si="21"/>
        <v>22594</v>
      </c>
      <c r="L517" s="19">
        <f t="shared" si="22"/>
        <v>22594</v>
      </c>
      <c r="M517" s="19">
        <f t="shared" si="23"/>
        <v>20856</v>
      </c>
      <c r="N517" s="19">
        <f t="shared" si="24"/>
        <v>19987</v>
      </c>
      <c r="O517" s="19">
        <f t="shared" si="25"/>
        <v>19118</v>
      </c>
    </row>
    <row r="518">
      <c r="A518" s="38" t="s">
        <v>19</v>
      </c>
      <c r="B518" s="5" t="s">
        <v>1015</v>
      </c>
      <c r="C518" s="5" t="s">
        <v>1016</v>
      </c>
      <c r="D518" s="5" t="s">
        <v>1054</v>
      </c>
      <c r="E518" s="5" t="s">
        <v>1055</v>
      </c>
      <c r="F518" s="5" t="s">
        <v>1056</v>
      </c>
      <c r="G518" s="5" t="s">
        <v>457</v>
      </c>
      <c r="H518" s="39">
        <v>25400.0</v>
      </c>
      <c r="I518" s="7"/>
      <c r="J518" s="18">
        <f t="shared" si="20"/>
        <v>38100</v>
      </c>
      <c r="K518" s="18">
        <f t="shared" si="21"/>
        <v>33020</v>
      </c>
      <c r="L518" s="19">
        <f t="shared" si="22"/>
        <v>33020</v>
      </c>
      <c r="M518" s="19">
        <f t="shared" si="23"/>
        <v>30480</v>
      </c>
      <c r="N518" s="19">
        <f t="shared" si="24"/>
        <v>29210</v>
      </c>
      <c r="O518" s="19">
        <f t="shared" si="25"/>
        <v>27940</v>
      </c>
    </row>
    <row r="519">
      <c r="A519" s="38" t="s">
        <v>19</v>
      </c>
      <c r="B519" s="5" t="s">
        <v>1015</v>
      </c>
      <c r="C519" s="5" t="s">
        <v>1016</v>
      </c>
      <c r="D519" s="5" t="s">
        <v>1054</v>
      </c>
      <c r="E519" s="5" t="s">
        <v>1057</v>
      </c>
      <c r="F519" s="5" t="s">
        <v>1058</v>
      </c>
      <c r="G519" s="5" t="s">
        <v>457</v>
      </c>
      <c r="H519" s="39">
        <v>39950.0</v>
      </c>
      <c r="I519" s="7"/>
      <c r="J519" s="18">
        <f t="shared" si="20"/>
        <v>59925</v>
      </c>
      <c r="K519" s="18">
        <f t="shared" si="21"/>
        <v>51935</v>
      </c>
      <c r="L519" s="19">
        <f t="shared" si="22"/>
        <v>51935</v>
      </c>
      <c r="M519" s="19">
        <f t="shared" si="23"/>
        <v>47940</v>
      </c>
      <c r="N519" s="19">
        <f t="shared" si="24"/>
        <v>45942.5</v>
      </c>
      <c r="O519" s="19">
        <f t="shared" si="25"/>
        <v>43945</v>
      </c>
    </row>
    <row r="520">
      <c r="A520" s="38" t="s">
        <v>19</v>
      </c>
      <c r="B520" s="5" t="s">
        <v>1015</v>
      </c>
      <c r="C520" s="5" t="s">
        <v>1059</v>
      </c>
      <c r="D520" s="5" t="s">
        <v>1060</v>
      </c>
      <c r="E520" s="5" t="s">
        <v>1061</v>
      </c>
      <c r="F520" s="5" t="s">
        <v>1062</v>
      </c>
      <c r="G520" s="5" t="s">
        <v>986</v>
      </c>
      <c r="H520" s="39">
        <v>14400.0</v>
      </c>
      <c r="I520" s="7"/>
      <c r="J520" s="18">
        <f t="shared" si="20"/>
        <v>21600</v>
      </c>
      <c r="K520" s="18">
        <f t="shared" si="21"/>
        <v>18720</v>
      </c>
      <c r="L520" s="19">
        <f t="shared" si="22"/>
        <v>18720</v>
      </c>
      <c r="M520" s="19">
        <f t="shared" si="23"/>
        <v>17280</v>
      </c>
      <c r="N520" s="19">
        <f t="shared" si="24"/>
        <v>16560</v>
      </c>
      <c r="O520" s="19">
        <f t="shared" si="25"/>
        <v>15840</v>
      </c>
    </row>
    <row r="521">
      <c r="A521" s="38" t="s">
        <v>19</v>
      </c>
      <c r="B521" s="5" t="s">
        <v>1015</v>
      </c>
      <c r="C521" s="5" t="s">
        <v>1059</v>
      </c>
      <c r="D521" s="5" t="s">
        <v>1060</v>
      </c>
      <c r="E521" s="5" t="s">
        <v>1063</v>
      </c>
      <c r="F521" s="5" t="s">
        <v>1064</v>
      </c>
      <c r="G521" s="5" t="s">
        <v>457</v>
      </c>
      <c r="H521" s="39">
        <v>17250.0</v>
      </c>
      <c r="I521" s="7"/>
      <c r="J521" s="18">
        <f t="shared" si="20"/>
        <v>25875</v>
      </c>
      <c r="K521" s="18">
        <f t="shared" si="21"/>
        <v>22425</v>
      </c>
      <c r="L521" s="19">
        <f t="shared" si="22"/>
        <v>22425</v>
      </c>
      <c r="M521" s="19">
        <f t="shared" si="23"/>
        <v>20700</v>
      </c>
      <c r="N521" s="19">
        <f t="shared" si="24"/>
        <v>19837.5</v>
      </c>
      <c r="O521" s="19">
        <f t="shared" si="25"/>
        <v>18975</v>
      </c>
    </row>
    <row r="522">
      <c r="A522" s="38" t="s">
        <v>19</v>
      </c>
      <c r="B522" s="5" t="s">
        <v>1015</v>
      </c>
      <c r="C522" s="5" t="s">
        <v>1059</v>
      </c>
      <c r="D522" s="5" t="s">
        <v>1060</v>
      </c>
      <c r="E522" s="5" t="s">
        <v>1065</v>
      </c>
      <c r="F522" s="5" t="s">
        <v>1066</v>
      </c>
      <c r="G522" s="5" t="s">
        <v>457</v>
      </c>
      <c r="H522" s="39">
        <v>4650.0</v>
      </c>
      <c r="I522" s="7"/>
      <c r="J522" s="18">
        <f t="shared" si="20"/>
        <v>6975</v>
      </c>
      <c r="K522" s="18">
        <f t="shared" si="21"/>
        <v>6045</v>
      </c>
      <c r="L522" s="19">
        <f t="shared" si="22"/>
        <v>6045</v>
      </c>
      <c r="M522" s="19">
        <f t="shared" si="23"/>
        <v>5580</v>
      </c>
      <c r="N522" s="19">
        <f t="shared" si="24"/>
        <v>5347.5</v>
      </c>
      <c r="O522" s="19">
        <f t="shared" si="25"/>
        <v>5115</v>
      </c>
    </row>
    <row r="523">
      <c r="A523" s="38" t="s">
        <v>19</v>
      </c>
      <c r="B523" s="5" t="s">
        <v>1015</v>
      </c>
      <c r="C523" s="5" t="s">
        <v>1059</v>
      </c>
      <c r="D523" s="5" t="s">
        <v>1060</v>
      </c>
      <c r="E523" s="5" t="s">
        <v>1067</v>
      </c>
      <c r="F523" s="5" t="s">
        <v>1068</v>
      </c>
      <c r="G523" s="5" t="s">
        <v>457</v>
      </c>
      <c r="H523" s="39">
        <v>7100.0</v>
      </c>
      <c r="I523" s="7"/>
      <c r="J523" s="18">
        <f t="shared" si="20"/>
        <v>10650</v>
      </c>
      <c r="K523" s="18">
        <f t="shared" si="21"/>
        <v>9230</v>
      </c>
      <c r="L523" s="19">
        <f t="shared" si="22"/>
        <v>9230</v>
      </c>
      <c r="M523" s="19">
        <f t="shared" si="23"/>
        <v>8520</v>
      </c>
      <c r="N523" s="19">
        <f t="shared" si="24"/>
        <v>8165</v>
      </c>
      <c r="O523" s="19">
        <f t="shared" si="25"/>
        <v>7810</v>
      </c>
    </row>
    <row r="524">
      <c r="A524" s="16"/>
      <c r="B524" s="5" t="s">
        <v>1015</v>
      </c>
      <c r="C524" s="5" t="s">
        <v>1059</v>
      </c>
      <c r="D524" s="5" t="s">
        <v>1060</v>
      </c>
      <c r="E524" s="5" t="s">
        <v>1069</v>
      </c>
      <c r="F524" s="5" t="s">
        <v>1070</v>
      </c>
      <c r="G524" s="5" t="s">
        <v>457</v>
      </c>
      <c r="H524" s="39">
        <v>11850.0</v>
      </c>
      <c r="I524" s="7"/>
      <c r="J524" s="18">
        <f t="shared" si="20"/>
        <v>17775</v>
      </c>
      <c r="K524" s="18">
        <f t="shared" si="21"/>
        <v>15405</v>
      </c>
      <c r="L524" s="19">
        <f t="shared" si="22"/>
        <v>15405</v>
      </c>
      <c r="M524" s="19">
        <f t="shared" si="23"/>
        <v>14220</v>
      </c>
      <c r="N524" s="19">
        <f t="shared" si="24"/>
        <v>13627.5</v>
      </c>
      <c r="O524" s="19">
        <f t="shared" si="25"/>
        <v>13035</v>
      </c>
    </row>
    <row r="525">
      <c r="A525" s="38" t="s">
        <v>19</v>
      </c>
      <c r="B525" s="5" t="s">
        <v>1071</v>
      </c>
      <c r="C525" s="5" t="s">
        <v>1072</v>
      </c>
      <c r="D525" s="5" t="s">
        <v>1073</v>
      </c>
      <c r="E525" s="5" t="s">
        <v>1074</v>
      </c>
      <c r="F525" s="5" t="s">
        <v>1075</v>
      </c>
      <c r="G525" s="7"/>
      <c r="H525" s="27">
        <v>240950.0</v>
      </c>
      <c r="I525" s="7"/>
      <c r="J525" s="18">
        <f t="shared" si="20"/>
        <v>361425</v>
      </c>
      <c r="K525" s="18">
        <f t="shared" si="21"/>
        <v>313235</v>
      </c>
      <c r="L525" s="19">
        <f t="shared" si="22"/>
        <v>313235</v>
      </c>
      <c r="M525" s="19">
        <f t="shared" si="23"/>
        <v>289140</v>
      </c>
      <c r="N525" s="19">
        <f t="shared" si="24"/>
        <v>277092.5</v>
      </c>
      <c r="O525" s="19">
        <f t="shared" si="25"/>
        <v>265045</v>
      </c>
    </row>
    <row r="526">
      <c r="A526" s="38" t="s">
        <v>19</v>
      </c>
      <c r="B526" s="5" t="s">
        <v>1071</v>
      </c>
      <c r="C526" s="5" t="s">
        <v>1072</v>
      </c>
      <c r="D526" s="5" t="s">
        <v>1073</v>
      </c>
      <c r="E526" s="5" t="s">
        <v>1076</v>
      </c>
      <c r="F526" s="5" t="s">
        <v>1077</v>
      </c>
      <c r="G526" s="7"/>
      <c r="H526" s="27">
        <v>192750.0</v>
      </c>
      <c r="I526" s="7"/>
      <c r="J526" s="18">
        <f t="shared" si="20"/>
        <v>289125</v>
      </c>
      <c r="K526" s="18">
        <f t="shared" si="21"/>
        <v>250575</v>
      </c>
      <c r="L526" s="19">
        <f t="shared" si="22"/>
        <v>250575</v>
      </c>
      <c r="M526" s="19">
        <f t="shared" si="23"/>
        <v>231300</v>
      </c>
      <c r="N526" s="19">
        <f t="shared" si="24"/>
        <v>221662.5</v>
      </c>
      <c r="O526" s="19">
        <f t="shared" si="25"/>
        <v>212025</v>
      </c>
    </row>
    <row r="527">
      <c r="A527" s="38" t="s">
        <v>19</v>
      </c>
      <c r="B527" s="5" t="s">
        <v>1071</v>
      </c>
      <c r="C527" s="5" t="s">
        <v>1072</v>
      </c>
      <c r="D527" s="5" t="s">
        <v>1073</v>
      </c>
      <c r="E527" s="5" t="s">
        <v>1078</v>
      </c>
      <c r="F527" s="5" t="s">
        <v>1079</v>
      </c>
      <c r="G527" s="7"/>
      <c r="H527" s="27">
        <v>96400.0</v>
      </c>
      <c r="I527" s="7"/>
      <c r="J527" s="18">
        <f t="shared" si="20"/>
        <v>144600</v>
      </c>
      <c r="K527" s="18">
        <f t="shared" si="21"/>
        <v>125320</v>
      </c>
      <c r="L527" s="19">
        <f t="shared" si="22"/>
        <v>125320</v>
      </c>
      <c r="M527" s="19">
        <f t="shared" si="23"/>
        <v>115680</v>
      </c>
      <c r="N527" s="19">
        <f t="shared" si="24"/>
        <v>110860</v>
      </c>
      <c r="O527" s="19">
        <f t="shared" si="25"/>
        <v>106040</v>
      </c>
    </row>
    <row r="528">
      <c r="A528" s="38" t="s">
        <v>19</v>
      </c>
      <c r="B528" s="5" t="s">
        <v>1071</v>
      </c>
      <c r="C528" s="5" t="s">
        <v>1072</v>
      </c>
      <c r="D528" s="5" t="s">
        <v>1073</v>
      </c>
      <c r="E528" s="5" t="s">
        <v>1080</v>
      </c>
      <c r="F528" s="5" t="s">
        <v>1081</v>
      </c>
      <c r="G528" s="7"/>
      <c r="H528" s="27">
        <v>62650.0</v>
      </c>
      <c r="I528" s="7"/>
      <c r="J528" s="18">
        <f t="shared" si="20"/>
        <v>93975</v>
      </c>
      <c r="K528" s="18">
        <f t="shared" si="21"/>
        <v>81445</v>
      </c>
      <c r="L528" s="19">
        <f t="shared" si="22"/>
        <v>81445</v>
      </c>
      <c r="M528" s="19">
        <f t="shared" si="23"/>
        <v>75180</v>
      </c>
      <c r="N528" s="19">
        <f t="shared" si="24"/>
        <v>72047.5</v>
      </c>
      <c r="O528" s="19">
        <f t="shared" si="25"/>
        <v>68915</v>
      </c>
    </row>
    <row r="529">
      <c r="A529" s="38" t="s">
        <v>19</v>
      </c>
      <c r="B529" s="5" t="s">
        <v>1071</v>
      </c>
      <c r="C529" s="5" t="s">
        <v>1072</v>
      </c>
      <c r="D529" s="5" t="s">
        <v>1073</v>
      </c>
      <c r="E529" s="5" t="s">
        <v>1082</v>
      </c>
      <c r="F529" s="5" t="s">
        <v>1083</v>
      </c>
      <c r="G529" s="7"/>
      <c r="H529" s="27">
        <v>173500.0</v>
      </c>
      <c r="I529" s="7"/>
      <c r="J529" s="18">
        <f t="shared" si="20"/>
        <v>260250</v>
      </c>
      <c r="K529" s="18">
        <f t="shared" si="21"/>
        <v>225550</v>
      </c>
      <c r="L529" s="19">
        <f t="shared" si="22"/>
        <v>225550</v>
      </c>
      <c r="M529" s="19">
        <f t="shared" si="23"/>
        <v>208200</v>
      </c>
      <c r="N529" s="19">
        <f t="shared" si="24"/>
        <v>199525</v>
      </c>
      <c r="O529" s="19">
        <f t="shared" si="25"/>
        <v>190850</v>
      </c>
    </row>
    <row r="530">
      <c r="A530" s="38" t="s">
        <v>19</v>
      </c>
      <c r="B530" s="5" t="s">
        <v>1071</v>
      </c>
      <c r="C530" s="5" t="s">
        <v>1084</v>
      </c>
      <c r="D530" s="5" t="s">
        <v>1085</v>
      </c>
      <c r="E530" s="5" t="s">
        <v>1086</v>
      </c>
      <c r="F530" s="5" t="s">
        <v>1087</v>
      </c>
      <c r="G530" s="7"/>
      <c r="H530" s="27">
        <v>106000.0</v>
      </c>
      <c r="I530" s="7"/>
      <c r="J530" s="18">
        <f t="shared" si="20"/>
        <v>159000</v>
      </c>
      <c r="K530" s="18">
        <f t="shared" si="21"/>
        <v>137800</v>
      </c>
      <c r="L530" s="19">
        <f t="shared" si="22"/>
        <v>137800</v>
      </c>
      <c r="M530" s="19">
        <f t="shared" si="23"/>
        <v>127200</v>
      </c>
      <c r="N530" s="19">
        <f t="shared" si="24"/>
        <v>121900</v>
      </c>
      <c r="O530" s="19">
        <f t="shared" si="25"/>
        <v>116600</v>
      </c>
    </row>
    <row r="531">
      <c r="A531" s="38" t="s">
        <v>19</v>
      </c>
      <c r="B531" s="5" t="s">
        <v>1088</v>
      </c>
      <c r="C531" s="5" t="s">
        <v>1088</v>
      </c>
      <c r="D531" s="7"/>
      <c r="E531" s="5" t="s">
        <v>1089</v>
      </c>
      <c r="F531" s="5" t="s">
        <v>1090</v>
      </c>
      <c r="G531" s="7"/>
      <c r="H531" s="17">
        <v>1600.0</v>
      </c>
      <c r="I531" s="5" t="s">
        <v>1091</v>
      </c>
      <c r="J531" s="18">
        <f t="shared" si="20"/>
        <v>2400</v>
      </c>
      <c r="K531" s="18">
        <f t="shared" si="21"/>
        <v>2080</v>
      </c>
      <c r="L531" s="19">
        <f t="shared" si="22"/>
        <v>2080</v>
      </c>
      <c r="M531" s="19">
        <f t="shared" si="23"/>
        <v>1920</v>
      </c>
      <c r="N531" s="19">
        <f t="shared" si="24"/>
        <v>1840</v>
      </c>
      <c r="O531" s="19">
        <f t="shared" si="25"/>
        <v>1760</v>
      </c>
    </row>
    <row r="532">
      <c r="A532" s="38" t="s">
        <v>19</v>
      </c>
      <c r="B532" s="5" t="s">
        <v>1088</v>
      </c>
      <c r="C532" s="5" t="s">
        <v>1088</v>
      </c>
      <c r="D532" s="7"/>
      <c r="E532" s="5" t="s">
        <v>1092</v>
      </c>
      <c r="F532" s="5" t="s">
        <v>1093</v>
      </c>
      <c r="G532" s="7"/>
      <c r="H532" s="17">
        <v>700.0</v>
      </c>
      <c r="I532" s="5" t="s">
        <v>1018</v>
      </c>
      <c r="J532" s="18">
        <f t="shared" si="20"/>
        <v>1050</v>
      </c>
      <c r="K532" s="18">
        <f t="shared" si="21"/>
        <v>910</v>
      </c>
      <c r="L532" s="19">
        <f t="shared" si="22"/>
        <v>910</v>
      </c>
      <c r="M532" s="19">
        <f t="shared" si="23"/>
        <v>840</v>
      </c>
      <c r="N532" s="19">
        <f t="shared" si="24"/>
        <v>805</v>
      </c>
      <c r="O532" s="19">
        <f t="shared" si="25"/>
        <v>770</v>
      </c>
    </row>
    <row r="533">
      <c r="A533" s="38" t="s">
        <v>19</v>
      </c>
      <c r="B533" s="5" t="s">
        <v>1088</v>
      </c>
      <c r="C533" s="5" t="s">
        <v>1088</v>
      </c>
      <c r="D533" s="7"/>
      <c r="E533" s="5" t="s">
        <v>1094</v>
      </c>
      <c r="F533" s="5" t="s">
        <v>1095</v>
      </c>
      <c r="G533" s="7"/>
      <c r="H533" s="17">
        <v>700.0</v>
      </c>
      <c r="I533" s="5" t="s">
        <v>1018</v>
      </c>
      <c r="J533" s="18">
        <f t="shared" si="20"/>
        <v>1050</v>
      </c>
      <c r="K533" s="18">
        <f t="shared" si="21"/>
        <v>910</v>
      </c>
      <c r="L533" s="19">
        <f t="shared" si="22"/>
        <v>910</v>
      </c>
      <c r="M533" s="19">
        <f t="shared" si="23"/>
        <v>840</v>
      </c>
      <c r="N533" s="19">
        <f t="shared" si="24"/>
        <v>805</v>
      </c>
      <c r="O533" s="19">
        <f t="shared" si="25"/>
        <v>770</v>
      </c>
    </row>
    <row r="534">
      <c r="A534" s="38" t="s">
        <v>19</v>
      </c>
      <c r="B534" s="5" t="s">
        <v>1088</v>
      </c>
      <c r="C534" s="5" t="s">
        <v>1088</v>
      </c>
      <c r="D534" s="7"/>
      <c r="E534" s="5" t="s">
        <v>1096</v>
      </c>
      <c r="F534" s="5" t="s">
        <v>1097</v>
      </c>
      <c r="G534" s="7"/>
      <c r="H534" s="17">
        <v>3700.0</v>
      </c>
      <c r="I534" s="7"/>
      <c r="J534" s="18">
        <f t="shared" si="20"/>
        <v>5550</v>
      </c>
      <c r="K534" s="18">
        <f t="shared" si="21"/>
        <v>4810</v>
      </c>
      <c r="L534" s="19">
        <f t="shared" si="22"/>
        <v>4810</v>
      </c>
      <c r="M534" s="19">
        <f t="shared" si="23"/>
        <v>4440</v>
      </c>
      <c r="N534" s="19">
        <f t="shared" si="24"/>
        <v>4255</v>
      </c>
      <c r="O534" s="19">
        <f t="shared" si="25"/>
        <v>4070</v>
      </c>
    </row>
    <row r="535">
      <c r="A535" s="38" t="s">
        <v>19</v>
      </c>
      <c r="B535" s="5" t="s">
        <v>1088</v>
      </c>
      <c r="C535" s="5" t="s">
        <v>1088</v>
      </c>
      <c r="D535" s="7"/>
      <c r="E535" s="5" t="s">
        <v>1098</v>
      </c>
      <c r="F535" s="5" t="s">
        <v>1097</v>
      </c>
      <c r="G535" s="7"/>
      <c r="H535" s="17">
        <v>5000.0</v>
      </c>
      <c r="I535" s="7"/>
      <c r="J535" s="18">
        <f t="shared" si="20"/>
        <v>7500</v>
      </c>
      <c r="K535" s="18">
        <f t="shared" si="21"/>
        <v>6500</v>
      </c>
      <c r="L535" s="19">
        <f t="shared" si="22"/>
        <v>6500</v>
      </c>
      <c r="M535" s="19">
        <f t="shared" si="23"/>
        <v>6000</v>
      </c>
      <c r="N535" s="19">
        <f t="shared" si="24"/>
        <v>5750</v>
      </c>
      <c r="O535" s="19">
        <f t="shared" si="25"/>
        <v>5500</v>
      </c>
    </row>
    <row r="536">
      <c r="A536" s="38" t="s">
        <v>19</v>
      </c>
      <c r="B536" s="5" t="s">
        <v>1088</v>
      </c>
      <c r="C536" s="5" t="s">
        <v>1099</v>
      </c>
      <c r="D536" s="7"/>
      <c r="E536" s="5" t="s">
        <v>1100</v>
      </c>
      <c r="F536" s="5" t="s">
        <v>1101</v>
      </c>
      <c r="G536" s="7"/>
      <c r="H536" s="17">
        <v>2500.0</v>
      </c>
      <c r="I536" s="5" t="s">
        <v>1102</v>
      </c>
      <c r="J536" s="18">
        <f t="shared" si="20"/>
        <v>3750</v>
      </c>
      <c r="K536" s="18">
        <f t="shared" si="21"/>
        <v>3250</v>
      </c>
      <c r="L536" s="19">
        <f t="shared" si="22"/>
        <v>3250</v>
      </c>
      <c r="M536" s="19">
        <f t="shared" si="23"/>
        <v>3000</v>
      </c>
      <c r="N536" s="19">
        <f t="shared" si="24"/>
        <v>2875</v>
      </c>
      <c r="O536" s="19">
        <f t="shared" si="25"/>
        <v>2750</v>
      </c>
    </row>
    <row r="537">
      <c r="A537" s="38" t="s">
        <v>19</v>
      </c>
      <c r="B537" s="5" t="s">
        <v>1088</v>
      </c>
      <c r="C537" s="5" t="s">
        <v>1099</v>
      </c>
      <c r="D537" s="7"/>
      <c r="E537" s="5" t="s">
        <v>1103</v>
      </c>
      <c r="F537" s="5" t="s">
        <v>1104</v>
      </c>
      <c r="G537" s="7"/>
      <c r="H537" s="17">
        <v>2500.0</v>
      </c>
      <c r="I537" s="5" t="s">
        <v>1105</v>
      </c>
      <c r="J537" s="18">
        <f t="shared" si="20"/>
        <v>3750</v>
      </c>
      <c r="K537" s="18">
        <f t="shared" si="21"/>
        <v>3250</v>
      </c>
      <c r="L537" s="19">
        <f t="shared" si="22"/>
        <v>3250</v>
      </c>
      <c r="M537" s="19">
        <f t="shared" si="23"/>
        <v>3000</v>
      </c>
      <c r="N537" s="19">
        <f t="shared" si="24"/>
        <v>2875</v>
      </c>
      <c r="O537" s="19">
        <f t="shared" si="25"/>
        <v>2750</v>
      </c>
    </row>
    <row r="538">
      <c r="A538" s="38" t="s">
        <v>19</v>
      </c>
      <c r="B538" s="5" t="s">
        <v>1088</v>
      </c>
      <c r="C538" s="5" t="s">
        <v>1099</v>
      </c>
      <c r="D538" s="7"/>
      <c r="E538" s="5" t="s">
        <v>1106</v>
      </c>
      <c r="F538" s="5" t="s">
        <v>1107</v>
      </c>
      <c r="G538" s="7"/>
      <c r="H538" s="17">
        <v>2500.0</v>
      </c>
      <c r="I538" s="5" t="s">
        <v>1108</v>
      </c>
      <c r="J538" s="18">
        <f t="shared" si="20"/>
        <v>3750</v>
      </c>
      <c r="K538" s="18">
        <f t="shared" si="21"/>
        <v>3250</v>
      </c>
      <c r="L538" s="19">
        <f t="shared" si="22"/>
        <v>3250</v>
      </c>
      <c r="M538" s="19">
        <f t="shared" si="23"/>
        <v>3000</v>
      </c>
      <c r="N538" s="19">
        <f t="shared" si="24"/>
        <v>2875</v>
      </c>
      <c r="O538" s="19">
        <f t="shared" si="25"/>
        <v>2750</v>
      </c>
    </row>
    <row r="539">
      <c r="A539" s="38" t="s">
        <v>19</v>
      </c>
      <c r="B539" s="5" t="s">
        <v>1088</v>
      </c>
      <c r="C539" s="5" t="s">
        <v>1099</v>
      </c>
      <c r="D539" s="7"/>
      <c r="E539" s="5" t="s">
        <v>1109</v>
      </c>
      <c r="F539" s="5" t="s">
        <v>1110</v>
      </c>
      <c r="G539" s="7"/>
      <c r="H539" s="17">
        <v>1300.0</v>
      </c>
      <c r="I539" s="5" t="s">
        <v>1111</v>
      </c>
      <c r="J539" s="18">
        <f t="shared" si="20"/>
        <v>1950</v>
      </c>
      <c r="K539" s="18">
        <f t="shared" si="21"/>
        <v>1690</v>
      </c>
      <c r="L539" s="19">
        <f t="shared" si="22"/>
        <v>1690</v>
      </c>
      <c r="M539" s="19">
        <f t="shared" si="23"/>
        <v>1560</v>
      </c>
      <c r="N539" s="19">
        <f t="shared" si="24"/>
        <v>1495</v>
      </c>
      <c r="O539" s="19">
        <f t="shared" si="25"/>
        <v>1430</v>
      </c>
    </row>
    <row r="540">
      <c r="A540" s="38" t="s">
        <v>19</v>
      </c>
      <c r="B540" s="5" t="s">
        <v>1088</v>
      </c>
      <c r="C540" s="5" t="s">
        <v>1099</v>
      </c>
      <c r="D540" s="7"/>
      <c r="E540" s="5" t="s">
        <v>1112</v>
      </c>
      <c r="F540" s="5" t="s">
        <v>1113</v>
      </c>
      <c r="G540" s="7"/>
      <c r="H540" s="17">
        <v>2000.0</v>
      </c>
      <c r="I540" s="5" t="s">
        <v>1114</v>
      </c>
      <c r="J540" s="18">
        <f t="shared" si="20"/>
        <v>3000</v>
      </c>
      <c r="K540" s="18">
        <f t="shared" si="21"/>
        <v>2600</v>
      </c>
      <c r="L540" s="19">
        <f t="shared" si="22"/>
        <v>2600</v>
      </c>
      <c r="M540" s="19">
        <f t="shared" si="23"/>
        <v>2400</v>
      </c>
      <c r="N540" s="19">
        <f t="shared" si="24"/>
        <v>2300</v>
      </c>
      <c r="O540" s="19">
        <f t="shared" si="25"/>
        <v>2200</v>
      </c>
    </row>
    <row r="541">
      <c r="A541" s="38" t="s">
        <v>19</v>
      </c>
      <c r="B541" s="5" t="s">
        <v>1088</v>
      </c>
      <c r="C541" s="5" t="s">
        <v>1099</v>
      </c>
      <c r="D541" s="7"/>
      <c r="E541" s="5" t="s">
        <v>1115</v>
      </c>
      <c r="F541" s="5" t="s">
        <v>1116</v>
      </c>
      <c r="G541" s="7"/>
      <c r="H541" s="17">
        <v>8000.0</v>
      </c>
      <c r="I541" s="5" t="s">
        <v>1117</v>
      </c>
      <c r="J541" s="18">
        <f t="shared" si="20"/>
        <v>12000</v>
      </c>
      <c r="K541" s="18">
        <f t="shared" si="21"/>
        <v>10400</v>
      </c>
      <c r="L541" s="19">
        <f t="shared" si="22"/>
        <v>10400</v>
      </c>
      <c r="M541" s="19">
        <f t="shared" si="23"/>
        <v>9600</v>
      </c>
      <c r="N541" s="19">
        <f t="shared" si="24"/>
        <v>9200</v>
      </c>
      <c r="O541" s="19">
        <f t="shared" si="25"/>
        <v>8800</v>
      </c>
    </row>
    <row r="542">
      <c r="A542" s="38" t="s">
        <v>19</v>
      </c>
      <c r="B542" s="5" t="s">
        <v>1088</v>
      </c>
      <c r="C542" s="5" t="s">
        <v>1099</v>
      </c>
      <c r="D542" s="7"/>
      <c r="E542" s="5" t="s">
        <v>1118</v>
      </c>
      <c r="F542" s="5" t="s">
        <v>1119</v>
      </c>
      <c r="G542" s="7"/>
      <c r="H542" s="17">
        <v>8650.0</v>
      </c>
      <c r="I542" s="5" t="s">
        <v>1117</v>
      </c>
      <c r="J542" s="18">
        <f t="shared" si="20"/>
        <v>12975</v>
      </c>
      <c r="K542" s="18">
        <f t="shared" si="21"/>
        <v>11245</v>
      </c>
      <c r="L542" s="19">
        <f t="shared" si="22"/>
        <v>11245</v>
      </c>
      <c r="M542" s="19">
        <f t="shared" si="23"/>
        <v>10380</v>
      </c>
      <c r="N542" s="19">
        <f t="shared" si="24"/>
        <v>9947.5</v>
      </c>
      <c r="O542" s="19">
        <f t="shared" si="25"/>
        <v>9515</v>
      </c>
    </row>
    <row r="543">
      <c r="A543" s="38" t="s">
        <v>19</v>
      </c>
      <c r="B543" s="5" t="s">
        <v>1088</v>
      </c>
      <c r="C543" s="5" t="s">
        <v>1099</v>
      </c>
      <c r="D543" s="7"/>
      <c r="E543" s="5" t="s">
        <v>1120</v>
      </c>
      <c r="F543" s="5" t="s">
        <v>1121</v>
      </c>
      <c r="G543" s="7"/>
      <c r="H543" s="17">
        <v>2500.0</v>
      </c>
      <c r="I543" s="5" t="s">
        <v>1122</v>
      </c>
      <c r="J543" s="18">
        <f t="shared" si="20"/>
        <v>3750</v>
      </c>
      <c r="K543" s="18">
        <f t="shared" si="21"/>
        <v>3250</v>
      </c>
      <c r="L543" s="19">
        <f t="shared" si="22"/>
        <v>3250</v>
      </c>
      <c r="M543" s="19">
        <f t="shared" si="23"/>
        <v>3000</v>
      </c>
      <c r="N543" s="19">
        <f t="shared" si="24"/>
        <v>2875</v>
      </c>
      <c r="O543" s="19">
        <f t="shared" si="25"/>
        <v>2750</v>
      </c>
    </row>
    <row r="544">
      <c r="A544" s="38" t="s">
        <v>19</v>
      </c>
      <c r="B544" s="5" t="s">
        <v>1088</v>
      </c>
      <c r="C544" s="5" t="s">
        <v>1099</v>
      </c>
      <c r="D544" s="7"/>
      <c r="E544" s="5" t="s">
        <v>1123</v>
      </c>
      <c r="F544" s="5" t="s">
        <v>1124</v>
      </c>
      <c r="G544" s="7"/>
      <c r="H544" s="17">
        <v>6800.0</v>
      </c>
      <c r="I544" s="5" t="s">
        <v>1125</v>
      </c>
      <c r="J544" s="18">
        <f t="shared" si="20"/>
        <v>10200</v>
      </c>
      <c r="K544" s="18">
        <f t="shared" si="21"/>
        <v>8840</v>
      </c>
      <c r="L544" s="19">
        <f t="shared" si="22"/>
        <v>8840</v>
      </c>
      <c r="M544" s="19">
        <f t="shared" si="23"/>
        <v>8160</v>
      </c>
      <c r="N544" s="19">
        <f t="shared" si="24"/>
        <v>7820</v>
      </c>
      <c r="O544" s="19">
        <f t="shared" si="25"/>
        <v>7480</v>
      </c>
    </row>
    <row r="545">
      <c r="A545" s="38" t="s">
        <v>19</v>
      </c>
      <c r="B545" s="5" t="s">
        <v>1088</v>
      </c>
      <c r="C545" s="5" t="s">
        <v>1099</v>
      </c>
      <c r="D545" s="7"/>
      <c r="E545" s="5" t="s">
        <v>1126</v>
      </c>
      <c r="F545" s="5" t="s">
        <v>1127</v>
      </c>
      <c r="G545" s="7"/>
      <c r="H545" s="17">
        <v>11350.0</v>
      </c>
      <c r="I545" s="5" t="s">
        <v>1125</v>
      </c>
      <c r="J545" s="18">
        <f t="shared" si="20"/>
        <v>17025</v>
      </c>
      <c r="K545" s="18">
        <f t="shared" si="21"/>
        <v>14755</v>
      </c>
      <c r="L545" s="19">
        <f t="shared" si="22"/>
        <v>14755</v>
      </c>
      <c r="M545" s="19">
        <f t="shared" si="23"/>
        <v>13620</v>
      </c>
      <c r="N545" s="19">
        <f t="shared" si="24"/>
        <v>13052.5</v>
      </c>
      <c r="O545" s="19">
        <f t="shared" si="25"/>
        <v>12485</v>
      </c>
    </row>
    <row r="546">
      <c r="A546" s="38" t="s">
        <v>19</v>
      </c>
      <c r="B546" s="5" t="s">
        <v>1088</v>
      </c>
      <c r="C546" s="5" t="s">
        <v>1099</v>
      </c>
      <c r="D546" s="7"/>
      <c r="E546" s="5" t="s">
        <v>1128</v>
      </c>
      <c r="F546" s="5" t="s">
        <v>1129</v>
      </c>
      <c r="G546" s="7"/>
      <c r="H546" s="17">
        <v>9300.0</v>
      </c>
      <c r="I546" s="5" t="s">
        <v>1125</v>
      </c>
      <c r="J546" s="18">
        <f t="shared" si="20"/>
        <v>13950</v>
      </c>
      <c r="K546" s="18">
        <f t="shared" si="21"/>
        <v>12090</v>
      </c>
      <c r="L546" s="19">
        <f t="shared" si="22"/>
        <v>12090</v>
      </c>
      <c r="M546" s="19">
        <f t="shared" si="23"/>
        <v>11160</v>
      </c>
      <c r="N546" s="19">
        <f t="shared" si="24"/>
        <v>10695</v>
      </c>
      <c r="O546" s="19">
        <f t="shared" si="25"/>
        <v>10230</v>
      </c>
    </row>
    <row r="547">
      <c r="A547" s="38" t="s">
        <v>19</v>
      </c>
      <c r="B547" s="5" t="s">
        <v>1088</v>
      </c>
      <c r="C547" s="5" t="s">
        <v>1130</v>
      </c>
      <c r="D547" s="7"/>
      <c r="E547" s="5" t="s">
        <v>1131</v>
      </c>
      <c r="F547" s="5" t="s">
        <v>1132</v>
      </c>
      <c r="G547" s="7"/>
      <c r="H547" s="17">
        <v>5000.0</v>
      </c>
      <c r="I547" s="5" t="s">
        <v>873</v>
      </c>
      <c r="J547" s="18">
        <f t="shared" si="20"/>
        <v>7500</v>
      </c>
      <c r="K547" s="18">
        <f t="shared" si="21"/>
        <v>6500</v>
      </c>
      <c r="L547" s="19">
        <f t="shared" si="22"/>
        <v>6500</v>
      </c>
      <c r="M547" s="19">
        <f t="shared" si="23"/>
        <v>6000</v>
      </c>
      <c r="N547" s="19">
        <f t="shared" si="24"/>
        <v>5750</v>
      </c>
      <c r="O547" s="19">
        <f t="shared" si="25"/>
        <v>5500</v>
      </c>
    </row>
    <row r="548">
      <c r="A548" s="38" t="s">
        <v>19</v>
      </c>
      <c r="B548" s="5" t="s">
        <v>1088</v>
      </c>
      <c r="C548" s="5" t="s">
        <v>494</v>
      </c>
      <c r="D548" s="7"/>
      <c r="E548" s="5" t="s">
        <v>1133</v>
      </c>
      <c r="F548" s="5" t="s">
        <v>1134</v>
      </c>
      <c r="G548" s="7"/>
      <c r="H548" s="17">
        <v>1900.0</v>
      </c>
      <c r="I548" s="5" t="s">
        <v>873</v>
      </c>
      <c r="J548" s="18">
        <f t="shared" si="20"/>
        <v>2850</v>
      </c>
      <c r="K548" s="18">
        <f t="shared" si="21"/>
        <v>2470</v>
      </c>
      <c r="L548" s="19">
        <f t="shared" si="22"/>
        <v>2470</v>
      </c>
      <c r="M548" s="19">
        <f t="shared" si="23"/>
        <v>2280</v>
      </c>
      <c r="N548" s="19">
        <f t="shared" si="24"/>
        <v>2185</v>
      </c>
      <c r="O548" s="19">
        <f t="shared" si="25"/>
        <v>2090</v>
      </c>
    </row>
    <row r="549">
      <c r="A549" s="38" t="s">
        <v>19</v>
      </c>
      <c r="B549" s="5" t="s">
        <v>1088</v>
      </c>
      <c r="C549" s="5" t="s">
        <v>1135</v>
      </c>
      <c r="D549" s="7"/>
      <c r="E549" s="5" t="s">
        <v>1136</v>
      </c>
      <c r="F549" s="5" t="s">
        <v>1137</v>
      </c>
      <c r="G549" s="7"/>
      <c r="H549" s="17">
        <v>7400.0</v>
      </c>
      <c r="I549" s="5" t="s">
        <v>1138</v>
      </c>
      <c r="J549" s="18">
        <f t="shared" si="20"/>
        <v>11100</v>
      </c>
      <c r="K549" s="18">
        <f t="shared" si="21"/>
        <v>9620</v>
      </c>
      <c r="L549" s="19">
        <f t="shared" si="22"/>
        <v>9620</v>
      </c>
      <c r="M549" s="19">
        <f t="shared" si="23"/>
        <v>8880</v>
      </c>
      <c r="N549" s="19">
        <f t="shared" si="24"/>
        <v>8510</v>
      </c>
      <c r="O549" s="19">
        <f t="shared" si="25"/>
        <v>8140</v>
      </c>
    </row>
    <row r="550">
      <c r="A550" s="38" t="s">
        <v>19</v>
      </c>
      <c r="B550" s="5" t="s">
        <v>1088</v>
      </c>
      <c r="C550" s="5" t="s">
        <v>591</v>
      </c>
      <c r="D550" s="7"/>
      <c r="E550" s="5" t="s">
        <v>591</v>
      </c>
      <c r="F550" s="5" t="s">
        <v>1139</v>
      </c>
      <c r="G550" s="7"/>
      <c r="H550" s="17">
        <v>7400.0</v>
      </c>
      <c r="I550" s="5" t="s">
        <v>873</v>
      </c>
      <c r="J550" s="18">
        <f t="shared" si="20"/>
        <v>11100</v>
      </c>
      <c r="K550" s="18">
        <f t="shared" si="21"/>
        <v>9620</v>
      </c>
      <c r="L550" s="19">
        <f t="shared" si="22"/>
        <v>9620</v>
      </c>
      <c r="M550" s="19">
        <f t="shared" si="23"/>
        <v>8880</v>
      </c>
      <c r="N550" s="19">
        <f t="shared" si="24"/>
        <v>8510</v>
      </c>
      <c r="O550" s="19">
        <f t="shared" si="25"/>
        <v>8140</v>
      </c>
    </row>
    <row r="551">
      <c r="A551" s="38" t="s">
        <v>19</v>
      </c>
      <c r="B551" s="5" t="s">
        <v>1088</v>
      </c>
      <c r="C551" s="5" t="s">
        <v>1140</v>
      </c>
      <c r="D551" s="7"/>
      <c r="E551" s="5" t="s">
        <v>1141</v>
      </c>
      <c r="F551" s="5" t="s">
        <v>1142</v>
      </c>
      <c r="G551" s="7"/>
      <c r="H551" s="17">
        <v>700.0</v>
      </c>
      <c r="I551" s="5" t="s">
        <v>873</v>
      </c>
      <c r="J551" s="18">
        <f t="shared" si="20"/>
        <v>1050</v>
      </c>
      <c r="K551" s="18">
        <f t="shared" si="21"/>
        <v>910</v>
      </c>
      <c r="L551" s="19">
        <f t="shared" si="22"/>
        <v>910</v>
      </c>
      <c r="M551" s="19">
        <f t="shared" si="23"/>
        <v>840</v>
      </c>
      <c r="N551" s="19">
        <f t="shared" si="24"/>
        <v>805</v>
      </c>
      <c r="O551" s="19">
        <f t="shared" si="25"/>
        <v>770</v>
      </c>
    </row>
    <row r="552">
      <c r="A552" s="38" t="s">
        <v>19</v>
      </c>
      <c r="B552" s="5" t="s">
        <v>1088</v>
      </c>
      <c r="C552" s="5" t="s">
        <v>1143</v>
      </c>
      <c r="D552" s="7"/>
      <c r="E552" s="5" t="s">
        <v>1144</v>
      </c>
      <c r="F552" s="5" t="s">
        <v>1145</v>
      </c>
      <c r="G552" s="7"/>
      <c r="H552" s="17">
        <v>12400.0</v>
      </c>
      <c r="I552" s="5" t="s">
        <v>1146</v>
      </c>
      <c r="J552" s="18">
        <f t="shared" si="20"/>
        <v>18600</v>
      </c>
      <c r="K552" s="18">
        <f t="shared" si="21"/>
        <v>16120</v>
      </c>
      <c r="L552" s="19">
        <f t="shared" si="22"/>
        <v>16120</v>
      </c>
      <c r="M552" s="19">
        <f t="shared" si="23"/>
        <v>14880</v>
      </c>
      <c r="N552" s="19">
        <f t="shared" si="24"/>
        <v>14260</v>
      </c>
      <c r="O552" s="19">
        <f t="shared" si="25"/>
        <v>13640</v>
      </c>
    </row>
    <row r="553">
      <c r="A553" s="38" t="s">
        <v>19</v>
      </c>
      <c r="B553" s="5" t="s">
        <v>1088</v>
      </c>
      <c r="C553" s="5" t="s">
        <v>1130</v>
      </c>
      <c r="D553" s="7"/>
      <c r="E553" s="5" t="s">
        <v>1131</v>
      </c>
      <c r="F553" s="5" t="s">
        <v>1132</v>
      </c>
      <c r="G553" s="7"/>
      <c r="H553" s="17">
        <v>5000.0</v>
      </c>
      <c r="I553" s="5" t="s">
        <v>873</v>
      </c>
      <c r="J553" s="18">
        <f t="shared" si="20"/>
        <v>7500</v>
      </c>
      <c r="K553" s="18">
        <f t="shared" si="21"/>
        <v>6500</v>
      </c>
      <c r="L553" s="19">
        <f t="shared" si="22"/>
        <v>6500</v>
      </c>
      <c r="M553" s="19">
        <f t="shared" si="23"/>
        <v>6000</v>
      </c>
      <c r="N553" s="19">
        <f t="shared" si="24"/>
        <v>5750</v>
      </c>
      <c r="O553" s="19">
        <f t="shared" si="25"/>
        <v>5500</v>
      </c>
    </row>
    <row r="554">
      <c r="A554" s="38" t="s">
        <v>19</v>
      </c>
      <c r="B554" s="5" t="s">
        <v>1088</v>
      </c>
      <c r="C554" s="5" t="s">
        <v>1147</v>
      </c>
      <c r="D554" s="7"/>
      <c r="E554" s="5" t="s">
        <v>1148</v>
      </c>
      <c r="F554" s="5" t="s">
        <v>1149</v>
      </c>
      <c r="G554" s="7"/>
      <c r="H554" s="17">
        <v>1300.0</v>
      </c>
      <c r="I554" s="5" t="s">
        <v>858</v>
      </c>
      <c r="J554" s="18">
        <f t="shared" si="20"/>
        <v>1950</v>
      </c>
      <c r="K554" s="18">
        <f t="shared" si="21"/>
        <v>1690</v>
      </c>
      <c r="L554" s="19">
        <f t="shared" si="22"/>
        <v>1690</v>
      </c>
      <c r="M554" s="19">
        <f t="shared" si="23"/>
        <v>1560</v>
      </c>
      <c r="N554" s="19">
        <f t="shared" si="24"/>
        <v>1495</v>
      </c>
      <c r="O554" s="19">
        <f t="shared" si="25"/>
        <v>1430</v>
      </c>
    </row>
    <row r="555">
      <c r="A555" s="38" t="s">
        <v>19</v>
      </c>
      <c r="B555" s="5" t="s">
        <v>1088</v>
      </c>
      <c r="C555" s="5" t="s">
        <v>1140</v>
      </c>
      <c r="D555" s="7"/>
      <c r="E555" s="5" t="s">
        <v>1141</v>
      </c>
      <c r="F555" s="5" t="s">
        <v>1142</v>
      </c>
      <c r="G555" s="7"/>
      <c r="H555" s="17">
        <v>700.0</v>
      </c>
      <c r="I555" s="5" t="s">
        <v>858</v>
      </c>
      <c r="J555" s="18">
        <f t="shared" si="20"/>
        <v>1050</v>
      </c>
      <c r="K555" s="18">
        <f t="shared" si="21"/>
        <v>910</v>
      </c>
      <c r="L555" s="19">
        <f t="shared" si="22"/>
        <v>910</v>
      </c>
      <c r="M555" s="19">
        <f t="shared" si="23"/>
        <v>840</v>
      </c>
      <c r="N555" s="19">
        <f t="shared" si="24"/>
        <v>805</v>
      </c>
      <c r="O555" s="19">
        <f t="shared" si="25"/>
        <v>770</v>
      </c>
    </row>
    <row r="556">
      <c r="A556" s="38" t="s">
        <v>19</v>
      </c>
      <c r="B556" s="5" t="s">
        <v>1088</v>
      </c>
      <c r="C556" s="5" t="s">
        <v>1150</v>
      </c>
      <c r="D556" s="7"/>
      <c r="E556" s="5" t="s">
        <v>1151</v>
      </c>
      <c r="F556" s="5" t="s">
        <v>1152</v>
      </c>
      <c r="G556" s="7"/>
      <c r="H556" s="17">
        <v>800.0</v>
      </c>
      <c r="I556" s="5" t="s">
        <v>858</v>
      </c>
      <c r="J556" s="18">
        <f t="shared" si="20"/>
        <v>1200</v>
      </c>
      <c r="K556" s="18">
        <f t="shared" si="21"/>
        <v>1040</v>
      </c>
      <c r="L556" s="19">
        <f t="shared" si="22"/>
        <v>1040</v>
      </c>
      <c r="M556" s="19">
        <f t="shared" si="23"/>
        <v>960</v>
      </c>
      <c r="N556" s="19">
        <f t="shared" si="24"/>
        <v>920</v>
      </c>
      <c r="O556" s="19">
        <f t="shared" si="25"/>
        <v>880</v>
      </c>
    </row>
    <row r="557">
      <c r="A557" s="38" t="s">
        <v>19</v>
      </c>
      <c r="B557" s="5" t="s">
        <v>1088</v>
      </c>
      <c r="C557" s="5" t="s">
        <v>1140</v>
      </c>
      <c r="D557" s="7"/>
      <c r="E557" s="5" t="s">
        <v>1153</v>
      </c>
      <c r="F557" s="5" t="s">
        <v>1154</v>
      </c>
      <c r="G557" s="7"/>
      <c r="H557" s="17">
        <v>1300.0</v>
      </c>
      <c r="I557" s="5" t="s">
        <v>858</v>
      </c>
      <c r="J557" s="18">
        <f t="shared" si="20"/>
        <v>1950</v>
      </c>
      <c r="K557" s="18">
        <f t="shared" si="21"/>
        <v>1690</v>
      </c>
      <c r="L557" s="19">
        <f t="shared" si="22"/>
        <v>1690</v>
      </c>
      <c r="M557" s="19">
        <f t="shared" si="23"/>
        <v>1560</v>
      </c>
      <c r="N557" s="19">
        <f t="shared" si="24"/>
        <v>1495</v>
      </c>
      <c r="O557" s="19">
        <f t="shared" si="25"/>
        <v>1430</v>
      </c>
    </row>
    <row r="558">
      <c r="A558" s="38" t="s">
        <v>19</v>
      </c>
      <c r="B558" s="5" t="s">
        <v>1088</v>
      </c>
      <c r="C558" s="5" t="s">
        <v>1155</v>
      </c>
      <c r="D558" s="7"/>
      <c r="E558" s="5" t="s">
        <v>1156</v>
      </c>
      <c r="F558" s="5" t="s">
        <v>1157</v>
      </c>
      <c r="G558" s="7"/>
      <c r="H558" s="17">
        <v>3700.0</v>
      </c>
      <c r="I558" s="5" t="s">
        <v>1138</v>
      </c>
      <c r="J558" s="18">
        <f t="shared" si="20"/>
        <v>5550</v>
      </c>
      <c r="K558" s="18">
        <f t="shared" si="21"/>
        <v>4810</v>
      </c>
      <c r="L558" s="19">
        <f t="shared" si="22"/>
        <v>4810</v>
      </c>
      <c r="M558" s="19">
        <f t="shared" si="23"/>
        <v>4440</v>
      </c>
      <c r="N558" s="19">
        <f t="shared" si="24"/>
        <v>4255</v>
      </c>
      <c r="O558" s="19">
        <f t="shared" si="25"/>
        <v>4070</v>
      </c>
    </row>
    <row r="559">
      <c r="A559" s="38" t="s">
        <v>19</v>
      </c>
      <c r="B559" s="5" t="s">
        <v>1088</v>
      </c>
      <c r="C559" s="5" t="s">
        <v>1140</v>
      </c>
      <c r="D559" s="7"/>
      <c r="E559" s="5" t="s">
        <v>1158</v>
      </c>
      <c r="F559" s="5" t="s">
        <v>1159</v>
      </c>
      <c r="G559" s="7"/>
      <c r="H559" s="17">
        <v>2500.0</v>
      </c>
      <c r="I559" s="5" t="s">
        <v>858</v>
      </c>
      <c r="J559" s="18">
        <f t="shared" si="20"/>
        <v>3750</v>
      </c>
      <c r="K559" s="18">
        <f t="shared" si="21"/>
        <v>3250</v>
      </c>
      <c r="L559" s="19">
        <f t="shared" si="22"/>
        <v>3250</v>
      </c>
      <c r="M559" s="19">
        <f t="shared" si="23"/>
        <v>3000</v>
      </c>
      <c r="N559" s="19">
        <f t="shared" si="24"/>
        <v>2875</v>
      </c>
      <c r="O559" s="19">
        <f t="shared" si="25"/>
        <v>2750</v>
      </c>
    </row>
    <row r="560">
      <c r="A560" s="38" t="s">
        <v>19</v>
      </c>
      <c r="B560" s="5" t="s">
        <v>1088</v>
      </c>
      <c r="C560" s="5" t="s">
        <v>1150</v>
      </c>
      <c r="D560" s="7"/>
      <c r="E560" s="5" t="s">
        <v>1160</v>
      </c>
      <c r="F560" s="5" t="s">
        <v>1161</v>
      </c>
      <c r="G560" s="7"/>
      <c r="H560" s="17">
        <v>400.0</v>
      </c>
      <c r="I560" s="5" t="s">
        <v>858</v>
      </c>
      <c r="J560" s="18">
        <f t="shared" si="20"/>
        <v>600</v>
      </c>
      <c r="K560" s="18">
        <f t="shared" si="21"/>
        <v>520</v>
      </c>
      <c r="L560" s="19">
        <f t="shared" si="22"/>
        <v>520</v>
      </c>
      <c r="M560" s="19">
        <f t="shared" si="23"/>
        <v>480</v>
      </c>
      <c r="N560" s="19">
        <f t="shared" si="24"/>
        <v>460</v>
      </c>
      <c r="O560" s="19">
        <f t="shared" si="25"/>
        <v>440</v>
      </c>
    </row>
    <row r="561">
      <c r="A561" s="38" t="s">
        <v>19</v>
      </c>
      <c r="B561" s="5" t="s">
        <v>1088</v>
      </c>
      <c r="C561" s="5" t="s">
        <v>1150</v>
      </c>
      <c r="D561" s="7"/>
      <c r="E561" s="5" t="s">
        <v>1160</v>
      </c>
      <c r="F561" s="5" t="s">
        <v>1162</v>
      </c>
      <c r="G561" s="7"/>
      <c r="H561" s="17">
        <v>700.0</v>
      </c>
      <c r="I561" s="5" t="s">
        <v>858</v>
      </c>
      <c r="J561" s="18">
        <f t="shared" si="20"/>
        <v>1050</v>
      </c>
      <c r="K561" s="18">
        <f t="shared" si="21"/>
        <v>910</v>
      </c>
      <c r="L561" s="19">
        <f t="shared" si="22"/>
        <v>910</v>
      </c>
      <c r="M561" s="19">
        <f t="shared" si="23"/>
        <v>840</v>
      </c>
      <c r="N561" s="19">
        <f t="shared" si="24"/>
        <v>805</v>
      </c>
      <c r="O561" s="19">
        <f t="shared" si="25"/>
        <v>770</v>
      </c>
    </row>
    <row r="562">
      <c r="A562" s="38" t="s">
        <v>19</v>
      </c>
      <c r="B562" s="5" t="s">
        <v>1088</v>
      </c>
      <c r="C562" s="5" t="s">
        <v>591</v>
      </c>
      <c r="D562" s="7"/>
      <c r="E562" s="5" t="s">
        <v>1163</v>
      </c>
      <c r="F562" s="5" t="s">
        <v>1164</v>
      </c>
      <c r="G562" s="7"/>
      <c r="H562" s="17">
        <v>6200.0</v>
      </c>
      <c r="I562" s="5" t="s">
        <v>853</v>
      </c>
      <c r="J562" s="18">
        <f t="shared" si="20"/>
        <v>9300</v>
      </c>
      <c r="K562" s="18">
        <f t="shared" si="21"/>
        <v>8060</v>
      </c>
      <c r="L562" s="19">
        <f t="shared" si="22"/>
        <v>8060</v>
      </c>
      <c r="M562" s="19">
        <f t="shared" si="23"/>
        <v>7440</v>
      </c>
      <c r="N562" s="19">
        <f t="shared" si="24"/>
        <v>7130</v>
      </c>
      <c r="O562" s="19">
        <f t="shared" si="25"/>
        <v>6820</v>
      </c>
    </row>
    <row r="563">
      <c r="A563" s="38" t="s">
        <v>19</v>
      </c>
      <c r="B563" s="5" t="s">
        <v>1088</v>
      </c>
      <c r="C563" s="5" t="s">
        <v>1130</v>
      </c>
      <c r="D563" s="7"/>
      <c r="E563" s="5" t="s">
        <v>1165</v>
      </c>
      <c r="F563" s="5" t="s">
        <v>1166</v>
      </c>
      <c r="G563" s="7"/>
      <c r="H563" s="17">
        <v>2500.0</v>
      </c>
      <c r="I563" s="5" t="s">
        <v>853</v>
      </c>
      <c r="J563" s="18">
        <f t="shared" si="20"/>
        <v>3750</v>
      </c>
      <c r="K563" s="18">
        <f t="shared" si="21"/>
        <v>3250</v>
      </c>
      <c r="L563" s="19">
        <f t="shared" si="22"/>
        <v>3250</v>
      </c>
      <c r="M563" s="19">
        <f t="shared" si="23"/>
        <v>3000</v>
      </c>
      <c r="N563" s="19">
        <f t="shared" si="24"/>
        <v>2875</v>
      </c>
      <c r="O563" s="19">
        <f t="shared" si="25"/>
        <v>2750</v>
      </c>
    </row>
    <row r="564">
      <c r="A564" s="38" t="s">
        <v>19</v>
      </c>
      <c r="B564" s="5" t="s">
        <v>1088</v>
      </c>
      <c r="C564" s="5" t="s">
        <v>1147</v>
      </c>
      <c r="D564" s="7"/>
      <c r="E564" s="5" t="s">
        <v>1167</v>
      </c>
      <c r="F564" s="5" t="s">
        <v>1168</v>
      </c>
      <c r="G564" s="7"/>
      <c r="H564" s="17">
        <v>2500.0</v>
      </c>
      <c r="I564" s="5" t="s">
        <v>853</v>
      </c>
      <c r="J564" s="18">
        <f t="shared" si="20"/>
        <v>3750</v>
      </c>
      <c r="K564" s="18">
        <f t="shared" si="21"/>
        <v>3250</v>
      </c>
      <c r="L564" s="19">
        <f t="shared" si="22"/>
        <v>3250</v>
      </c>
      <c r="M564" s="19">
        <f t="shared" si="23"/>
        <v>3000</v>
      </c>
      <c r="N564" s="19">
        <f t="shared" si="24"/>
        <v>2875</v>
      </c>
      <c r="O564" s="19">
        <f t="shared" si="25"/>
        <v>2750</v>
      </c>
    </row>
    <row r="565">
      <c r="A565" s="38" t="s">
        <v>19</v>
      </c>
      <c r="B565" s="5" t="s">
        <v>1088</v>
      </c>
      <c r="C565" s="5" t="s">
        <v>1140</v>
      </c>
      <c r="D565" s="7"/>
      <c r="E565" s="5" t="s">
        <v>1141</v>
      </c>
      <c r="F565" s="5" t="s">
        <v>1142</v>
      </c>
      <c r="G565" s="7"/>
      <c r="H565" s="17">
        <v>700.0</v>
      </c>
      <c r="I565" s="7"/>
      <c r="J565" s="18">
        <f t="shared" si="20"/>
        <v>1050</v>
      </c>
      <c r="K565" s="18">
        <f t="shared" si="21"/>
        <v>910</v>
      </c>
      <c r="L565" s="19">
        <f t="shared" si="22"/>
        <v>910</v>
      </c>
      <c r="M565" s="19">
        <f t="shared" si="23"/>
        <v>840</v>
      </c>
      <c r="N565" s="19">
        <f t="shared" si="24"/>
        <v>805</v>
      </c>
      <c r="O565" s="19">
        <f t="shared" si="25"/>
        <v>770</v>
      </c>
    </row>
    <row r="566">
      <c r="A566" s="38" t="s">
        <v>19</v>
      </c>
      <c r="B566" s="5" t="s">
        <v>1088</v>
      </c>
      <c r="C566" s="5" t="s">
        <v>1150</v>
      </c>
      <c r="D566" s="7"/>
      <c r="E566" s="5" t="s">
        <v>1160</v>
      </c>
      <c r="F566" s="5" t="s">
        <v>1169</v>
      </c>
      <c r="G566" s="7"/>
      <c r="H566" s="17">
        <v>700.0</v>
      </c>
      <c r="I566" s="5" t="s">
        <v>853</v>
      </c>
      <c r="J566" s="18">
        <f t="shared" si="20"/>
        <v>1050</v>
      </c>
      <c r="K566" s="18">
        <f t="shared" si="21"/>
        <v>910</v>
      </c>
      <c r="L566" s="19">
        <f t="shared" si="22"/>
        <v>910</v>
      </c>
      <c r="M566" s="19">
        <f t="shared" si="23"/>
        <v>840</v>
      </c>
      <c r="N566" s="19">
        <f t="shared" si="24"/>
        <v>805</v>
      </c>
      <c r="O566" s="19">
        <f t="shared" si="25"/>
        <v>770</v>
      </c>
    </row>
    <row r="567">
      <c r="A567" s="38" t="s">
        <v>19</v>
      </c>
      <c r="B567" s="5" t="s">
        <v>1088</v>
      </c>
      <c r="C567" s="5" t="s">
        <v>591</v>
      </c>
      <c r="D567" s="7"/>
      <c r="E567" s="5" t="s">
        <v>1170</v>
      </c>
      <c r="F567" s="5" t="s">
        <v>1171</v>
      </c>
      <c r="G567" s="7"/>
      <c r="H567" s="17">
        <v>7400.0</v>
      </c>
      <c r="I567" s="5" t="s">
        <v>853</v>
      </c>
      <c r="J567" s="18">
        <f t="shared" si="20"/>
        <v>11100</v>
      </c>
      <c r="K567" s="18">
        <f t="shared" si="21"/>
        <v>9620</v>
      </c>
      <c r="L567" s="19">
        <f t="shared" si="22"/>
        <v>9620</v>
      </c>
      <c r="M567" s="19">
        <f t="shared" si="23"/>
        <v>8880</v>
      </c>
      <c r="N567" s="19">
        <f t="shared" si="24"/>
        <v>8510</v>
      </c>
      <c r="O567" s="19">
        <f t="shared" si="25"/>
        <v>8140</v>
      </c>
    </row>
    <row r="568">
      <c r="A568" s="38" t="s">
        <v>19</v>
      </c>
      <c r="B568" s="5" t="s">
        <v>1088</v>
      </c>
      <c r="C568" s="5" t="s">
        <v>591</v>
      </c>
      <c r="D568" s="7"/>
      <c r="E568" s="5" t="s">
        <v>591</v>
      </c>
      <c r="F568" s="5" t="s">
        <v>1172</v>
      </c>
      <c r="G568" s="7"/>
      <c r="H568" s="17">
        <v>6200.0</v>
      </c>
      <c r="I568" s="5" t="s">
        <v>856</v>
      </c>
      <c r="J568" s="18">
        <f t="shared" si="20"/>
        <v>9300</v>
      </c>
      <c r="K568" s="18">
        <f t="shared" si="21"/>
        <v>8060</v>
      </c>
      <c r="L568" s="19">
        <f t="shared" si="22"/>
        <v>8060</v>
      </c>
      <c r="M568" s="19">
        <f t="shared" si="23"/>
        <v>7440</v>
      </c>
      <c r="N568" s="19">
        <f t="shared" si="24"/>
        <v>7130</v>
      </c>
      <c r="O568" s="19">
        <f t="shared" si="25"/>
        <v>6820</v>
      </c>
    </row>
    <row r="569">
      <c r="A569" s="38" t="s">
        <v>19</v>
      </c>
      <c r="B569" s="5" t="s">
        <v>1088</v>
      </c>
      <c r="C569" s="5" t="s">
        <v>1140</v>
      </c>
      <c r="D569" s="7"/>
      <c r="E569" s="5" t="s">
        <v>1141</v>
      </c>
      <c r="F569" s="5" t="s">
        <v>1142</v>
      </c>
      <c r="G569" s="7"/>
      <c r="H569" s="17">
        <v>500.0</v>
      </c>
      <c r="I569" s="5" t="s">
        <v>856</v>
      </c>
      <c r="J569" s="18">
        <f t="shared" si="20"/>
        <v>750</v>
      </c>
      <c r="K569" s="18">
        <f t="shared" si="21"/>
        <v>650</v>
      </c>
      <c r="L569" s="19">
        <f t="shared" si="22"/>
        <v>650</v>
      </c>
      <c r="M569" s="19">
        <f t="shared" si="23"/>
        <v>600</v>
      </c>
      <c r="N569" s="19">
        <f t="shared" si="24"/>
        <v>575</v>
      </c>
      <c r="O569" s="19">
        <f t="shared" si="25"/>
        <v>550</v>
      </c>
    </row>
    <row r="570">
      <c r="A570" s="38" t="s">
        <v>19</v>
      </c>
      <c r="B570" s="5" t="s">
        <v>1088</v>
      </c>
      <c r="C570" s="5" t="s">
        <v>1130</v>
      </c>
      <c r="D570" s="7"/>
      <c r="E570" s="5" t="s">
        <v>1165</v>
      </c>
      <c r="F570" s="5" t="s">
        <v>1166</v>
      </c>
      <c r="G570" s="7"/>
      <c r="H570" s="17">
        <v>2500.0</v>
      </c>
      <c r="I570" s="5" t="s">
        <v>856</v>
      </c>
      <c r="J570" s="18">
        <f t="shared" si="20"/>
        <v>3750</v>
      </c>
      <c r="K570" s="18">
        <f t="shared" si="21"/>
        <v>3250</v>
      </c>
      <c r="L570" s="19">
        <f t="shared" si="22"/>
        <v>3250</v>
      </c>
      <c r="M570" s="19">
        <f t="shared" si="23"/>
        <v>3000</v>
      </c>
      <c r="N570" s="19">
        <f t="shared" si="24"/>
        <v>2875</v>
      </c>
      <c r="O570" s="19">
        <f t="shared" si="25"/>
        <v>2750</v>
      </c>
    </row>
    <row r="571">
      <c r="A571" s="38" t="s">
        <v>19</v>
      </c>
      <c r="B571" s="5" t="s">
        <v>1088</v>
      </c>
      <c r="C571" s="5" t="s">
        <v>1147</v>
      </c>
      <c r="D571" s="7"/>
      <c r="E571" s="5" t="s">
        <v>1167</v>
      </c>
      <c r="F571" s="5" t="s">
        <v>1168</v>
      </c>
      <c r="G571" s="7"/>
      <c r="H571" s="17">
        <v>1300.0</v>
      </c>
      <c r="I571" s="5" t="s">
        <v>856</v>
      </c>
      <c r="J571" s="18">
        <f t="shared" si="20"/>
        <v>1950</v>
      </c>
      <c r="K571" s="18">
        <f t="shared" si="21"/>
        <v>1690</v>
      </c>
      <c r="L571" s="19">
        <f t="shared" si="22"/>
        <v>1690</v>
      </c>
      <c r="M571" s="19">
        <f t="shared" si="23"/>
        <v>1560</v>
      </c>
      <c r="N571" s="19">
        <f t="shared" si="24"/>
        <v>1495</v>
      </c>
      <c r="O571" s="19">
        <f t="shared" si="25"/>
        <v>1430</v>
      </c>
    </row>
    <row r="572">
      <c r="A572" s="38" t="s">
        <v>19</v>
      </c>
      <c r="B572" s="5" t="s">
        <v>1088</v>
      </c>
      <c r="C572" s="5" t="s">
        <v>1150</v>
      </c>
      <c r="D572" s="7"/>
      <c r="E572" s="5" t="s">
        <v>1160</v>
      </c>
      <c r="F572" s="5" t="s">
        <v>1169</v>
      </c>
      <c r="G572" s="7"/>
      <c r="H572" s="17">
        <v>700.0</v>
      </c>
      <c r="I572" s="5" t="s">
        <v>856</v>
      </c>
      <c r="J572" s="18">
        <f t="shared" si="20"/>
        <v>1050</v>
      </c>
      <c r="K572" s="18">
        <f t="shared" si="21"/>
        <v>910</v>
      </c>
      <c r="L572" s="19">
        <f t="shared" si="22"/>
        <v>910</v>
      </c>
      <c r="M572" s="19">
        <f t="shared" si="23"/>
        <v>840</v>
      </c>
      <c r="N572" s="19">
        <f t="shared" si="24"/>
        <v>805</v>
      </c>
      <c r="O572" s="19">
        <f t="shared" si="25"/>
        <v>770</v>
      </c>
    </row>
    <row r="573">
      <c r="A573" s="38" t="s">
        <v>19</v>
      </c>
      <c r="B573" s="5" t="s">
        <v>1088</v>
      </c>
      <c r="C573" s="5" t="s">
        <v>591</v>
      </c>
      <c r="D573" s="7"/>
      <c r="E573" s="5" t="s">
        <v>1170</v>
      </c>
      <c r="F573" s="5" t="s">
        <v>1173</v>
      </c>
      <c r="G573" s="7"/>
      <c r="H573" s="17">
        <v>7400.0</v>
      </c>
      <c r="I573" s="5" t="s">
        <v>856</v>
      </c>
      <c r="J573" s="18">
        <f t="shared" si="20"/>
        <v>11100</v>
      </c>
      <c r="K573" s="18">
        <f t="shared" si="21"/>
        <v>9620</v>
      </c>
      <c r="L573" s="19">
        <f t="shared" si="22"/>
        <v>9620</v>
      </c>
      <c r="M573" s="19">
        <f t="shared" si="23"/>
        <v>8880</v>
      </c>
      <c r="N573" s="19">
        <f t="shared" si="24"/>
        <v>8510</v>
      </c>
      <c r="O573" s="19">
        <f t="shared" si="25"/>
        <v>8140</v>
      </c>
    </row>
    <row r="574">
      <c r="A574" s="38" t="s">
        <v>19</v>
      </c>
      <c r="B574" s="5" t="s">
        <v>1088</v>
      </c>
      <c r="C574" s="5" t="s">
        <v>1088</v>
      </c>
      <c r="D574" s="7"/>
      <c r="E574" s="5" t="s">
        <v>1174</v>
      </c>
      <c r="F574" s="5" t="s">
        <v>1175</v>
      </c>
      <c r="G574" s="7"/>
      <c r="H574" s="17">
        <v>67200.0</v>
      </c>
      <c r="I574" s="5" t="s">
        <v>1176</v>
      </c>
      <c r="J574" s="18">
        <f t="shared" si="20"/>
        <v>100800</v>
      </c>
      <c r="K574" s="18">
        <f t="shared" si="21"/>
        <v>87360</v>
      </c>
      <c r="L574" s="19">
        <f t="shared" si="22"/>
        <v>87360</v>
      </c>
      <c r="M574" s="19">
        <f t="shared" si="23"/>
        <v>80640</v>
      </c>
      <c r="N574" s="19">
        <f t="shared" si="24"/>
        <v>77280</v>
      </c>
      <c r="O574" s="19">
        <f t="shared" si="25"/>
        <v>73920</v>
      </c>
    </row>
    <row r="575">
      <c r="A575" s="38" t="s">
        <v>19</v>
      </c>
      <c r="B575" s="5" t="s">
        <v>1088</v>
      </c>
      <c r="C575" s="5" t="s">
        <v>1088</v>
      </c>
      <c r="D575" s="7"/>
      <c r="E575" s="5" t="s">
        <v>1177</v>
      </c>
      <c r="F575" s="5" t="s">
        <v>1175</v>
      </c>
      <c r="G575" s="7"/>
      <c r="H575" s="17">
        <v>73700.0</v>
      </c>
      <c r="I575" s="7"/>
      <c r="J575" s="18">
        <f t="shared" si="20"/>
        <v>110550</v>
      </c>
      <c r="K575" s="18">
        <f t="shared" si="21"/>
        <v>95810</v>
      </c>
      <c r="L575" s="19">
        <f t="shared" si="22"/>
        <v>95810</v>
      </c>
      <c r="M575" s="19">
        <f t="shared" si="23"/>
        <v>88440</v>
      </c>
      <c r="N575" s="19">
        <f t="shared" si="24"/>
        <v>84755</v>
      </c>
      <c r="O575" s="19">
        <f t="shared" si="25"/>
        <v>81070</v>
      </c>
    </row>
    <row r="576">
      <c r="A576" s="38" t="s">
        <v>19</v>
      </c>
      <c r="B576" s="5" t="s">
        <v>1088</v>
      </c>
      <c r="C576" s="5" t="s">
        <v>1088</v>
      </c>
      <c r="D576" s="7"/>
      <c r="E576" s="5" t="s">
        <v>1178</v>
      </c>
      <c r="F576" s="5" t="s">
        <v>1179</v>
      </c>
      <c r="G576" s="7"/>
      <c r="H576" s="17">
        <v>21000.0</v>
      </c>
      <c r="I576" s="7"/>
      <c r="J576" s="18">
        <f t="shared" si="20"/>
        <v>31500</v>
      </c>
      <c r="K576" s="18">
        <f t="shared" si="21"/>
        <v>27300</v>
      </c>
      <c r="L576" s="19">
        <f t="shared" si="22"/>
        <v>27300</v>
      </c>
      <c r="M576" s="19">
        <f t="shared" si="23"/>
        <v>25200</v>
      </c>
      <c r="N576" s="19">
        <f t="shared" si="24"/>
        <v>24150</v>
      </c>
      <c r="O576" s="19">
        <f t="shared" si="25"/>
        <v>23100</v>
      </c>
    </row>
    <row r="577">
      <c r="A577" s="38" t="s">
        <v>19</v>
      </c>
      <c r="B577" s="5" t="s">
        <v>1088</v>
      </c>
      <c r="C577" s="5" t="s">
        <v>1088</v>
      </c>
      <c r="D577" s="7"/>
      <c r="E577" s="5" t="s">
        <v>1180</v>
      </c>
      <c r="F577" s="5" t="s">
        <v>1181</v>
      </c>
      <c r="G577" s="7"/>
      <c r="H577" s="17">
        <v>55300.0</v>
      </c>
      <c r="I577" s="7"/>
      <c r="J577" s="18">
        <f t="shared" si="20"/>
        <v>82950</v>
      </c>
      <c r="K577" s="18">
        <f t="shared" si="21"/>
        <v>71890</v>
      </c>
      <c r="L577" s="19">
        <f t="shared" si="22"/>
        <v>71890</v>
      </c>
      <c r="M577" s="19">
        <f t="shared" si="23"/>
        <v>66360</v>
      </c>
      <c r="N577" s="19">
        <f t="shared" si="24"/>
        <v>63595</v>
      </c>
      <c r="O577" s="19">
        <f t="shared" si="25"/>
        <v>60830</v>
      </c>
    </row>
    <row r="578">
      <c r="A578" s="38" t="s">
        <v>19</v>
      </c>
      <c r="B578" s="5" t="s">
        <v>1088</v>
      </c>
      <c r="C578" s="5" t="s">
        <v>1088</v>
      </c>
      <c r="D578" s="7"/>
      <c r="E578" s="5" t="s">
        <v>1182</v>
      </c>
      <c r="F578" s="5" t="s">
        <v>1183</v>
      </c>
      <c r="G578" s="7"/>
      <c r="H578" s="17">
        <v>14800.0</v>
      </c>
      <c r="I578" s="7"/>
      <c r="J578" s="18">
        <f t="shared" si="20"/>
        <v>22200</v>
      </c>
      <c r="K578" s="18">
        <f t="shared" si="21"/>
        <v>19240</v>
      </c>
      <c r="L578" s="19">
        <f t="shared" si="22"/>
        <v>19240</v>
      </c>
      <c r="M578" s="19">
        <f t="shared" si="23"/>
        <v>17760</v>
      </c>
      <c r="N578" s="19">
        <f t="shared" si="24"/>
        <v>17020</v>
      </c>
      <c r="O578" s="19">
        <f t="shared" si="25"/>
        <v>16280</v>
      </c>
    </row>
    <row r="579">
      <c r="A579" s="38" t="s">
        <v>19</v>
      </c>
      <c r="B579" s="5" t="s">
        <v>1088</v>
      </c>
      <c r="C579" s="5" t="s">
        <v>1088</v>
      </c>
      <c r="D579" s="7"/>
      <c r="E579" s="5" t="s">
        <v>1184</v>
      </c>
      <c r="F579" s="5" t="s">
        <v>1185</v>
      </c>
      <c r="G579" s="7"/>
      <c r="H579" s="17">
        <v>3700.0</v>
      </c>
      <c r="I579" s="7"/>
      <c r="J579" s="18">
        <f t="shared" si="20"/>
        <v>5550</v>
      </c>
      <c r="K579" s="18">
        <f t="shared" si="21"/>
        <v>4810</v>
      </c>
      <c r="L579" s="19">
        <f t="shared" si="22"/>
        <v>4810</v>
      </c>
      <c r="M579" s="19">
        <f t="shared" si="23"/>
        <v>4440</v>
      </c>
      <c r="N579" s="19">
        <f t="shared" si="24"/>
        <v>4255</v>
      </c>
      <c r="O579" s="19">
        <f t="shared" si="25"/>
        <v>4070</v>
      </c>
    </row>
    <row r="580">
      <c r="A580" s="38" t="s">
        <v>19</v>
      </c>
      <c r="B580" s="5" t="s">
        <v>1088</v>
      </c>
      <c r="C580" s="5" t="s">
        <v>1088</v>
      </c>
      <c r="D580" s="7"/>
      <c r="E580" s="5" t="s">
        <v>1184</v>
      </c>
      <c r="F580" s="5" t="s">
        <v>1186</v>
      </c>
      <c r="G580" s="7"/>
      <c r="H580" s="17">
        <v>3700.0</v>
      </c>
      <c r="I580" s="7"/>
      <c r="J580" s="18">
        <f t="shared" si="20"/>
        <v>5550</v>
      </c>
      <c r="K580" s="18">
        <f t="shared" si="21"/>
        <v>4810</v>
      </c>
      <c r="L580" s="19">
        <f t="shared" si="22"/>
        <v>4810</v>
      </c>
      <c r="M580" s="19">
        <f t="shared" si="23"/>
        <v>4440</v>
      </c>
      <c r="N580" s="19">
        <f t="shared" si="24"/>
        <v>4255</v>
      </c>
      <c r="O580" s="19">
        <f t="shared" si="25"/>
        <v>4070</v>
      </c>
    </row>
    <row r="581">
      <c r="A581" s="38" t="s">
        <v>19</v>
      </c>
      <c r="B581" s="5" t="s">
        <v>1088</v>
      </c>
      <c r="C581" s="5" t="s">
        <v>1088</v>
      </c>
      <c r="D581" s="7"/>
      <c r="E581" s="5" t="s">
        <v>1184</v>
      </c>
      <c r="F581" s="5" t="s">
        <v>1185</v>
      </c>
      <c r="G581" s="7"/>
      <c r="H581" s="17">
        <v>3700.0</v>
      </c>
      <c r="I581" s="7"/>
      <c r="J581" s="18">
        <f t="shared" si="20"/>
        <v>5550</v>
      </c>
      <c r="K581" s="18">
        <f t="shared" si="21"/>
        <v>4810</v>
      </c>
      <c r="L581" s="19">
        <f t="shared" si="22"/>
        <v>4810</v>
      </c>
      <c r="M581" s="19">
        <f t="shared" si="23"/>
        <v>4440</v>
      </c>
      <c r="N581" s="19">
        <f t="shared" si="24"/>
        <v>4255</v>
      </c>
      <c r="O581" s="19">
        <f t="shared" si="25"/>
        <v>4070</v>
      </c>
    </row>
    <row r="582">
      <c r="A582" s="38" t="s">
        <v>19</v>
      </c>
      <c r="B582" s="5" t="s">
        <v>1088</v>
      </c>
      <c r="C582" s="5" t="s">
        <v>1088</v>
      </c>
      <c r="D582" s="7"/>
      <c r="E582" s="5" t="s">
        <v>1187</v>
      </c>
      <c r="F582" s="5" t="s">
        <v>1188</v>
      </c>
      <c r="G582" s="7"/>
      <c r="H582" s="17">
        <v>500.0</v>
      </c>
      <c r="I582" s="7"/>
      <c r="J582" s="18">
        <f t="shared" si="20"/>
        <v>750</v>
      </c>
      <c r="K582" s="18">
        <f t="shared" si="21"/>
        <v>650</v>
      </c>
      <c r="L582" s="19">
        <f t="shared" si="22"/>
        <v>650</v>
      </c>
      <c r="M582" s="19">
        <f t="shared" si="23"/>
        <v>600</v>
      </c>
      <c r="N582" s="19">
        <f t="shared" si="24"/>
        <v>575</v>
      </c>
      <c r="O582" s="19">
        <f t="shared" si="25"/>
        <v>550</v>
      </c>
    </row>
    <row r="583">
      <c r="A583" s="38" t="s">
        <v>19</v>
      </c>
      <c r="B583" s="5" t="s">
        <v>1088</v>
      </c>
      <c r="C583" s="5" t="s">
        <v>1088</v>
      </c>
      <c r="D583" s="7"/>
      <c r="E583" s="5" t="s">
        <v>1189</v>
      </c>
      <c r="F583" s="5" t="s">
        <v>1190</v>
      </c>
      <c r="G583" s="7"/>
      <c r="H583" s="17">
        <v>200.0</v>
      </c>
      <c r="I583" s="7"/>
      <c r="J583" s="18">
        <f t="shared" si="20"/>
        <v>300</v>
      </c>
      <c r="K583" s="18">
        <f t="shared" si="21"/>
        <v>260</v>
      </c>
      <c r="L583" s="19">
        <f t="shared" si="22"/>
        <v>260</v>
      </c>
      <c r="M583" s="19">
        <f t="shared" si="23"/>
        <v>240</v>
      </c>
      <c r="N583" s="19">
        <f t="shared" si="24"/>
        <v>230</v>
      </c>
      <c r="O583" s="19">
        <f t="shared" si="25"/>
        <v>220</v>
      </c>
    </row>
    <row r="584">
      <c r="A584" s="38" t="s">
        <v>19</v>
      </c>
      <c r="B584" s="5" t="s">
        <v>1088</v>
      </c>
      <c r="C584" s="5" t="s">
        <v>1088</v>
      </c>
      <c r="D584" s="7"/>
      <c r="E584" s="5" t="s">
        <v>1191</v>
      </c>
      <c r="F584" s="5" t="s">
        <v>1192</v>
      </c>
      <c r="G584" s="7"/>
      <c r="H584" s="17">
        <v>3100.0</v>
      </c>
      <c r="I584" s="7"/>
      <c r="J584" s="18">
        <f t="shared" si="20"/>
        <v>4650</v>
      </c>
      <c r="K584" s="18">
        <f t="shared" si="21"/>
        <v>4030</v>
      </c>
      <c r="L584" s="19">
        <f t="shared" si="22"/>
        <v>4030</v>
      </c>
      <c r="M584" s="19">
        <f t="shared" si="23"/>
        <v>3720</v>
      </c>
      <c r="N584" s="19">
        <f t="shared" si="24"/>
        <v>3565</v>
      </c>
      <c r="O584" s="19">
        <f t="shared" si="25"/>
        <v>3410</v>
      </c>
    </row>
    <row r="585">
      <c r="A585" s="38" t="s">
        <v>19</v>
      </c>
      <c r="B585" s="5" t="s">
        <v>1088</v>
      </c>
      <c r="C585" s="5" t="s">
        <v>1088</v>
      </c>
      <c r="D585" s="7"/>
      <c r="E585" s="5" t="s">
        <v>1193</v>
      </c>
      <c r="F585" s="5" t="s">
        <v>1194</v>
      </c>
      <c r="G585" s="7"/>
      <c r="H585" s="17">
        <v>2500.0</v>
      </c>
      <c r="I585" s="7"/>
      <c r="J585" s="18">
        <f t="shared" si="20"/>
        <v>3750</v>
      </c>
      <c r="K585" s="18">
        <f t="shared" si="21"/>
        <v>3250</v>
      </c>
      <c r="L585" s="19">
        <f t="shared" si="22"/>
        <v>3250</v>
      </c>
      <c r="M585" s="19">
        <f t="shared" si="23"/>
        <v>3000</v>
      </c>
      <c r="N585" s="19">
        <f t="shared" si="24"/>
        <v>2875</v>
      </c>
      <c r="O585" s="19">
        <f t="shared" si="25"/>
        <v>2750</v>
      </c>
    </row>
    <row r="586">
      <c r="A586" s="38" t="s">
        <v>19</v>
      </c>
      <c r="B586" s="5" t="s">
        <v>1088</v>
      </c>
      <c r="C586" s="5" t="s">
        <v>1088</v>
      </c>
      <c r="D586" s="7"/>
      <c r="E586" s="5" t="s">
        <v>1195</v>
      </c>
      <c r="F586" s="5" t="s">
        <v>1196</v>
      </c>
      <c r="G586" s="7"/>
      <c r="H586" s="17">
        <v>30.0</v>
      </c>
      <c r="I586" s="7"/>
      <c r="J586" s="18">
        <f t="shared" si="20"/>
        <v>45</v>
      </c>
      <c r="K586" s="18">
        <f t="shared" si="21"/>
        <v>39</v>
      </c>
      <c r="L586" s="19">
        <f t="shared" si="22"/>
        <v>39</v>
      </c>
      <c r="M586" s="19">
        <f t="shared" si="23"/>
        <v>36</v>
      </c>
      <c r="N586" s="19">
        <f t="shared" si="24"/>
        <v>34.5</v>
      </c>
      <c r="O586" s="19">
        <f t="shared" si="25"/>
        <v>33</v>
      </c>
    </row>
    <row r="587">
      <c r="A587" s="38" t="s">
        <v>19</v>
      </c>
      <c r="B587" s="5" t="s">
        <v>1088</v>
      </c>
      <c r="C587" s="5" t="s">
        <v>1088</v>
      </c>
      <c r="D587" s="7"/>
      <c r="E587" s="5" t="s">
        <v>1197</v>
      </c>
      <c r="F587" s="5" t="s">
        <v>1198</v>
      </c>
      <c r="G587" s="7"/>
      <c r="H587" s="17">
        <v>30.0</v>
      </c>
      <c r="I587" s="7"/>
      <c r="J587" s="18">
        <f t="shared" si="20"/>
        <v>45</v>
      </c>
      <c r="K587" s="18">
        <f t="shared" si="21"/>
        <v>39</v>
      </c>
      <c r="L587" s="19">
        <f t="shared" si="22"/>
        <v>39</v>
      </c>
      <c r="M587" s="19">
        <f t="shared" si="23"/>
        <v>36</v>
      </c>
      <c r="N587" s="19">
        <f t="shared" si="24"/>
        <v>34.5</v>
      </c>
      <c r="O587" s="19">
        <f t="shared" si="25"/>
        <v>33</v>
      </c>
    </row>
    <row r="588">
      <c r="A588" s="38" t="s">
        <v>19</v>
      </c>
      <c r="B588" s="5" t="s">
        <v>1088</v>
      </c>
      <c r="C588" s="5" t="s">
        <v>1088</v>
      </c>
      <c r="D588" s="7"/>
      <c r="E588" s="5" t="s">
        <v>1199</v>
      </c>
      <c r="F588" s="5" t="s">
        <v>1198</v>
      </c>
      <c r="G588" s="7"/>
      <c r="H588" s="17">
        <v>70.0</v>
      </c>
      <c r="I588" s="7"/>
      <c r="J588" s="18">
        <f t="shared" si="20"/>
        <v>105</v>
      </c>
      <c r="K588" s="18">
        <f t="shared" si="21"/>
        <v>91</v>
      </c>
      <c r="L588" s="19">
        <f t="shared" si="22"/>
        <v>91</v>
      </c>
      <c r="M588" s="19">
        <f t="shared" si="23"/>
        <v>84</v>
      </c>
      <c r="N588" s="19">
        <f t="shared" si="24"/>
        <v>80.5</v>
      </c>
      <c r="O588" s="19">
        <f t="shared" si="25"/>
        <v>77</v>
      </c>
    </row>
    <row r="589">
      <c r="A589" s="38" t="s">
        <v>19</v>
      </c>
      <c r="B589" s="5" t="s">
        <v>1088</v>
      </c>
      <c r="C589" s="5" t="s">
        <v>1088</v>
      </c>
      <c r="D589" s="7"/>
      <c r="E589" s="5" t="s">
        <v>1200</v>
      </c>
      <c r="F589" s="5" t="s">
        <v>1201</v>
      </c>
      <c r="G589" s="7"/>
      <c r="H589" s="17">
        <v>1500.0</v>
      </c>
      <c r="I589" s="7"/>
      <c r="J589" s="18">
        <f t="shared" si="20"/>
        <v>2250</v>
      </c>
      <c r="K589" s="18">
        <f t="shared" si="21"/>
        <v>1950</v>
      </c>
      <c r="L589" s="19">
        <f t="shared" si="22"/>
        <v>1950</v>
      </c>
      <c r="M589" s="19">
        <f t="shared" si="23"/>
        <v>1800</v>
      </c>
      <c r="N589" s="19">
        <f t="shared" si="24"/>
        <v>1725</v>
      </c>
      <c r="O589" s="19">
        <f t="shared" si="25"/>
        <v>1650</v>
      </c>
    </row>
    <row r="590">
      <c r="A590" s="38" t="s">
        <v>19</v>
      </c>
      <c r="B590" s="5" t="s">
        <v>1088</v>
      </c>
      <c r="C590" s="5" t="s">
        <v>1088</v>
      </c>
      <c r="D590" s="7"/>
      <c r="E590" s="5" t="s">
        <v>1202</v>
      </c>
      <c r="F590" s="5" t="s">
        <v>1198</v>
      </c>
      <c r="G590" s="7"/>
      <c r="H590" s="17">
        <v>1850.0</v>
      </c>
      <c r="I590" s="7"/>
      <c r="J590" s="18">
        <f t="shared" si="20"/>
        <v>2775</v>
      </c>
      <c r="K590" s="18">
        <f t="shared" si="21"/>
        <v>2405</v>
      </c>
      <c r="L590" s="19">
        <f t="shared" si="22"/>
        <v>2405</v>
      </c>
      <c r="M590" s="19">
        <f t="shared" si="23"/>
        <v>2220</v>
      </c>
      <c r="N590" s="19">
        <f t="shared" si="24"/>
        <v>2127.5</v>
      </c>
      <c r="O590" s="19">
        <f t="shared" si="25"/>
        <v>2035</v>
      </c>
    </row>
    <row r="591">
      <c r="A591" s="38" t="s">
        <v>19</v>
      </c>
      <c r="B591" s="5" t="s">
        <v>1088</v>
      </c>
      <c r="C591" s="5" t="s">
        <v>1088</v>
      </c>
      <c r="D591" s="7"/>
      <c r="E591" s="5" t="s">
        <v>1203</v>
      </c>
      <c r="F591" s="5" t="s">
        <v>1204</v>
      </c>
      <c r="G591" s="7"/>
      <c r="H591" s="17">
        <v>130.0</v>
      </c>
      <c r="I591" s="7"/>
      <c r="J591" s="18">
        <f t="shared" si="20"/>
        <v>195</v>
      </c>
      <c r="K591" s="18">
        <f t="shared" si="21"/>
        <v>169</v>
      </c>
      <c r="L591" s="19">
        <f t="shared" si="22"/>
        <v>169</v>
      </c>
      <c r="M591" s="19">
        <f t="shared" si="23"/>
        <v>156</v>
      </c>
      <c r="N591" s="19">
        <f t="shared" si="24"/>
        <v>149.5</v>
      </c>
      <c r="O591" s="19">
        <f t="shared" si="25"/>
        <v>143</v>
      </c>
    </row>
    <row r="592">
      <c r="A592" s="38" t="s">
        <v>19</v>
      </c>
      <c r="B592" s="5" t="s">
        <v>1088</v>
      </c>
      <c r="C592" s="5" t="s">
        <v>1088</v>
      </c>
      <c r="D592" s="7"/>
      <c r="E592" s="5" t="s">
        <v>1205</v>
      </c>
      <c r="F592" s="5" t="s">
        <v>1204</v>
      </c>
      <c r="G592" s="7"/>
      <c r="H592" s="17">
        <v>60.0</v>
      </c>
      <c r="I592" s="7"/>
      <c r="J592" s="18">
        <f t="shared" si="20"/>
        <v>90</v>
      </c>
      <c r="K592" s="18">
        <f t="shared" si="21"/>
        <v>78</v>
      </c>
      <c r="L592" s="19">
        <f t="shared" si="22"/>
        <v>78</v>
      </c>
      <c r="M592" s="19">
        <f t="shared" si="23"/>
        <v>72</v>
      </c>
      <c r="N592" s="19">
        <f t="shared" si="24"/>
        <v>69</v>
      </c>
      <c r="O592" s="19">
        <f t="shared" si="25"/>
        <v>66</v>
      </c>
    </row>
    <row r="593">
      <c r="A593" s="38" t="s">
        <v>19</v>
      </c>
      <c r="B593" s="5" t="s">
        <v>1088</v>
      </c>
      <c r="C593" s="5" t="s">
        <v>1088</v>
      </c>
      <c r="D593" s="7"/>
      <c r="E593" s="5" t="s">
        <v>1206</v>
      </c>
      <c r="F593" s="5" t="s">
        <v>1204</v>
      </c>
      <c r="G593" s="7"/>
      <c r="H593" s="17">
        <v>1000.0</v>
      </c>
      <c r="I593" s="7"/>
      <c r="J593" s="18">
        <f t="shared" si="20"/>
        <v>1500</v>
      </c>
      <c r="K593" s="18">
        <f t="shared" si="21"/>
        <v>1300</v>
      </c>
      <c r="L593" s="19">
        <f t="shared" si="22"/>
        <v>1300</v>
      </c>
      <c r="M593" s="19">
        <f t="shared" si="23"/>
        <v>1200</v>
      </c>
      <c r="N593" s="19">
        <f t="shared" si="24"/>
        <v>1150</v>
      </c>
      <c r="O593" s="19">
        <f t="shared" si="25"/>
        <v>1100</v>
      </c>
    </row>
    <row r="594">
      <c r="A594" s="38" t="s">
        <v>19</v>
      </c>
      <c r="B594" s="5" t="s">
        <v>1088</v>
      </c>
      <c r="C594" s="5" t="s">
        <v>1088</v>
      </c>
      <c r="D594" s="7"/>
      <c r="E594" s="5" t="s">
        <v>1207</v>
      </c>
      <c r="F594" s="5" t="s">
        <v>1208</v>
      </c>
      <c r="G594" s="7"/>
      <c r="H594" s="17">
        <v>70.0</v>
      </c>
      <c r="I594" s="7"/>
      <c r="J594" s="18">
        <f t="shared" si="20"/>
        <v>105</v>
      </c>
      <c r="K594" s="18">
        <f t="shared" si="21"/>
        <v>91</v>
      </c>
      <c r="L594" s="19">
        <f t="shared" si="22"/>
        <v>91</v>
      </c>
      <c r="M594" s="19">
        <f t="shared" si="23"/>
        <v>84</v>
      </c>
      <c r="N594" s="19">
        <f t="shared" si="24"/>
        <v>80.5</v>
      </c>
      <c r="O594" s="19">
        <f t="shared" si="25"/>
        <v>77</v>
      </c>
    </row>
    <row r="595">
      <c r="A595" s="38" t="s">
        <v>19</v>
      </c>
      <c r="B595" s="5" t="s">
        <v>1088</v>
      </c>
      <c r="C595" s="5" t="s">
        <v>1088</v>
      </c>
      <c r="D595" s="7"/>
      <c r="E595" s="5" t="s">
        <v>1209</v>
      </c>
      <c r="F595" s="5" t="s">
        <v>1210</v>
      </c>
      <c r="G595" s="7"/>
      <c r="H595" s="17">
        <v>20.0</v>
      </c>
      <c r="I595" s="7"/>
      <c r="J595" s="18">
        <f t="shared" si="20"/>
        <v>30</v>
      </c>
      <c r="K595" s="18">
        <f t="shared" si="21"/>
        <v>26</v>
      </c>
      <c r="L595" s="19">
        <f t="shared" si="22"/>
        <v>26</v>
      </c>
      <c r="M595" s="19">
        <f t="shared" si="23"/>
        <v>24</v>
      </c>
      <c r="N595" s="19">
        <f t="shared" si="24"/>
        <v>23</v>
      </c>
      <c r="O595" s="19">
        <f t="shared" si="25"/>
        <v>22</v>
      </c>
    </row>
    <row r="596">
      <c r="A596" s="38" t="s">
        <v>19</v>
      </c>
      <c r="B596" s="5" t="s">
        <v>1088</v>
      </c>
      <c r="C596" s="5" t="s">
        <v>1088</v>
      </c>
      <c r="D596" s="7"/>
      <c r="E596" s="5" t="s">
        <v>1211</v>
      </c>
      <c r="F596" s="5" t="s">
        <v>1212</v>
      </c>
      <c r="G596" s="7"/>
      <c r="H596" s="17">
        <v>250.0</v>
      </c>
      <c r="I596" s="7"/>
      <c r="J596" s="18">
        <f t="shared" si="20"/>
        <v>375</v>
      </c>
      <c r="K596" s="18">
        <f t="shared" si="21"/>
        <v>325</v>
      </c>
      <c r="L596" s="19">
        <f t="shared" si="22"/>
        <v>325</v>
      </c>
      <c r="M596" s="19">
        <f t="shared" si="23"/>
        <v>300</v>
      </c>
      <c r="N596" s="19">
        <f t="shared" si="24"/>
        <v>287.5</v>
      </c>
      <c r="O596" s="19">
        <f t="shared" si="25"/>
        <v>275</v>
      </c>
    </row>
    <row r="597">
      <c r="A597" s="38" t="s">
        <v>19</v>
      </c>
      <c r="B597" s="5" t="s">
        <v>1088</v>
      </c>
      <c r="C597" s="5" t="s">
        <v>1088</v>
      </c>
      <c r="D597" s="7"/>
      <c r="E597" s="5" t="s">
        <v>1213</v>
      </c>
      <c r="F597" s="5" t="s">
        <v>1214</v>
      </c>
      <c r="G597" s="7"/>
      <c r="H597" s="17">
        <v>20.0</v>
      </c>
      <c r="I597" s="7"/>
      <c r="J597" s="18">
        <f t="shared" si="20"/>
        <v>30</v>
      </c>
      <c r="K597" s="18">
        <f t="shared" si="21"/>
        <v>26</v>
      </c>
      <c r="L597" s="19">
        <f t="shared" si="22"/>
        <v>26</v>
      </c>
      <c r="M597" s="19">
        <f t="shared" si="23"/>
        <v>24</v>
      </c>
      <c r="N597" s="19">
        <f t="shared" si="24"/>
        <v>23</v>
      </c>
      <c r="O597" s="19">
        <f t="shared" si="25"/>
        <v>22</v>
      </c>
    </row>
    <row r="598">
      <c r="A598" s="38" t="s">
        <v>19</v>
      </c>
      <c r="B598" s="5" t="s">
        <v>1088</v>
      </c>
      <c r="C598" s="5" t="s">
        <v>1088</v>
      </c>
      <c r="D598" s="7"/>
      <c r="E598" s="5" t="s">
        <v>1213</v>
      </c>
      <c r="F598" s="5" t="s">
        <v>1215</v>
      </c>
      <c r="G598" s="7"/>
      <c r="H598" s="17">
        <v>20.0</v>
      </c>
      <c r="I598" s="7"/>
      <c r="J598" s="18">
        <f t="shared" si="20"/>
        <v>30</v>
      </c>
      <c r="K598" s="18">
        <f t="shared" si="21"/>
        <v>26</v>
      </c>
      <c r="L598" s="19">
        <f t="shared" si="22"/>
        <v>26</v>
      </c>
      <c r="M598" s="19">
        <f t="shared" si="23"/>
        <v>24</v>
      </c>
      <c r="N598" s="19">
        <f t="shared" si="24"/>
        <v>23</v>
      </c>
      <c r="O598" s="19">
        <f t="shared" si="25"/>
        <v>22</v>
      </c>
    </row>
    <row r="599">
      <c r="A599" s="38" t="s">
        <v>19</v>
      </c>
      <c r="B599" s="5" t="s">
        <v>1088</v>
      </c>
      <c r="C599" s="5" t="s">
        <v>1088</v>
      </c>
      <c r="D599" s="7"/>
      <c r="E599" s="5" t="s">
        <v>1213</v>
      </c>
      <c r="F599" s="5" t="s">
        <v>1216</v>
      </c>
      <c r="G599" s="7"/>
      <c r="H599" s="17">
        <v>20.0</v>
      </c>
      <c r="I599" s="7"/>
      <c r="J599" s="18">
        <f t="shared" si="20"/>
        <v>30</v>
      </c>
      <c r="K599" s="18">
        <f t="shared" si="21"/>
        <v>26</v>
      </c>
      <c r="L599" s="19">
        <f t="shared" si="22"/>
        <v>26</v>
      </c>
      <c r="M599" s="19">
        <f t="shared" si="23"/>
        <v>24</v>
      </c>
      <c r="N599" s="19">
        <f t="shared" si="24"/>
        <v>23</v>
      </c>
      <c r="O599" s="19">
        <f t="shared" si="25"/>
        <v>22</v>
      </c>
    </row>
    <row r="600">
      <c r="A600" s="38" t="s">
        <v>19</v>
      </c>
      <c r="B600" s="5" t="s">
        <v>1088</v>
      </c>
      <c r="C600" s="5" t="s">
        <v>1088</v>
      </c>
      <c r="D600" s="7"/>
      <c r="E600" s="5" t="s">
        <v>1217</v>
      </c>
      <c r="F600" s="5" t="s">
        <v>1218</v>
      </c>
      <c r="G600" s="7"/>
      <c r="H600" s="17">
        <v>30.0</v>
      </c>
      <c r="I600" s="7"/>
      <c r="J600" s="18">
        <f t="shared" si="20"/>
        <v>45</v>
      </c>
      <c r="K600" s="18">
        <f t="shared" si="21"/>
        <v>39</v>
      </c>
      <c r="L600" s="19">
        <f t="shared" si="22"/>
        <v>39</v>
      </c>
      <c r="M600" s="19">
        <f t="shared" si="23"/>
        <v>36</v>
      </c>
      <c r="N600" s="19">
        <f t="shared" si="24"/>
        <v>34.5</v>
      </c>
      <c r="O600" s="19">
        <f t="shared" si="25"/>
        <v>33</v>
      </c>
    </row>
    <row r="601">
      <c r="A601" s="38" t="s">
        <v>19</v>
      </c>
      <c r="B601" s="5" t="s">
        <v>1088</v>
      </c>
      <c r="C601" s="5" t="s">
        <v>1088</v>
      </c>
      <c r="D601" s="7"/>
      <c r="E601" s="5" t="s">
        <v>1217</v>
      </c>
      <c r="F601" s="5" t="s">
        <v>1219</v>
      </c>
      <c r="G601" s="7"/>
      <c r="H601" s="17">
        <v>30.0</v>
      </c>
      <c r="I601" s="7"/>
      <c r="J601" s="18">
        <f t="shared" si="20"/>
        <v>45</v>
      </c>
      <c r="K601" s="18">
        <f t="shared" si="21"/>
        <v>39</v>
      </c>
      <c r="L601" s="19">
        <f t="shared" si="22"/>
        <v>39</v>
      </c>
      <c r="M601" s="19">
        <f t="shared" si="23"/>
        <v>36</v>
      </c>
      <c r="N601" s="19">
        <f t="shared" si="24"/>
        <v>34.5</v>
      </c>
      <c r="O601" s="19">
        <f t="shared" si="25"/>
        <v>33</v>
      </c>
    </row>
    <row r="602">
      <c r="A602" s="38" t="s">
        <v>19</v>
      </c>
      <c r="B602" s="5" t="s">
        <v>1088</v>
      </c>
      <c r="C602" s="5" t="s">
        <v>1088</v>
      </c>
      <c r="D602" s="7"/>
      <c r="E602" s="5" t="s">
        <v>1220</v>
      </c>
      <c r="F602" s="5" t="s">
        <v>1221</v>
      </c>
      <c r="G602" s="7"/>
      <c r="H602" s="17">
        <v>50.0</v>
      </c>
      <c r="I602" s="7"/>
      <c r="J602" s="18">
        <f t="shared" si="20"/>
        <v>75</v>
      </c>
      <c r="K602" s="18">
        <f t="shared" si="21"/>
        <v>65</v>
      </c>
      <c r="L602" s="19">
        <f t="shared" si="22"/>
        <v>65</v>
      </c>
      <c r="M602" s="19">
        <f t="shared" si="23"/>
        <v>60</v>
      </c>
      <c r="N602" s="19">
        <f t="shared" si="24"/>
        <v>57.5</v>
      </c>
      <c r="O602" s="19">
        <f t="shared" si="25"/>
        <v>55</v>
      </c>
    </row>
    <row r="603">
      <c r="A603" s="38" t="s">
        <v>19</v>
      </c>
      <c r="B603" s="5" t="s">
        <v>1088</v>
      </c>
      <c r="C603" s="5" t="s">
        <v>1088</v>
      </c>
      <c r="D603" s="7"/>
      <c r="E603" s="5" t="s">
        <v>1220</v>
      </c>
      <c r="F603" s="5" t="s">
        <v>1222</v>
      </c>
      <c r="G603" s="7"/>
      <c r="H603" s="17">
        <v>40.0</v>
      </c>
      <c r="I603" s="7"/>
      <c r="J603" s="18">
        <f t="shared" si="20"/>
        <v>60</v>
      </c>
      <c r="K603" s="18">
        <f t="shared" si="21"/>
        <v>52</v>
      </c>
      <c r="L603" s="19">
        <f t="shared" si="22"/>
        <v>52</v>
      </c>
      <c r="M603" s="19">
        <f t="shared" si="23"/>
        <v>48</v>
      </c>
      <c r="N603" s="19">
        <f t="shared" si="24"/>
        <v>46</v>
      </c>
      <c r="O603" s="19">
        <f t="shared" si="25"/>
        <v>44</v>
      </c>
    </row>
    <row r="604">
      <c r="A604" s="38" t="s">
        <v>19</v>
      </c>
      <c r="B604" s="5" t="s">
        <v>1088</v>
      </c>
      <c r="C604" s="5" t="s">
        <v>1088</v>
      </c>
      <c r="D604" s="7"/>
      <c r="E604" s="5" t="s">
        <v>1220</v>
      </c>
      <c r="F604" s="5" t="s">
        <v>1223</v>
      </c>
      <c r="G604" s="7"/>
      <c r="H604" s="17">
        <v>40.0</v>
      </c>
      <c r="I604" s="7"/>
      <c r="J604" s="18">
        <f t="shared" si="20"/>
        <v>60</v>
      </c>
      <c r="K604" s="18">
        <f t="shared" si="21"/>
        <v>52</v>
      </c>
      <c r="L604" s="19">
        <f t="shared" si="22"/>
        <v>52</v>
      </c>
      <c r="M604" s="19">
        <f t="shared" si="23"/>
        <v>48</v>
      </c>
      <c r="N604" s="19">
        <f t="shared" si="24"/>
        <v>46</v>
      </c>
      <c r="O604" s="19">
        <f t="shared" si="25"/>
        <v>44</v>
      </c>
    </row>
    <row r="605">
      <c r="A605" s="38" t="s">
        <v>19</v>
      </c>
      <c r="B605" s="5" t="s">
        <v>1088</v>
      </c>
      <c r="C605" s="5" t="s">
        <v>1088</v>
      </c>
      <c r="D605" s="7"/>
      <c r="E605" s="5" t="s">
        <v>1220</v>
      </c>
      <c r="F605" s="5" t="s">
        <v>1224</v>
      </c>
      <c r="G605" s="7"/>
      <c r="H605" s="17">
        <v>30.0</v>
      </c>
      <c r="I605" s="7"/>
      <c r="J605" s="18">
        <f t="shared" si="20"/>
        <v>45</v>
      </c>
      <c r="K605" s="18">
        <f t="shared" si="21"/>
        <v>39</v>
      </c>
      <c r="L605" s="19">
        <f t="shared" si="22"/>
        <v>39</v>
      </c>
      <c r="M605" s="19">
        <f t="shared" si="23"/>
        <v>36</v>
      </c>
      <c r="N605" s="19">
        <f t="shared" si="24"/>
        <v>34.5</v>
      </c>
      <c r="O605" s="19">
        <f t="shared" si="25"/>
        <v>33</v>
      </c>
    </row>
    <row r="606">
      <c r="A606" s="38" t="s">
        <v>19</v>
      </c>
      <c r="B606" s="5" t="s">
        <v>1088</v>
      </c>
      <c r="C606" s="5" t="s">
        <v>1088</v>
      </c>
      <c r="D606" s="7"/>
      <c r="E606" s="5" t="s">
        <v>1220</v>
      </c>
      <c r="F606" s="5" t="s">
        <v>1225</v>
      </c>
      <c r="G606" s="7"/>
      <c r="H606" s="17">
        <v>30.0</v>
      </c>
      <c r="I606" s="7"/>
      <c r="J606" s="18">
        <f t="shared" si="20"/>
        <v>45</v>
      </c>
      <c r="K606" s="18">
        <f t="shared" si="21"/>
        <v>39</v>
      </c>
      <c r="L606" s="19">
        <f t="shared" si="22"/>
        <v>39</v>
      </c>
      <c r="M606" s="19">
        <f t="shared" si="23"/>
        <v>36</v>
      </c>
      <c r="N606" s="19">
        <f t="shared" si="24"/>
        <v>34.5</v>
      </c>
      <c r="O606" s="19">
        <f t="shared" si="25"/>
        <v>33</v>
      </c>
    </row>
    <row r="607">
      <c r="A607" s="38" t="s">
        <v>19</v>
      </c>
      <c r="B607" s="5" t="s">
        <v>1088</v>
      </c>
      <c r="C607" s="5" t="s">
        <v>1088</v>
      </c>
      <c r="D607" s="7"/>
      <c r="E607" s="5" t="s">
        <v>1207</v>
      </c>
      <c r="F607" s="5" t="s">
        <v>1226</v>
      </c>
      <c r="G607" s="7"/>
      <c r="H607" s="17">
        <v>70.0</v>
      </c>
      <c r="I607" s="7"/>
      <c r="J607" s="18">
        <f t="shared" si="20"/>
        <v>105</v>
      </c>
      <c r="K607" s="18">
        <f t="shared" si="21"/>
        <v>91</v>
      </c>
      <c r="L607" s="19">
        <f t="shared" si="22"/>
        <v>91</v>
      </c>
      <c r="M607" s="19">
        <f t="shared" si="23"/>
        <v>84</v>
      </c>
      <c r="N607" s="19">
        <f t="shared" si="24"/>
        <v>80.5</v>
      </c>
      <c r="O607" s="19">
        <f t="shared" si="25"/>
        <v>77</v>
      </c>
    </row>
    <row r="608">
      <c r="A608" s="38" t="s">
        <v>19</v>
      </c>
      <c r="B608" s="5" t="s">
        <v>1088</v>
      </c>
      <c r="C608" s="5" t="s">
        <v>1088</v>
      </c>
      <c r="D608" s="7"/>
      <c r="E608" s="5" t="s">
        <v>1227</v>
      </c>
      <c r="F608" s="5" t="s">
        <v>1228</v>
      </c>
      <c r="G608" s="7"/>
      <c r="H608" s="17">
        <v>350.0</v>
      </c>
      <c r="I608" s="7"/>
      <c r="J608" s="18">
        <f t="shared" si="20"/>
        <v>525</v>
      </c>
      <c r="K608" s="18">
        <f t="shared" si="21"/>
        <v>455</v>
      </c>
      <c r="L608" s="19">
        <f t="shared" si="22"/>
        <v>455</v>
      </c>
      <c r="M608" s="19">
        <f t="shared" si="23"/>
        <v>420</v>
      </c>
      <c r="N608" s="19">
        <f t="shared" si="24"/>
        <v>402.5</v>
      </c>
      <c r="O608" s="19">
        <f t="shared" si="25"/>
        <v>385</v>
      </c>
    </row>
    <row r="609">
      <c r="A609" s="38" t="s">
        <v>19</v>
      </c>
      <c r="B609" s="5" t="s">
        <v>1088</v>
      </c>
      <c r="C609" s="5" t="s">
        <v>1088</v>
      </c>
      <c r="D609" s="7"/>
      <c r="E609" s="5" t="s">
        <v>1227</v>
      </c>
      <c r="F609" s="5" t="s">
        <v>1229</v>
      </c>
      <c r="G609" s="7"/>
      <c r="H609" s="17">
        <v>250.0</v>
      </c>
      <c r="I609" s="7"/>
      <c r="J609" s="18">
        <f t="shared" si="20"/>
        <v>375</v>
      </c>
      <c r="K609" s="18">
        <f t="shared" si="21"/>
        <v>325</v>
      </c>
      <c r="L609" s="19">
        <f t="shared" si="22"/>
        <v>325</v>
      </c>
      <c r="M609" s="19">
        <f t="shared" si="23"/>
        <v>300</v>
      </c>
      <c r="N609" s="19">
        <f t="shared" si="24"/>
        <v>287.5</v>
      </c>
      <c r="O609" s="19">
        <f t="shared" si="25"/>
        <v>275</v>
      </c>
    </row>
    <row r="610">
      <c r="A610" s="38" t="s">
        <v>19</v>
      </c>
      <c r="B610" s="5" t="s">
        <v>1088</v>
      </c>
      <c r="C610" s="5" t="s">
        <v>1088</v>
      </c>
      <c r="D610" s="7"/>
      <c r="E610" s="5" t="s">
        <v>1230</v>
      </c>
      <c r="F610" s="5" t="s">
        <v>1231</v>
      </c>
      <c r="G610" s="7"/>
      <c r="H610" s="17">
        <v>70.0</v>
      </c>
      <c r="I610" s="7"/>
      <c r="J610" s="18">
        <f t="shared" si="20"/>
        <v>105</v>
      </c>
      <c r="K610" s="18">
        <f t="shared" si="21"/>
        <v>91</v>
      </c>
      <c r="L610" s="19">
        <f t="shared" si="22"/>
        <v>91</v>
      </c>
      <c r="M610" s="19">
        <f t="shared" si="23"/>
        <v>84</v>
      </c>
      <c r="N610" s="19">
        <f t="shared" si="24"/>
        <v>80.5</v>
      </c>
      <c r="O610" s="19">
        <f t="shared" si="25"/>
        <v>77</v>
      </c>
    </row>
    <row r="611">
      <c r="A611" s="38" t="s">
        <v>19</v>
      </c>
      <c r="B611" s="5" t="s">
        <v>1088</v>
      </c>
      <c r="C611" s="5" t="s">
        <v>1088</v>
      </c>
      <c r="D611" s="7"/>
      <c r="E611" s="5" t="s">
        <v>1232</v>
      </c>
      <c r="F611" s="5" t="s">
        <v>1233</v>
      </c>
      <c r="G611" s="7"/>
      <c r="H611" s="17">
        <v>650.0</v>
      </c>
      <c r="I611" s="7"/>
      <c r="J611" s="18">
        <f t="shared" si="20"/>
        <v>975</v>
      </c>
      <c r="K611" s="18">
        <f t="shared" si="21"/>
        <v>845</v>
      </c>
      <c r="L611" s="19">
        <f t="shared" si="22"/>
        <v>845</v>
      </c>
      <c r="M611" s="19">
        <f t="shared" si="23"/>
        <v>780</v>
      </c>
      <c r="N611" s="19">
        <f t="shared" si="24"/>
        <v>747.5</v>
      </c>
      <c r="O611" s="19">
        <f t="shared" si="25"/>
        <v>715</v>
      </c>
    </row>
    <row r="612">
      <c r="A612" s="38" t="s">
        <v>19</v>
      </c>
      <c r="B612" s="5" t="s">
        <v>1088</v>
      </c>
      <c r="C612" s="5" t="s">
        <v>1088</v>
      </c>
      <c r="D612" s="7"/>
      <c r="E612" s="5" t="s">
        <v>1234</v>
      </c>
      <c r="F612" s="7"/>
      <c r="G612" s="7"/>
      <c r="H612" s="17">
        <v>5000.0</v>
      </c>
      <c r="I612" s="7"/>
      <c r="J612" s="18">
        <f t="shared" si="20"/>
        <v>7500</v>
      </c>
      <c r="K612" s="18">
        <f t="shared" si="21"/>
        <v>6500</v>
      </c>
      <c r="L612" s="19">
        <f t="shared" si="22"/>
        <v>6500</v>
      </c>
      <c r="M612" s="19">
        <f t="shared" si="23"/>
        <v>6000</v>
      </c>
      <c r="N612" s="19">
        <f t="shared" si="24"/>
        <v>5750</v>
      </c>
      <c r="O612" s="19">
        <f t="shared" si="25"/>
        <v>5500</v>
      </c>
    </row>
    <row r="613">
      <c r="A613" s="38" t="s">
        <v>19</v>
      </c>
      <c r="B613" s="5" t="s">
        <v>1088</v>
      </c>
      <c r="C613" s="5" t="s">
        <v>1088</v>
      </c>
      <c r="D613" s="7"/>
      <c r="E613" s="5" t="s">
        <v>1235</v>
      </c>
      <c r="F613" s="7"/>
      <c r="G613" s="7"/>
      <c r="H613" s="17">
        <v>400.0</v>
      </c>
      <c r="I613" s="7"/>
      <c r="J613" s="18">
        <f t="shared" si="20"/>
        <v>600</v>
      </c>
      <c r="K613" s="18">
        <f t="shared" si="21"/>
        <v>520</v>
      </c>
      <c r="L613" s="19">
        <f t="shared" si="22"/>
        <v>520</v>
      </c>
      <c r="M613" s="19">
        <f t="shared" si="23"/>
        <v>480</v>
      </c>
      <c r="N613" s="19">
        <f t="shared" si="24"/>
        <v>460</v>
      </c>
      <c r="O613" s="19">
        <f t="shared" si="25"/>
        <v>440</v>
      </c>
    </row>
    <row r="614">
      <c r="A614" s="38" t="s">
        <v>19</v>
      </c>
      <c r="B614" s="5" t="s">
        <v>1088</v>
      </c>
      <c r="C614" s="5" t="s">
        <v>1088</v>
      </c>
      <c r="D614" s="7"/>
      <c r="E614" s="5" t="s">
        <v>1236</v>
      </c>
      <c r="F614" s="7"/>
      <c r="G614" s="7"/>
      <c r="H614" s="17">
        <v>40.0</v>
      </c>
      <c r="I614" s="7"/>
      <c r="J614" s="18">
        <f t="shared" si="20"/>
        <v>60</v>
      </c>
      <c r="K614" s="18">
        <f t="shared" si="21"/>
        <v>52</v>
      </c>
      <c r="L614" s="19">
        <f t="shared" si="22"/>
        <v>52</v>
      </c>
      <c r="M614" s="19">
        <f t="shared" si="23"/>
        <v>48</v>
      </c>
      <c r="N614" s="19">
        <f t="shared" si="24"/>
        <v>46</v>
      </c>
      <c r="O614" s="19">
        <f t="shared" si="25"/>
        <v>44</v>
      </c>
    </row>
    <row r="615">
      <c r="A615" s="38" t="s">
        <v>19</v>
      </c>
      <c r="B615" s="5" t="s">
        <v>1088</v>
      </c>
      <c r="C615" s="5" t="s">
        <v>1088</v>
      </c>
      <c r="D615" s="7"/>
      <c r="E615" s="5" t="s">
        <v>1237</v>
      </c>
      <c r="F615" s="7"/>
      <c r="G615" s="7"/>
      <c r="H615" s="17">
        <v>2500.0</v>
      </c>
      <c r="I615" s="7"/>
      <c r="J615" s="18">
        <f t="shared" si="20"/>
        <v>3750</v>
      </c>
      <c r="K615" s="18">
        <f t="shared" si="21"/>
        <v>3250</v>
      </c>
      <c r="L615" s="19">
        <f t="shared" si="22"/>
        <v>3250</v>
      </c>
      <c r="M615" s="19">
        <f t="shared" si="23"/>
        <v>3000</v>
      </c>
      <c r="N615" s="19">
        <f t="shared" si="24"/>
        <v>2875</v>
      </c>
      <c r="O615" s="19">
        <f t="shared" si="25"/>
        <v>2750</v>
      </c>
    </row>
    <row r="616">
      <c r="A616" s="38" t="s">
        <v>19</v>
      </c>
      <c r="B616" s="5" t="s">
        <v>1088</v>
      </c>
      <c r="C616" s="5" t="s">
        <v>1088</v>
      </c>
      <c r="D616" s="7"/>
      <c r="E616" s="5" t="s">
        <v>1238</v>
      </c>
      <c r="F616" s="7"/>
      <c r="G616" s="7"/>
      <c r="H616" s="17">
        <v>40.0</v>
      </c>
      <c r="I616" s="7"/>
      <c r="J616" s="18">
        <f t="shared" si="20"/>
        <v>60</v>
      </c>
      <c r="K616" s="18">
        <f t="shared" si="21"/>
        <v>52</v>
      </c>
      <c r="L616" s="19">
        <f t="shared" si="22"/>
        <v>52</v>
      </c>
      <c r="M616" s="19">
        <f t="shared" si="23"/>
        <v>48</v>
      </c>
      <c r="N616" s="19">
        <f t="shared" si="24"/>
        <v>46</v>
      </c>
      <c r="O616" s="19">
        <f t="shared" si="25"/>
        <v>44</v>
      </c>
    </row>
    <row r="617">
      <c r="A617" s="38" t="s">
        <v>19</v>
      </c>
      <c r="B617" s="5" t="s">
        <v>1088</v>
      </c>
      <c r="C617" s="5" t="s">
        <v>1088</v>
      </c>
      <c r="D617" s="7"/>
      <c r="E617" s="5" t="s">
        <v>1239</v>
      </c>
      <c r="F617" s="7"/>
      <c r="G617" s="7"/>
      <c r="H617" s="17">
        <v>40.0</v>
      </c>
      <c r="I617" s="7"/>
      <c r="J617" s="18">
        <f t="shared" si="20"/>
        <v>60</v>
      </c>
      <c r="K617" s="18">
        <f t="shared" si="21"/>
        <v>52</v>
      </c>
      <c r="L617" s="19">
        <f t="shared" si="22"/>
        <v>52</v>
      </c>
      <c r="M617" s="19">
        <f t="shared" si="23"/>
        <v>48</v>
      </c>
      <c r="N617" s="19">
        <f t="shared" si="24"/>
        <v>46</v>
      </c>
      <c r="O617" s="19">
        <f t="shared" si="25"/>
        <v>44</v>
      </c>
    </row>
    <row r="618">
      <c r="A618" s="38" t="s">
        <v>19</v>
      </c>
      <c r="B618" s="5" t="s">
        <v>1088</v>
      </c>
      <c r="C618" s="5" t="s">
        <v>1088</v>
      </c>
      <c r="D618" s="7"/>
      <c r="E618" s="5" t="s">
        <v>1240</v>
      </c>
      <c r="F618" s="7"/>
      <c r="G618" s="7"/>
      <c r="H618" s="17">
        <v>130.0</v>
      </c>
      <c r="I618" s="7"/>
      <c r="J618" s="18">
        <f t="shared" si="20"/>
        <v>195</v>
      </c>
      <c r="K618" s="18">
        <f t="shared" si="21"/>
        <v>169</v>
      </c>
      <c r="L618" s="19">
        <f t="shared" si="22"/>
        <v>169</v>
      </c>
      <c r="M618" s="19">
        <f t="shared" si="23"/>
        <v>156</v>
      </c>
      <c r="N618" s="19">
        <f t="shared" si="24"/>
        <v>149.5</v>
      </c>
      <c r="O618" s="19">
        <f t="shared" si="25"/>
        <v>143</v>
      </c>
    </row>
    <row r="619">
      <c r="A619" s="38" t="s">
        <v>19</v>
      </c>
      <c r="B619" s="5" t="s">
        <v>1088</v>
      </c>
      <c r="C619" s="5" t="s">
        <v>1088</v>
      </c>
      <c r="D619" s="7"/>
      <c r="E619" s="5" t="s">
        <v>1241</v>
      </c>
      <c r="F619" s="7"/>
      <c r="G619" s="7"/>
      <c r="H619" s="17">
        <v>30.0</v>
      </c>
      <c r="I619" s="7"/>
      <c r="J619" s="18">
        <f t="shared" si="20"/>
        <v>45</v>
      </c>
      <c r="K619" s="18">
        <f t="shared" si="21"/>
        <v>39</v>
      </c>
      <c r="L619" s="19">
        <f t="shared" si="22"/>
        <v>39</v>
      </c>
      <c r="M619" s="19">
        <f t="shared" si="23"/>
        <v>36</v>
      </c>
      <c r="N619" s="19">
        <f t="shared" si="24"/>
        <v>34.5</v>
      </c>
      <c r="O619" s="19">
        <f t="shared" si="25"/>
        <v>33</v>
      </c>
    </row>
    <row r="620">
      <c r="A620" s="38" t="s">
        <v>19</v>
      </c>
      <c r="B620" s="5" t="s">
        <v>1088</v>
      </c>
      <c r="C620" s="5" t="s">
        <v>1088</v>
      </c>
      <c r="D620" s="7"/>
      <c r="E620" s="5" t="s">
        <v>1242</v>
      </c>
      <c r="F620" s="7"/>
      <c r="G620" s="7"/>
      <c r="H620" s="17">
        <v>40.0</v>
      </c>
      <c r="I620" s="7"/>
      <c r="J620" s="18">
        <f t="shared" si="20"/>
        <v>60</v>
      </c>
      <c r="K620" s="18">
        <f t="shared" si="21"/>
        <v>52</v>
      </c>
      <c r="L620" s="19">
        <f t="shared" si="22"/>
        <v>52</v>
      </c>
      <c r="M620" s="19">
        <f t="shared" si="23"/>
        <v>48</v>
      </c>
      <c r="N620" s="19">
        <f t="shared" si="24"/>
        <v>46</v>
      </c>
      <c r="O620" s="19">
        <f t="shared" si="25"/>
        <v>44</v>
      </c>
    </row>
    <row r="621">
      <c r="A621" s="38" t="s">
        <v>19</v>
      </c>
      <c r="B621" s="5" t="s">
        <v>1088</v>
      </c>
      <c r="C621" s="5" t="s">
        <v>1088</v>
      </c>
      <c r="D621" s="7"/>
      <c r="E621" s="5" t="s">
        <v>1243</v>
      </c>
      <c r="F621" s="7"/>
      <c r="G621" s="7"/>
      <c r="H621" s="17">
        <v>250.0</v>
      </c>
      <c r="I621" s="7"/>
      <c r="J621" s="18">
        <f t="shared" si="20"/>
        <v>375</v>
      </c>
      <c r="K621" s="18">
        <f t="shared" si="21"/>
        <v>325</v>
      </c>
      <c r="L621" s="19">
        <f t="shared" si="22"/>
        <v>325</v>
      </c>
      <c r="M621" s="19">
        <f t="shared" si="23"/>
        <v>300</v>
      </c>
      <c r="N621" s="19">
        <f t="shared" si="24"/>
        <v>287.5</v>
      </c>
      <c r="O621" s="19">
        <f t="shared" si="25"/>
        <v>275</v>
      </c>
    </row>
    <row r="622">
      <c r="A622" s="38" t="s">
        <v>19</v>
      </c>
      <c r="B622" s="5" t="s">
        <v>1088</v>
      </c>
      <c r="C622" s="5" t="s">
        <v>1088</v>
      </c>
      <c r="D622" s="7"/>
      <c r="E622" s="5" t="s">
        <v>1244</v>
      </c>
      <c r="F622" s="7"/>
      <c r="G622" s="7"/>
      <c r="H622" s="17">
        <v>370.0</v>
      </c>
      <c r="I622" s="7"/>
      <c r="J622" s="18">
        <f t="shared" si="20"/>
        <v>555</v>
      </c>
      <c r="K622" s="18">
        <f t="shared" si="21"/>
        <v>481</v>
      </c>
      <c r="L622" s="19">
        <f t="shared" si="22"/>
        <v>481</v>
      </c>
      <c r="M622" s="19">
        <f t="shared" si="23"/>
        <v>444</v>
      </c>
      <c r="N622" s="19">
        <f t="shared" si="24"/>
        <v>425.5</v>
      </c>
      <c r="O622" s="19">
        <f t="shared" si="25"/>
        <v>407</v>
      </c>
    </row>
    <row r="623">
      <c r="A623" s="38" t="s">
        <v>19</v>
      </c>
      <c r="B623" s="5" t="s">
        <v>1088</v>
      </c>
      <c r="C623" s="5" t="s">
        <v>1088</v>
      </c>
      <c r="D623" s="7"/>
      <c r="E623" s="5" t="s">
        <v>1245</v>
      </c>
      <c r="F623" s="7"/>
      <c r="G623" s="7"/>
      <c r="H623" s="17">
        <v>20.0</v>
      </c>
      <c r="I623" s="7"/>
      <c r="J623" s="18">
        <f t="shared" si="20"/>
        <v>30</v>
      </c>
      <c r="K623" s="18">
        <f t="shared" si="21"/>
        <v>26</v>
      </c>
      <c r="L623" s="19">
        <f t="shared" si="22"/>
        <v>26</v>
      </c>
      <c r="M623" s="19">
        <f t="shared" si="23"/>
        <v>24</v>
      </c>
      <c r="N623" s="19">
        <f t="shared" si="24"/>
        <v>23</v>
      </c>
      <c r="O623" s="19">
        <f t="shared" si="25"/>
        <v>22</v>
      </c>
    </row>
    <row r="624">
      <c r="A624" s="38" t="s">
        <v>19</v>
      </c>
      <c r="B624" s="5" t="s">
        <v>1088</v>
      </c>
      <c r="C624" s="5" t="s">
        <v>1088</v>
      </c>
      <c r="D624" s="7"/>
      <c r="E624" s="5" t="s">
        <v>1246</v>
      </c>
      <c r="F624" s="7"/>
      <c r="G624" s="7"/>
      <c r="H624" s="17">
        <v>1850.0</v>
      </c>
      <c r="I624" s="7"/>
      <c r="J624" s="18">
        <f t="shared" si="20"/>
        <v>2775</v>
      </c>
      <c r="K624" s="18">
        <f t="shared" si="21"/>
        <v>2405</v>
      </c>
      <c r="L624" s="19">
        <f t="shared" si="22"/>
        <v>2405</v>
      </c>
      <c r="M624" s="19">
        <f t="shared" si="23"/>
        <v>2220</v>
      </c>
      <c r="N624" s="19">
        <f t="shared" si="24"/>
        <v>2127.5</v>
      </c>
      <c r="O624" s="19">
        <f t="shared" si="25"/>
        <v>2035</v>
      </c>
    </row>
    <row r="625">
      <c r="A625" s="38" t="s">
        <v>19</v>
      </c>
      <c r="B625" s="5" t="s">
        <v>1088</v>
      </c>
      <c r="C625" s="5" t="s">
        <v>1088</v>
      </c>
      <c r="D625" s="7"/>
      <c r="E625" s="5" t="s">
        <v>1247</v>
      </c>
      <c r="F625" s="5" t="s">
        <v>1248</v>
      </c>
      <c r="G625" s="7"/>
      <c r="H625" s="17">
        <v>2500.0</v>
      </c>
      <c r="I625" s="7"/>
      <c r="J625" s="18">
        <f t="shared" si="20"/>
        <v>3750</v>
      </c>
      <c r="K625" s="18">
        <f t="shared" si="21"/>
        <v>3250</v>
      </c>
      <c r="L625" s="19">
        <f t="shared" si="22"/>
        <v>3250</v>
      </c>
      <c r="M625" s="19">
        <f t="shared" si="23"/>
        <v>3000</v>
      </c>
      <c r="N625" s="19">
        <f t="shared" si="24"/>
        <v>2875</v>
      </c>
      <c r="O625" s="19">
        <f t="shared" si="25"/>
        <v>2750</v>
      </c>
    </row>
    <row r="626">
      <c r="A626" s="38" t="s">
        <v>19</v>
      </c>
      <c r="B626" s="5" t="s">
        <v>1088</v>
      </c>
      <c r="C626" s="5" t="s">
        <v>1088</v>
      </c>
      <c r="D626" s="7"/>
      <c r="E626" s="7"/>
      <c r="F626" s="7"/>
      <c r="G626" s="7"/>
      <c r="H626" s="17">
        <v>40.0</v>
      </c>
      <c r="I626" s="7"/>
      <c r="J626" s="18">
        <f t="shared" si="20"/>
        <v>60</v>
      </c>
      <c r="K626" s="18">
        <f t="shared" si="21"/>
        <v>52</v>
      </c>
      <c r="L626" s="19">
        <f t="shared" si="22"/>
        <v>52</v>
      </c>
      <c r="M626" s="19">
        <f t="shared" si="23"/>
        <v>48</v>
      </c>
      <c r="N626" s="19">
        <f t="shared" si="24"/>
        <v>46</v>
      </c>
      <c r="O626" s="19">
        <f t="shared" si="25"/>
        <v>44</v>
      </c>
    </row>
    <row r="627">
      <c r="A627" s="38" t="s">
        <v>19</v>
      </c>
      <c r="B627" s="5" t="s">
        <v>1088</v>
      </c>
      <c r="C627" s="5" t="s">
        <v>1088</v>
      </c>
      <c r="D627" s="7"/>
      <c r="E627" s="5" t="s">
        <v>1249</v>
      </c>
      <c r="F627" s="7"/>
      <c r="G627" s="7"/>
      <c r="H627" s="17">
        <v>500.0</v>
      </c>
      <c r="I627" s="7"/>
      <c r="J627" s="18">
        <f t="shared" si="20"/>
        <v>750</v>
      </c>
      <c r="K627" s="18">
        <f t="shared" si="21"/>
        <v>650</v>
      </c>
      <c r="L627" s="19">
        <f t="shared" si="22"/>
        <v>650</v>
      </c>
      <c r="M627" s="19">
        <f t="shared" si="23"/>
        <v>600</v>
      </c>
      <c r="N627" s="19">
        <f t="shared" si="24"/>
        <v>575</v>
      </c>
      <c r="O627" s="19">
        <f t="shared" si="25"/>
        <v>550</v>
      </c>
    </row>
    <row r="628">
      <c r="A628" s="38" t="s">
        <v>19</v>
      </c>
      <c r="B628" s="5" t="s">
        <v>1088</v>
      </c>
      <c r="C628" s="5" t="s">
        <v>1088</v>
      </c>
      <c r="D628" s="7"/>
      <c r="E628" s="5" t="s">
        <v>1249</v>
      </c>
      <c r="F628" s="7"/>
      <c r="G628" s="7"/>
      <c r="H628" s="17">
        <v>450.0</v>
      </c>
      <c r="I628" s="7"/>
      <c r="J628" s="18">
        <f t="shared" si="20"/>
        <v>675</v>
      </c>
      <c r="K628" s="18">
        <f t="shared" si="21"/>
        <v>585</v>
      </c>
      <c r="L628" s="19">
        <f t="shared" si="22"/>
        <v>585</v>
      </c>
      <c r="M628" s="19">
        <f t="shared" si="23"/>
        <v>540</v>
      </c>
      <c r="N628" s="19">
        <f t="shared" si="24"/>
        <v>517.5</v>
      </c>
      <c r="O628" s="19">
        <f t="shared" si="25"/>
        <v>495</v>
      </c>
    </row>
    <row r="629">
      <c r="A629" s="38" t="s">
        <v>19</v>
      </c>
      <c r="B629" s="5" t="s">
        <v>1088</v>
      </c>
      <c r="C629" s="5" t="s">
        <v>1088</v>
      </c>
      <c r="D629" s="7"/>
      <c r="E629" s="5" t="s">
        <v>1250</v>
      </c>
      <c r="F629" s="7"/>
      <c r="G629" s="7"/>
      <c r="H629" s="17">
        <v>2500.0</v>
      </c>
      <c r="I629" s="7"/>
      <c r="J629" s="18">
        <f t="shared" si="20"/>
        <v>3750</v>
      </c>
      <c r="K629" s="18">
        <f t="shared" si="21"/>
        <v>3250</v>
      </c>
      <c r="L629" s="19">
        <f t="shared" si="22"/>
        <v>3250</v>
      </c>
      <c r="M629" s="19">
        <f t="shared" si="23"/>
        <v>3000</v>
      </c>
      <c r="N629" s="19">
        <f t="shared" si="24"/>
        <v>2875</v>
      </c>
      <c r="O629" s="19">
        <f t="shared" si="25"/>
        <v>2750</v>
      </c>
    </row>
    <row r="630">
      <c r="A630" s="38" t="s">
        <v>19</v>
      </c>
      <c r="B630" s="5" t="s">
        <v>1088</v>
      </c>
      <c r="C630" s="5" t="s">
        <v>1088</v>
      </c>
      <c r="D630" s="7"/>
      <c r="E630" s="5" t="s">
        <v>1251</v>
      </c>
      <c r="F630" s="7"/>
      <c r="G630" s="7"/>
      <c r="H630" s="17">
        <v>70.0</v>
      </c>
      <c r="I630" s="7"/>
      <c r="J630" s="18">
        <f t="shared" si="20"/>
        <v>105</v>
      </c>
      <c r="K630" s="18">
        <f t="shared" si="21"/>
        <v>91</v>
      </c>
      <c r="L630" s="19">
        <f t="shared" si="22"/>
        <v>91</v>
      </c>
      <c r="M630" s="19">
        <f t="shared" si="23"/>
        <v>84</v>
      </c>
      <c r="N630" s="19">
        <f t="shared" si="24"/>
        <v>80.5</v>
      </c>
      <c r="O630" s="19">
        <f t="shared" si="25"/>
        <v>77</v>
      </c>
    </row>
    <row r="631">
      <c r="A631" s="38" t="s">
        <v>19</v>
      </c>
      <c r="B631" s="5" t="s">
        <v>1088</v>
      </c>
      <c r="C631" s="5" t="s">
        <v>1088</v>
      </c>
      <c r="D631" s="7"/>
      <c r="E631" s="5" t="s">
        <v>1251</v>
      </c>
      <c r="F631" s="7"/>
      <c r="G631" s="7"/>
      <c r="H631" s="17">
        <v>70.0</v>
      </c>
      <c r="I631" s="7"/>
      <c r="J631" s="18">
        <f t="shared" si="20"/>
        <v>105</v>
      </c>
      <c r="K631" s="18">
        <f t="shared" si="21"/>
        <v>91</v>
      </c>
      <c r="L631" s="19">
        <f t="shared" si="22"/>
        <v>91</v>
      </c>
      <c r="M631" s="19">
        <f t="shared" si="23"/>
        <v>84</v>
      </c>
      <c r="N631" s="19">
        <f t="shared" si="24"/>
        <v>80.5</v>
      </c>
      <c r="O631" s="19">
        <f t="shared" si="25"/>
        <v>77</v>
      </c>
    </row>
    <row r="632">
      <c r="A632" s="38" t="s">
        <v>19</v>
      </c>
      <c r="B632" s="5" t="s">
        <v>1088</v>
      </c>
      <c r="C632" s="5" t="s">
        <v>1088</v>
      </c>
      <c r="D632" s="7"/>
      <c r="E632" s="5" t="s">
        <v>1251</v>
      </c>
      <c r="F632" s="7"/>
      <c r="G632" s="7"/>
      <c r="H632" s="17">
        <v>70.0</v>
      </c>
      <c r="I632" s="7"/>
      <c r="J632" s="18">
        <f t="shared" si="20"/>
        <v>105</v>
      </c>
      <c r="K632" s="18">
        <f t="shared" si="21"/>
        <v>91</v>
      </c>
      <c r="L632" s="19">
        <f t="shared" si="22"/>
        <v>91</v>
      </c>
      <c r="M632" s="19">
        <f t="shared" si="23"/>
        <v>84</v>
      </c>
      <c r="N632" s="19">
        <f t="shared" si="24"/>
        <v>80.5</v>
      </c>
      <c r="O632" s="19">
        <f t="shared" si="25"/>
        <v>77</v>
      </c>
    </row>
    <row r="633">
      <c r="A633" s="38" t="s">
        <v>19</v>
      </c>
      <c r="B633" s="5" t="s">
        <v>1088</v>
      </c>
      <c r="C633" s="5" t="s">
        <v>1088</v>
      </c>
      <c r="D633" s="7"/>
      <c r="E633" s="5" t="s">
        <v>1252</v>
      </c>
      <c r="F633" s="7"/>
      <c r="G633" s="7"/>
      <c r="H633" s="17">
        <v>70.0</v>
      </c>
      <c r="I633" s="7"/>
      <c r="J633" s="18">
        <f t="shared" si="20"/>
        <v>105</v>
      </c>
      <c r="K633" s="18">
        <f t="shared" si="21"/>
        <v>91</v>
      </c>
      <c r="L633" s="19">
        <f t="shared" si="22"/>
        <v>91</v>
      </c>
      <c r="M633" s="19">
        <f t="shared" si="23"/>
        <v>84</v>
      </c>
      <c r="N633" s="19">
        <f t="shared" si="24"/>
        <v>80.5</v>
      </c>
      <c r="O633" s="19">
        <f t="shared" si="25"/>
        <v>77</v>
      </c>
    </row>
    <row r="634">
      <c r="A634" s="38" t="s">
        <v>19</v>
      </c>
      <c r="B634" s="5" t="s">
        <v>1088</v>
      </c>
      <c r="C634" s="5" t="s">
        <v>1088</v>
      </c>
      <c r="D634" s="7"/>
      <c r="E634" s="5" t="s">
        <v>1253</v>
      </c>
      <c r="F634" s="7"/>
      <c r="G634" s="7"/>
      <c r="H634" s="17">
        <v>130.0</v>
      </c>
      <c r="I634" s="7"/>
      <c r="J634" s="18">
        <f t="shared" si="20"/>
        <v>195</v>
      </c>
      <c r="K634" s="18">
        <f t="shared" si="21"/>
        <v>169</v>
      </c>
      <c r="L634" s="19">
        <f t="shared" si="22"/>
        <v>169</v>
      </c>
      <c r="M634" s="19">
        <f t="shared" si="23"/>
        <v>156</v>
      </c>
      <c r="N634" s="19">
        <f t="shared" si="24"/>
        <v>149.5</v>
      </c>
      <c r="O634" s="19">
        <f t="shared" si="25"/>
        <v>143</v>
      </c>
    </row>
    <row r="635">
      <c r="A635" s="38" t="s">
        <v>19</v>
      </c>
      <c r="B635" s="5" t="s">
        <v>1088</v>
      </c>
      <c r="C635" s="5" t="s">
        <v>1088</v>
      </c>
      <c r="D635" s="7"/>
      <c r="E635" s="5" t="s">
        <v>1254</v>
      </c>
      <c r="F635" s="7"/>
      <c r="G635" s="7"/>
      <c r="H635" s="17">
        <v>700.0</v>
      </c>
      <c r="I635" s="7"/>
      <c r="J635" s="18">
        <f t="shared" si="20"/>
        <v>1050</v>
      </c>
      <c r="K635" s="18">
        <f t="shared" si="21"/>
        <v>910</v>
      </c>
      <c r="L635" s="19">
        <f t="shared" si="22"/>
        <v>910</v>
      </c>
      <c r="M635" s="19">
        <f t="shared" si="23"/>
        <v>840</v>
      </c>
      <c r="N635" s="19">
        <f t="shared" si="24"/>
        <v>805</v>
      </c>
      <c r="O635" s="19">
        <f t="shared" si="25"/>
        <v>770</v>
      </c>
    </row>
    <row r="636">
      <c r="A636" s="38" t="s">
        <v>19</v>
      </c>
      <c r="B636" s="5" t="s">
        <v>1088</v>
      </c>
      <c r="C636" s="5" t="s">
        <v>1088</v>
      </c>
      <c r="D636" s="7"/>
      <c r="E636" s="7"/>
      <c r="F636" s="7"/>
      <c r="G636" s="7"/>
      <c r="H636" s="17">
        <v>70.0</v>
      </c>
      <c r="I636" s="7"/>
      <c r="J636" s="18">
        <f t="shared" si="20"/>
        <v>105</v>
      </c>
      <c r="K636" s="18">
        <f t="shared" si="21"/>
        <v>91</v>
      </c>
      <c r="L636" s="19">
        <f t="shared" si="22"/>
        <v>91</v>
      </c>
      <c r="M636" s="19">
        <f t="shared" si="23"/>
        <v>84</v>
      </c>
      <c r="N636" s="19">
        <f t="shared" si="24"/>
        <v>80.5</v>
      </c>
      <c r="O636" s="19">
        <f t="shared" si="25"/>
        <v>77</v>
      </c>
    </row>
    <row r="637">
      <c r="A637" s="38" t="s">
        <v>19</v>
      </c>
      <c r="B637" s="5" t="s">
        <v>1088</v>
      </c>
      <c r="C637" s="5" t="s">
        <v>1088</v>
      </c>
      <c r="D637" s="7"/>
      <c r="E637" s="5" t="s">
        <v>1255</v>
      </c>
      <c r="F637" s="7"/>
      <c r="G637" s="7"/>
      <c r="H637" s="17">
        <v>130.0</v>
      </c>
      <c r="I637" s="7"/>
      <c r="J637" s="18">
        <f t="shared" si="20"/>
        <v>195</v>
      </c>
      <c r="K637" s="18">
        <f t="shared" si="21"/>
        <v>169</v>
      </c>
      <c r="L637" s="19">
        <f t="shared" si="22"/>
        <v>169</v>
      </c>
      <c r="M637" s="19">
        <f t="shared" si="23"/>
        <v>156</v>
      </c>
      <c r="N637" s="19">
        <f t="shared" si="24"/>
        <v>149.5</v>
      </c>
      <c r="O637" s="19">
        <f t="shared" si="25"/>
        <v>143</v>
      </c>
    </row>
    <row r="638">
      <c r="A638" s="38" t="s">
        <v>19</v>
      </c>
      <c r="B638" s="5" t="s">
        <v>1088</v>
      </c>
      <c r="C638" s="5" t="s">
        <v>1088</v>
      </c>
      <c r="D638" s="7"/>
      <c r="E638" s="5" t="s">
        <v>1256</v>
      </c>
      <c r="F638" s="7"/>
      <c r="G638" s="7"/>
      <c r="H638" s="17">
        <v>130.0</v>
      </c>
      <c r="I638" s="7"/>
      <c r="J638" s="18">
        <f t="shared" si="20"/>
        <v>195</v>
      </c>
      <c r="K638" s="18">
        <f t="shared" si="21"/>
        <v>169</v>
      </c>
      <c r="L638" s="19">
        <f t="shared" si="22"/>
        <v>169</v>
      </c>
      <c r="M638" s="19">
        <f t="shared" si="23"/>
        <v>156</v>
      </c>
      <c r="N638" s="19">
        <f t="shared" si="24"/>
        <v>149.5</v>
      </c>
      <c r="O638" s="19">
        <f t="shared" si="25"/>
        <v>143</v>
      </c>
    </row>
    <row r="639">
      <c r="A639" s="38" t="s">
        <v>19</v>
      </c>
      <c r="B639" s="5" t="s">
        <v>1088</v>
      </c>
      <c r="C639" s="5" t="s">
        <v>1088</v>
      </c>
      <c r="D639" s="7"/>
      <c r="E639" s="5" t="s">
        <v>1257</v>
      </c>
      <c r="F639" s="7"/>
      <c r="G639" s="7"/>
      <c r="H639" s="17">
        <v>130.0</v>
      </c>
      <c r="I639" s="7"/>
      <c r="J639" s="18">
        <f t="shared" si="20"/>
        <v>195</v>
      </c>
      <c r="K639" s="18">
        <f t="shared" si="21"/>
        <v>169</v>
      </c>
      <c r="L639" s="19">
        <f t="shared" si="22"/>
        <v>169</v>
      </c>
      <c r="M639" s="19">
        <f t="shared" si="23"/>
        <v>156</v>
      </c>
      <c r="N639" s="19">
        <f t="shared" si="24"/>
        <v>149.5</v>
      </c>
      <c r="O639" s="19">
        <f t="shared" si="25"/>
        <v>143</v>
      </c>
    </row>
    <row r="640">
      <c r="A640" s="38" t="s">
        <v>19</v>
      </c>
      <c r="B640" s="5" t="s">
        <v>1088</v>
      </c>
      <c r="C640" s="5" t="s">
        <v>1088</v>
      </c>
      <c r="D640" s="7"/>
      <c r="E640" s="5" t="s">
        <v>1258</v>
      </c>
      <c r="F640" s="7"/>
      <c r="G640" s="7"/>
      <c r="H640" s="17">
        <v>30.0</v>
      </c>
      <c r="I640" s="7"/>
      <c r="J640" s="18">
        <f t="shared" si="20"/>
        <v>45</v>
      </c>
      <c r="K640" s="18">
        <f t="shared" si="21"/>
        <v>39</v>
      </c>
      <c r="L640" s="19">
        <f t="shared" si="22"/>
        <v>39</v>
      </c>
      <c r="M640" s="19">
        <f t="shared" si="23"/>
        <v>36</v>
      </c>
      <c r="N640" s="19">
        <f t="shared" si="24"/>
        <v>34.5</v>
      </c>
      <c r="O640" s="19">
        <f t="shared" si="25"/>
        <v>33</v>
      </c>
    </row>
    <row r="641">
      <c r="A641" s="38" t="s">
        <v>19</v>
      </c>
      <c r="B641" s="5" t="s">
        <v>1088</v>
      </c>
      <c r="C641" s="5" t="s">
        <v>1088</v>
      </c>
      <c r="D641" s="7"/>
      <c r="E641" s="5" t="s">
        <v>1259</v>
      </c>
      <c r="F641" s="7"/>
      <c r="G641" s="7"/>
      <c r="H641" s="17">
        <v>40.0</v>
      </c>
      <c r="I641" s="7"/>
      <c r="J641" s="18">
        <f t="shared" si="20"/>
        <v>60</v>
      </c>
      <c r="K641" s="18">
        <f t="shared" si="21"/>
        <v>52</v>
      </c>
      <c r="L641" s="19">
        <f t="shared" si="22"/>
        <v>52</v>
      </c>
      <c r="M641" s="19">
        <f t="shared" si="23"/>
        <v>48</v>
      </c>
      <c r="N641" s="19">
        <f t="shared" si="24"/>
        <v>46</v>
      </c>
      <c r="O641" s="19">
        <f t="shared" si="25"/>
        <v>44</v>
      </c>
    </row>
    <row r="642">
      <c r="A642" s="38" t="s">
        <v>19</v>
      </c>
      <c r="B642" s="5" t="s">
        <v>1088</v>
      </c>
      <c r="C642" s="5" t="s">
        <v>1088</v>
      </c>
      <c r="D642" s="7"/>
      <c r="E642" s="5" t="s">
        <v>1259</v>
      </c>
      <c r="F642" s="7"/>
      <c r="G642" s="7"/>
      <c r="H642" s="17">
        <v>40.0</v>
      </c>
      <c r="I642" s="7"/>
      <c r="J642" s="18">
        <f t="shared" si="20"/>
        <v>60</v>
      </c>
      <c r="K642" s="18">
        <f t="shared" si="21"/>
        <v>52</v>
      </c>
      <c r="L642" s="19">
        <f t="shared" si="22"/>
        <v>52</v>
      </c>
      <c r="M642" s="19">
        <f t="shared" si="23"/>
        <v>48</v>
      </c>
      <c r="N642" s="19">
        <f t="shared" si="24"/>
        <v>46</v>
      </c>
      <c r="O642" s="19">
        <f t="shared" si="25"/>
        <v>44</v>
      </c>
    </row>
    <row r="643">
      <c r="A643" s="38" t="s">
        <v>19</v>
      </c>
      <c r="B643" s="5" t="s">
        <v>1088</v>
      </c>
      <c r="C643" s="5" t="s">
        <v>1088</v>
      </c>
      <c r="D643" s="7"/>
      <c r="E643" s="5" t="s">
        <v>1260</v>
      </c>
      <c r="F643" s="5" t="s">
        <v>1261</v>
      </c>
      <c r="G643" s="7"/>
      <c r="H643" s="17">
        <v>2500.0</v>
      </c>
      <c r="I643" s="7"/>
      <c r="J643" s="18">
        <f t="shared" si="20"/>
        <v>3750</v>
      </c>
      <c r="K643" s="18">
        <f t="shared" si="21"/>
        <v>3250</v>
      </c>
      <c r="L643" s="19">
        <f t="shared" si="22"/>
        <v>3250</v>
      </c>
      <c r="M643" s="19">
        <f t="shared" si="23"/>
        <v>3000</v>
      </c>
      <c r="N643" s="19">
        <f t="shared" si="24"/>
        <v>2875</v>
      </c>
      <c r="O643" s="19">
        <f t="shared" si="25"/>
        <v>2750</v>
      </c>
    </row>
    <row r="644">
      <c r="A644" s="38" t="s">
        <v>19</v>
      </c>
      <c r="B644" s="5" t="s">
        <v>1088</v>
      </c>
      <c r="C644" s="5" t="s">
        <v>1088</v>
      </c>
      <c r="D644" s="7"/>
      <c r="E644" s="5" t="s">
        <v>1262</v>
      </c>
      <c r="F644" s="7"/>
      <c r="G644" s="7"/>
      <c r="H644" s="17">
        <v>250.0</v>
      </c>
      <c r="I644" s="7"/>
      <c r="J644" s="18">
        <f t="shared" si="20"/>
        <v>375</v>
      </c>
      <c r="K644" s="18">
        <f t="shared" si="21"/>
        <v>325</v>
      </c>
      <c r="L644" s="19">
        <f t="shared" si="22"/>
        <v>325</v>
      </c>
      <c r="M644" s="19">
        <f t="shared" si="23"/>
        <v>300</v>
      </c>
      <c r="N644" s="19">
        <f t="shared" si="24"/>
        <v>287.5</v>
      </c>
      <c r="O644" s="19">
        <f t="shared" si="25"/>
        <v>275</v>
      </c>
    </row>
    <row r="645">
      <c r="A645" s="38" t="s">
        <v>19</v>
      </c>
      <c r="B645" s="5" t="s">
        <v>1088</v>
      </c>
      <c r="C645" s="5" t="s">
        <v>1088</v>
      </c>
      <c r="D645" s="7"/>
      <c r="E645" s="5" t="s">
        <v>1263</v>
      </c>
      <c r="F645" s="7"/>
      <c r="G645" s="7"/>
      <c r="H645" s="17">
        <v>1250.0</v>
      </c>
      <c r="I645" s="7"/>
      <c r="J645" s="18">
        <f t="shared" si="20"/>
        <v>1875</v>
      </c>
      <c r="K645" s="18">
        <f t="shared" si="21"/>
        <v>1625</v>
      </c>
      <c r="L645" s="19">
        <f t="shared" si="22"/>
        <v>1625</v>
      </c>
      <c r="M645" s="19">
        <f t="shared" si="23"/>
        <v>1500</v>
      </c>
      <c r="N645" s="19">
        <f t="shared" si="24"/>
        <v>1437.5</v>
      </c>
      <c r="O645" s="19">
        <f t="shared" si="25"/>
        <v>1375</v>
      </c>
    </row>
    <row r="646">
      <c r="A646" s="38" t="s">
        <v>19</v>
      </c>
      <c r="B646" s="5" t="s">
        <v>1088</v>
      </c>
      <c r="C646" s="5" t="s">
        <v>1088</v>
      </c>
      <c r="D646" s="7"/>
      <c r="E646" s="5" t="s">
        <v>1264</v>
      </c>
      <c r="F646" s="5" t="s">
        <v>1265</v>
      </c>
      <c r="G646" s="7"/>
      <c r="H646" s="17">
        <v>1250.0</v>
      </c>
      <c r="I646" s="7"/>
      <c r="J646" s="18">
        <f t="shared" si="20"/>
        <v>1875</v>
      </c>
      <c r="K646" s="18">
        <f t="shared" si="21"/>
        <v>1625</v>
      </c>
      <c r="L646" s="19">
        <f t="shared" si="22"/>
        <v>1625</v>
      </c>
      <c r="M646" s="19">
        <f t="shared" si="23"/>
        <v>1500</v>
      </c>
      <c r="N646" s="19">
        <f t="shared" si="24"/>
        <v>1437.5</v>
      </c>
      <c r="O646" s="19">
        <f t="shared" si="25"/>
        <v>1375</v>
      </c>
    </row>
    <row r="647">
      <c r="A647" s="38" t="s">
        <v>19</v>
      </c>
      <c r="B647" s="5" t="s">
        <v>1088</v>
      </c>
      <c r="C647" s="5" t="s">
        <v>1088</v>
      </c>
      <c r="D647" s="7"/>
      <c r="E647" s="5" t="s">
        <v>1266</v>
      </c>
      <c r="F647" s="7"/>
      <c r="G647" s="7"/>
      <c r="H647" s="17">
        <v>20.0</v>
      </c>
      <c r="I647" s="7"/>
      <c r="J647" s="18">
        <f t="shared" si="20"/>
        <v>30</v>
      </c>
      <c r="K647" s="18">
        <f t="shared" si="21"/>
        <v>26</v>
      </c>
      <c r="L647" s="19">
        <f t="shared" si="22"/>
        <v>26</v>
      </c>
      <c r="M647" s="19">
        <f t="shared" si="23"/>
        <v>24</v>
      </c>
      <c r="N647" s="19">
        <f t="shared" si="24"/>
        <v>23</v>
      </c>
      <c r="O647" s="19">
        <f t="shared" si="25"/>
        <v>22</v>
      </c>
    </row>
    <row r="648">
      <c r="A648" s="38" t="s">
        <v>19</v>
      </c>
      <c r="B648" s="5" t="s">
        <v>1088</v>
      </c>
      <c r="C648" s="5" t="s">
        <v>1088</v>
      </c>
      <c r="D648" s="7"/>
      <c r="E648" s="5" t="s">
        <v>1267</v>
      </c>
      <c r="F648" s="5" t="s">
        <v>1268</v>
      </c>
      <c r="G648" s="7"/>
      <c r="H648" s="17">
        <v>30.0</v>
      </c>
      <c r="I648" s="7"/>
      <c r="J648" s="18">
        <f t="shared" si="20"/>
        <v>45</v>
      </c>
      <c r="K648" s="18">
        <f t="shared" si="21"/>
        <v>39</v>
      </c>
      <c r="L648" s="19">
        <f t="shared" si="22"/>
        <v>39</v>
      </c>
      <c r="M648" s="19">
        <f t="shared" si="23"/>
        <v>36</v>
      </c>
      <c r="N648" s="19">
        <f t="shared" si="24"/>
        <v>34.5</v>
      </c>
      <c r="O648" s="19">
        <f t="shared" si="25"/>
        <v>33</v>
      </c>
    </row>
    <row r="649">
      <c r="A649" s="38" t="s">
        <v>19</v>
      </c>
      <c r="B649" s="5" t="s">
        <v>1088</v>
      </c>
      <c r="C649" s="5" t="s">
        <v>1088</v>
      </c>
      <c r="D649" s="7"/>
      <c r="E649" s="5" t="s">
        <v>1269</v>
      </c>
      <c r="F649" s="7"/>
      <c r="G649" s="7"/>
      <c r="H649" s="17">
        <v>40.0</v>
      </c>
      <c r="I649" s="7"/>
      <c r="J649" s="18">
        <f t="shared" si="20"/>
        <v>60</v>
      </c>
      <c r="K649" s="18">
        <f t="shared" si="21"/>
        <v>52</v>
      </c>
      <c r="L649" s="19">
        <f t="shared" si="22"/>
        <v>52</v>
      </c>
      <c r="M649" s="19">
        <f t="shared" si="23"/>
        <v>48</v>
      </c>
      <c r="N649" s="19">
        <f t="shared" si="24"/>
        <v>46</v>
      </c>
      <c r="O649" s="19">
        <f t="shared" si="25"/>
        <v>44</v>
      </c>
    </row>
    <row r="650">
      <c r="A650" s="38" t="s">
        <v>19</v>
      </c>
      <c r="B650" s="5" t="s">
        <v>1088</v>
      </c>
      <c r="C650" s="5" t="s">
        <v>1088</v>
      </c>
      <c r="D650" s="7"/>
      <c r="E650" s="5" t="s">
        <v>1269</v>
      </c>
      <c r="F650" s="7"/>
      <c r="G650" s="7"/>
      <c r="H650" s="17">
        <v>40.0</v>
      </c>
      <c r="I650" s="7"/>
      <c r="J650" s="18">
        <f t="shared" si="20"/>
        <v>60</v>
      </c>
      <c r="K650" s="18">
        <f t="shared" si="21"/>
        <v>52</v>
      </c>
      <c r="L650" s="19">
        <f t="shared" si="22"/>
        <v>52</v>
      </c>
      <c r="M650" s="19">
        <f t="shared" si="23"/>
        <v>48</v>
      </c>
      <c r="N650" s="19">
        <f t="shared" si="24"/>
        <v>46</v>
      </c>
      <c r="O650" s="19">
        <f t="shared" si="25"/>
        <v>44</v>
      </c>
    </row>
    <row r="651">
      <c r="A651" s="38" t="s">
        <v>19</v>
      </c>
      <c r="B651" s="5" t="s">
        <v>1088</v>
      </c>
      <c r="C651" s="5" t="s">
        <v>1088</v>
      </c>
      <c r="D651" s="7"/>
      <c r="E651" s="5" t="s">
        <v>1269</v>
      </c>
      <c r="F651" s="7"/>
      <c r="G651" s="7"/>
      <c r="H651" s="17">
        <v>40.0</v>
      </c>
      <c r="I651" s="7"/>
      <c r="J651" s="18">
        <f t="shared" si="20"/>
        <v>60</v>
      </c>
      <c r="K651" s="18">
        <f t="shared" si="21"/>
        <v>52</v>
      </c>
      <c r="L651" s="19">
        <f t="shared" si="22"/>
        <v>52</v>
      </c>
      <c r="M651" s="19">
        <f t="shared" si="23"/>
        <v>48</v>
      </c>
      <c r="N651" s="19">
        <f t="shared" si="24"/>
        <v>46</v>
      </c>
      <c r="O651" s="19">
        <f t="shared" si="25"/>
        <v>44</v>
      </c>
    </row>
    <row r="652">
      <c r="A652" s="38" t="s">
        <v>19</v>
      </c>
      <c r="B652" s="5" t="s">
        <v>1088</v>
      </c>
      <c r="C652" s="5" t="s">
        <v>1088</v>
      </c>
      <c r="D652" s="7"/>
      <c r="E652" s="5" t="s">
        <v>1269</v>
      </c>
      <c r="F652" s="7"/>
      <c r="G652" s="7"/>
      <c r="H652" s="17">
        <v>40.0</v>
      </c>
      <c r="I652" s="7"/>
      <c r="J652" s="18">
        <f t="shared" si="20"/>
        <v>60</v>
      </c>
      <c r="K652" s="18">
        <f t="shared" si="21"/>
        <v>52</v>
      </c>
      <c r="L652" s="19">
        <f t="shared" si="22"/>
        <v>52</v>
      </c>
      <c r="M652" s="19">
        <f t="shared" si="23"/>
        <v>48</v>
      </c>
      <c r="N652" s="19">
        <f t="shared" si="24"/>
        <v>46</v>
      </c>
      <c r="O652" s="19">
        <f t="shared" si="25"/>
        <v>44</v>
      </c>
    </row>
    <row r="653">
      <c r="A653" s="38" t="s">
        <v>19</v>
      </c>
      <c r="B653" s="5" t="s">
        <v>1088</v>
      </c>
      <c r="C653" s="5" t="s">
        <v>1088</v>
      </c>
      <c r="D653" s="7"/>
      <c r="E653" s="5" t="s">
        <v>1269</v>
      </c>
      <c r="F653" s="7"/>
      <c r="G653" s="7"/>
      <c r="H653" s="17">
        <v>40.0</v>
      </c>
      <c r="I653" s="7"/>
      <c r="J653" s="18">
        <f t="shared" si="20"/>
        <v>60</v>
      </c>
      <c r="K653" s="18">
        <f t="shared" si="21"/>
        <v>52</v>
      </c>
      <c r="L653" s="19">
        <f t="shared" si="22"/>
        <v>52</v>
      </c>
      <c r="M653" s="19">
        <f t="shared" si="23"/>
        <v>48</v>
      </c>
      <c r="N653" s="19">
        <f t="shared" si="24"/>
        <v>46</v>
      </c>
      <c r="O653" s="19">
        <f t="shared" si="25"/>
        <v>44</v>
      </c>
    </row>
    <row r="654">
      <c r="A654" s="38" t="s">
        <v>19</v>
      </c>
      <c r="B654" s="5" t="s">
        <v>1088</v>
      </c>
      <c r="C654" s="5" t="s">
        <v>1088</v>
      </c>
      <c r="D654" s="7"/>
      <c r="E654" s="5" t="s">
        <v>1270</v>
      </c>
      <c r="F654" s="5" t="s">
        <v>1271</v>
      </c>
      <c r="G654" s="7"/>
      <c r="H654" s="17">
        <v>20.0</v>
      </c>
      <c r="I654" s="7"/>
      <c r="J654" s="18">
        <f t="shared" si="20"/>
        <v>30</v>
      </c>
      <c r="K654" s="18">
        <f t="shared" si="21"/>
        <v>26</v>
      </c>
      <c r="L654" s="19">
        <f t="shared" si="22"/>
        <v>26</v>
      </c>
      <c r="M654" s="19">
        <f t="shared" si="23"/>
        <v>24</v>
      </c>
      <c r="N654" s="19">
        <f t="shared" si="24"/>
        <v>23</v>
      </c>
      <c r="O654" s="19">
        <f t="shared" si="25"/>
        <v>22</v>
      </c>
    </row>
    <row r="655">
      <c r="A655" s="38" t="s">
        <v>19</v>
      </c>
      <c r="B655" s="5" t="s">
        <v>1088</v>
      </c>
      <c r="C655" s="5" t="s">
        <v>1088</v>
      </c>
      <c r="D655" s="7"/>
      <c r="E655" s="5" t="s">
        <v>1272</v>
      </c>
      <c r="F655" s="7"/>
      <c r="G655" s="7"/>
      <c r="H655" s="17">
        <v>20.0</v>
      </c>
      <c r="I655" s="7"/>
      <c r="J655" s="18">
        <f t="shared" si="20"/>
        <v>30</v>
      </c>
      <c r="K655" s="18">
        <f t="shared" si="21"/>
        <v>26</v>
      </c>
      <c r="L655" s="19">
        <f t="shared" si="22"/>
        <v>26</v>
      </c>
      <c r="M655" s="19">
        <f t="shared" si="23"/>
        <v>24</v>
      </c>
      <c r="N655" s="19">
        <f t="shared" si="24"/>
        <v>23</v>
      </c>
      <c r="O655" s="19">
        <f t="shared" si="25"/>
        <v>22</v>
      </c>
    </row>
    <row r="656">
      <c r="A656" s="38" t="s">
        <v>19</v>
      </c>
      <c r="B656" s="5" t="s">
        <v>1088</v>
      </c>
      <c r="C656" s="5" t="s">
        <v>1269</v>
      </c>
      <c r="D656" s="7"/>
      <c r="E656" s="5" t="s">
        <v>1269</v>
      </c>
      <c r="F656" s="7"/>
      <c r="G656" s="7"/>
      <c r="H656" s="17">
        <v>70.0</v>
      </c>
      <c r="I656" s="7"/>
      <c r="J656" s="18">
        <f t="shared" si="20"/>
        <v>105</v>
      </c>
      <c r="K656" s="18">
        <f t="shared" si="21"/>
        <v>91</v>
      </c>
      <c r="L656" s="19">
        <f t="shared" si="22"/>
        <v>91</v>
      </c>
      <c r="M656" s="19">
        <f t="shared" si="23"/>
        <v>84</v>
      </c>
      <c r="N656" s="19">
        <f t="shared" si="24"/>
        <v>80.5</v>
      </c>
      <c r="O656" s="19">
        <f t="shared" si="25"/>
        <v>77</v>
      </c>
    </row>
    <row r="657">
      <c r="A657" s="38" t="s">
        <v>19</v>
      </c>
      <c r="B657" s="5" t="s">
        <v>1088</v>
      </c>
      <c r="C657" s="5" t="s">
        <v>1269</v>
      </c>
      <c r="D657" s="7"/>
      <c r="E657" s="5" t="s">
        <v>1269</v>
      </c>
      <c r="F657" s="7"/>
      <c r="G657" s="7"/>
      <c r="H657" s="17">
        <v>70.0</v>
      </c>
      <c r="I657" s="7"/>
      <c r="J657" s="18">
        <f t="shared" si="20"/>
        <v>105</v>
      </c>
      <c r="K657" s="18">
        <f t="shared" si="21"/>
        <v>91</v>
      </c>
      <c r="L657" s="19">
        <f t="shared" si="22"/>
        <v>91</v>
      </c>
      <c r="M657" s="19">
        <f t="shared" si="23"/>
        <v>84</v>
      </c>
      <c r="N657" s="19">
        <f t="shared" si="24"/>
        <v>80.5</v>
      </c>
      <c r="O657" s="19">
        <f t="shared" si="25"/>
        <v>77</v>
      </c>
    </row>
    <row r="658">
      <c r="A658" s="38" t="s">
        <v>19</v>
      </c>
      <c r="B658" s="5" t="s">
        <v>1088</v>
      </c>
      <c r="C658" s="5" t="s">
        <v>1088</v>
      </c>
      <c r="D658" s="7"/>
      <c r="E658" s="5" t="s">
        <v>1269</v>
      </c>
      <c r="F658" s="7"/>
      <c r="G658" s="7"/>
      <c r="H658" s="17">
        <v>70.0</v>
      </c>
      <c r="I658" s="7"/>
      <c r="J658" s="18">
        <f t="shared" si="20"/>
        <v>105</v>
      </c>
      <c r="K658" s="18">
        <f t="shared" si="21"/>
        <v>91</v>
      </c>
      <c r="L658" s="19">
        <f t="shared" si="22"/>
        <v>91</v>
      </c>
      <c r="M658" s="19">
        <f t="shared" si="23"/>
        <v>84</v>
      </c>
      <c r="N658" s="19">
        <f t="shared" si="24"/>
        <v>80.5</v>
      </c>
      <c r="O658" s="19">
        <f t="shared" si="25"/>
        <v>77</v>
      </c>
    </row>
    <row r="659">
      <c r="A659" s="38" t="s">
        <v>19</v>
      </c>
      <c r="B659" s="5" t="s">
        <v>1088</v>
      </c>
      <c r="C659" s="5" t="s">
        <v>1088</v>
      </c>
      <c r="D659" s="7"/>
      <c r="E659" s="5" t="s">
        <v>1269</v>
      </c>
      <c r="F659" s="7"/>
      <c r="G659" s="7"/>
      <c r="H659" s="17">
        <v>70.0</v>
      </c>
      <c r="I659" s="7"/>
      <c r="J659" s="18">
        <f t="shared" si="20"/>
        <v>105</v>
      </c>
      <c r="K659" s="18">
        <f t="shared" si="21"/>
        <v>91</v>
      </c>
      <c r="L659" s="19">
        <f t="shared" si="22"/>
        <v>91</v>
      </c>
      <c r="M659" s="19">
        <f t="shared" si="23"/>
        <v>84</v>
      </c>
      <c r="N659" s="19">
        <f t="shared" si="24"/>
        <v>80.5</v>
      </c>
      <c r="O659" s="19">
        <f t="shared" si="25"/>
        <v>77</v>
      </c>
    </row>
    <row r="660">
      <c r="A660" s="38" t="s">
        <v>19</v>
      </c>
      <c r="B660" s="5" t="s">
        <v>1088</v>
      </c>
      <c r="C660" s="5" t="s">
        <v>1088</v>
      </c>
      <c r="D660" s="7"/>
      <c r="E660" s="5" t="s">
        <v>1269</v>
      </c>
      <c r="F660" s="7"/>
      <c r="G660" s="7"/>
      <c r="H660" s="17">
        <v>70.0</v>
      </c>
      <c r="I660" s="7"/>
      <c r="J660" s="18">
        <f t="shared" si="20"/>
        <v>105</v>
      </c>
      <c r="K660" s="18">
        <f t="shared" si="21"/>
        <v>91</v>
      </c>
      <c r="L660" s="19">
        <f t="shared" si="22"/>
        <v>91</v>
      </c>
      <c r="M660" s="19">
        <f t="shared" si="23"/>
        <v>84</v>
      </c>
      <c r="N660" s="19">
        <f t="shared" si="24"/>
        <v>80.5</v>
      </c>
      <c r="O660" s="19">
        <f t="shared" si="25"/>
        <v>77</v>
      </c>
    </row>
    <row r="661">
      <c r="A661" s="38" t="s">
        <v>19</v>
      </c>
      <c r="B661" s="5" t="s">
        <v>1088</v>
      </c>
      <c r="C661" s="5" t="s">
        <v>1088</v>
      </c>
      <c r="D661" s="7"/>
      <c r="E661" s="5" t="s">
        <v>1273</v>
      </c>
      <c r="F661" s="7"/>
      <c r="G661" s="7"/>
      <c r="H661" s="17">
        <v>2500.0</v>
      </c>
      <c r="I661" s="7"/>
      <c r="J661" s="18">
        <f t="shared" si="20"/>
        <v>3750</v>
      </c>
      <c r="K661" s="18">
        <f t="shared" si="21"/>
        <v>3250</v>
      </c>
      <c r="L661" s="19">
        <f t="shared" si="22"/>
        <v>3250</v>
      </c>
      <c r="M661" s="19">
        <f t="shared" si="23"/>
        <v>3000</v>
      </c>
      <c r="N661" s="19">
        <f t="shared" si="24"/>
        <v>2875</v>
      </c>
      <c r="O661" s="19">
        <f t="shared" si="25"/>
        <v>2750</v>
      </c>
    </row>
    <row r="662">
      <c r="A662" s="38" t="s">
        <v>19</v>
      </c>
      <c r="B662" s="5" t="s">
        <v>1088</v>
      </c>
      <c r="C662" s="5" t="s">
        <v>1088</v>
      </c>
      <c r="D662" s="7"/>
      <c r="E662" s="5" t="s">
        <v>1274</v>
      </c>
      <c r="F662" s="7"/>
      <c r="G662" s="7"/>
      <c r="H662" s="17">
        <v>70.0</v>
      </c>
      <c r="I662" s="7"/>
      <c r="J662" s="18">
        <f t="shared" si="20"/>
        <v>105</v>
      </c>
      <c r="K662" s="18">
        <f t="shared" si="21"/>
        <v>91</v>
      </c>
      <c r="L662" s="19">
        <f t="shared" si="22"/>
        <v>91</v>
      </c>
      <c r="M662" s="19">
        <f t="shared" si="23"/>
        <v>84</v>
      </c>
      <c r="N662" s="19">
        <f t="shared" si="24"/>
        <v>80.5</v>
      </c>
      <c r="O662" s="19">
        <f t="shared" si="25"/>
        <v>77</v>
      </c>
    </row>
    <row r="663">
      <c r="A663" s="38" t="s">
        <v>19</v>
      </c>
      <c r="B663" s="5" t="s">
        <v>1088</v>
      </c>
      <c r="C663" s="5" t="s">
        <v>1088</v>
      </c>
      <c r="D663" s="7"/>
      <c r="E663" s="5" t="s">
        <v>1275</v>
      </c>
      <c r="F663" s="7"/>
      <c r="G663" s="7"/>
      <c r="H663" s="17">
        <v>250.0</v>
      </c>
      <c r="I663" s="7"/>
      <c r="J663" s="18">
        <f t="shared" si="20"/>
        <v>375</v>
      </c>
      <c r="K663" s="18">
        <f t="shared" si="21"/>
        <v>325</v>
      </c>
      <c r="L663" s="19">
        <f t="shared" si="22"/>
        <v>325</v>
      </c>
      <c r="M663" s="19">
        <f t="shared" si="23"/>
        <v>300</v>
      </c>
      <c r="N663" s="19">
        <f t="shared" si="24"/>
        <v>287.5</v>
      </c>
      <c r="O663" s="19">
        <f t="shared" si="25"/>
        <v>275</v>
      </c>
    </row>
    <row r="664">
      <c r="A664" s="38" t="s">
        <v>19</v>
      </c>
      <c r="B664" s="5" t="s">
        <v>1088</v>
      </c>
      <c r="C664" s="5" t="s">
        <v>1088</v>
      </c>
      <c r="D664" s="7"/>
      <c r="E664" s="5" t="s">
        <v>1276</v>
      </c>
      <c r="F664" s="7"/>
      <c r="G664" s="7"/>
      <c r="H664" s="17">
        <v>3700.0</v>
      </c>
      <c r="I664" s="7"/>
      <c r="J664" s="18">
        <f t="shared" si="20"/>
        <v>5550</v>
      </c>
      <c r="K664" s="18">
        <f t="shared" si="21"/>
        <v>4810</v>
      </c>
      <c r="L664" s="19">
        <f t="shared" si="22"/>
        <v>4810</v>
      </c>
      <c r="M664" s="19">
        <f t="shared" si="23"/>
        <v>4440</v>
      </c>
      <c r="N664" s="19">
        <f t="shared" si="24"/>
        <v>4255</v>
      </c>
      <c r="O664" s="19">
        <f t="shared" si="25"/>
        <v>4070</v>
      </c>
    </row>
    <row r="665">
      <c r="A665" s="38" t="s">
        <v>19</v>
      </c>
      <c r="B665" s="5" t="s">
        <v>1088</v>
      </c>
      <c r="C665" s="5" t="s">
        <v>1088</v>
      </c>
      <c r="D665" s="7"/>
      <c r="E665" s="5" t="s">
        <v>1277</v>
      </c>
      <c r="F665" s="7"/>
      <c r="G665" s="7"/>
      <c r="H665" s="17">
        <v>3700.0</v>
      </c>
      <c r="I665" s="7"/>
      <c r="J665" s="18">
        <f t="shared" si="20"/>
        <v>5550</v>
      </c>
      <c r="K665" s="18">
        <f t="shared" si="21"/>
        <v>4810</v>
      </c>
      <c r="L665" s="19">
        <f t="shared" si="22"/>
        <v>4810</v>
      </c>
      <c r="M665" s="19">
        <f t="shared" si="23"/>
        <v>4440</v>
      </c>
      <c r="N665" s="19">
        <f t="shared" si="24"/>
        <v>4255</v>
      </c>
      <c r="O665" s="19">
        <f t="shared" si="25"/>
        <v>4070</v>
      </c>
    </row>
    <row r="666">
      <c r="A666" s="38" t="s">
        <v>19</v>
      </c>
      <c r="B666" s="5" t="s">
        <v>1088</v>
      </c>
      <c r="C666" s="5" t="s">
        <v>1088</v>
      </c>
      <c r="D666" s="7"/>
      <c r="E666" s="5" t="s">
        <v>1278</v>
      </c>
      <c r="F666" s="7"/>
      <c r="G666" s="7"/>
      <c r="H666" s="17">
        <v>130.0</v>
      </c>
      <c r="I666" s="7"/>
      <c r="J666" s="18">
        <f t="shared" si="20"/>
        <v>195</v>
      </c>
      <c r="K666" s="18">
        <f t="shared" si="21"/>
        <v>169</v>
      </c>
      <c r="L666" s="19">
        <f t="shared" si="22"/>
        <v>169</v>
      </c>
      <c r="M666" s="19">
        <f t="shared" si="23"/>
        <v>156</v>
      </c>
      <c r="N666" s="19">
        <f t="shared" si="24"/>
        <v>149.5</v>
      </c>
      <c r="O666" s="19">
        <f t="shared" si="25"/>
        <v>143</v>
      </c>
    </row>
    <row r="667">
      <c r="A667" s="38" t="s">
        <v>19</v>
      </c>
      <c r="B667" s="5" t="s">
        <v>1088</v>
      </c>
      <c r="C667" s="5" t="s">
        <v>1088</v>
      </c>
      <c r="D667" s="7"/>
      <c r="E667" s="5" t="s">
        <v>1279</v>
      </c>
      <c r="F667" s="7"/>
      <c r="G667" s="7"/>
      <c r="H667" s="17">
        <v>40.0</v>
      </c>
      <c r="I667" s="7"/>
      <c r="J667" s="18">
        <f t="shared" si="20"/>
        <v>60</v>
      </c>
      <c r="K667" s="18">
        <f t="shared" si="21"/>
        <v>52</v>
      </c>
      <c r="L667" s="19">
        <f t="shared" si="22"/>
        <v>52</v>
      </c>
      <c r="M667" s="19">
        <f t="shared" si="23"/>
        <v>48</v>
      </c>
      <c r="N667" s="19">
        <f t="shared" si="24"/>
        <v>46</v>
      </c>
      <c r="O667" s="19">
        <f t="shared" si="25"/>
        <v>44</v>
      </c>
    </row>
    <row r="668">
      <c r="A668" s="38" t="s">
        <v>19</v>
      </c>
      <c r="B668" s="5" t="s">
        <v>1088</v>
      </c>
      <c r="C668" s="5" t="s">
        <v>1088</v>
      </c>
      <c r="D668" s="7"/>
      <c r="E668" s="5" t="s">
        <v>1280</v>
      </c>
      <c r="F668" s="7"/>
      <c r="G668" s="7"/>
      <c r="H668" s="17">
        <v>40.0</v>
      </c>
      <c r="I668" s="7"/>
      <c r="J668" s="18">
        <f t="shared" si="20"/>
        <v>60</v>
      </c>
      <c r="K668" s="18">
        <f t="shared" si="21"/>
        <v>52</v>
      </c>
      <c r="L668" s="19">
        <f t="shared" si="22"/>
        <v>52</v>
      </c>
      <c r="M668" s="19">
        <f t="shared" si="23"/>
        <v>48</v>
      </c>
      <c r="N668" s="19">
        <f t="shared" si="24"/>
        <v>46</v>
      </c>
      <c r="O668" s="19">
        <f t="shared" si="25"/>
        <v>44</v>
      </c>
    </row>
    <row r="669">
      <c r="A669" s="38" t="s">
        <v>19</v>
      </c>
      <c r="B669" s="5" t="s">
        <v>1088</v>
      </c>
      <c r="C669" s="5" t="s">
        <v>1088</v>
      </c>
      <c r="D669" s="7"/>
      <c r="E669" s="5" t="s">
        <v>1281</v>
      </c>
      <c r="F669" s="7"/>
      <c r="G669" s="7"/>
      <c r="H669" s="17">
        <v>130.0</v>
      </c>
      <c r="I669" s="7"/>
      <c r="J669" s="18">
        <f t="shared" si="20"/>
        <v>195</v>
      </c>
      <c r="K669" s="18">
        <f t="shared" si="21"/>
        <v>169</v>
      </c>
      <c r="L669" s="19">
        <f t="shared" si="22"/>
        <v>169</v>
      </c>
      <c r="M669" s="19">
        <f t="shared" si="23"/>
        <v>156</v>
      </c>
      <c r="N669" s="19">
        <f t="shared" si="24"/>
        <v>149.5</v>
      </c>
      <c r="O669" s="19">
        <f t="shared" si="25"/>
        <v>143</v>
      </c>
    </row>
    <row r="670">
      <c r="A670" s="38" t="s">
        <v>19</v>
      </c>
      <c r="B670" s="5" t="s">
        <v>1088</v>
      </c>
      <c r="C670" s="5" t="s">
        <v>1088</v>
      </c>
      <c r="D670" s="7"/>
      <c r="E670" s="5" t="s">
        <v>1282</v>
      </c>
      <c r="F670" s="7"/>
      <c r="G670" s="7"/>
      <c r="H670" s="17">
        <v>1250.0</v>
      </c>
      <c r="I670" s="7"/>
      <c r="J670" s="18">
        <f t="shared" si="20"/>
        <v>1875</v>
      </c>
      <c r="K670" s="18">
        <f t="shared" si="21"/>
        <v>1625</v>
      </c>
      <c r="L670" s="19">
        <f t="shared" si="22"/>
        <v>1625</v>
      </c>
      <c r="M670" s="19">
        <f t="shared" si="23"/>
        <v>1500</v>
      </c>
      <c r="N670" s="19">
        <f t="shared" si="24"/>
        <v>1437.5</v>
      </c>
      <c r="O670" s="19">
        <f t="shared" si="25"/>
        <v>1375</v>
      </c>
    </row>
    <row r="671">
      <c r="A671" s="38" t="s">
        <v>19</v>
      </c>
      <c r="B671" s="5" t="s">
        <v>1088</v>
      </c>
      <c r="C671" s="5" t="s">
        <v>1088</v>
      </c>
      <c r="D671" s="7"/>
      <c r="E671" s="5" t="s">
        <v>1283</v>
      </c>
      <c r="F671" s="7"/>
      <c r="G671" s="7"/>
      <c r="H671" s="17">
        <v>700.0</v>
      </c>
      <c r="I671" s="7"/>
      <c r="J671" s="18">
        <f t="shared" si="20"/>
        <v>1050</v>
      </c>
      <c r="K671" s="18">
        <f t="shared" si="21"/>
        <v>910</v>
      </c>
      <c r="L671" s="19">
        <f t="shared" si="22"/>
        <v>910</v>
      </c>
      <c r="M671" s="19">
        <f t="shared" si="23"/>
        <v>840</v>
      </c>
      <c r="N671" s="19">
        <f t="shared" si="24"/>
        <v>805</v>
      </c>
      <c r="O671" s="19">
        <f t="shared" si="25"/>
        <v>770</v>
      </c>
    </row>
    <row r="672">
      <c r="A672" s="38" t="s">
        <v>19</v>
      </c>
      <c r="B672" s="5" t="s">
        <v>1088</v>
      </c>
      <c r="C672" s="5" t="s">
        <v>1088</v>
      </c>
      <c r="D672" s="7"/>
      <c r="E672" s="5" t="s">
        <v>1284</v>
      </c>
      <c r="F672" s="7"/>
      <c r="G672" s="7"/>
      <c r="H672" s="17">
        <v>700.0</v>
      </c>
      <c r="I672" s="7"/>
      <c r="J672" s="18">
        <f t="shared" si="20"/>
        <v>1050</v>
      </c>
      <c r="K672" s="18">
        <f t="shared" si="21"/>
        <v>910</v>
      </c>
      <c r="L672" s="19">
        <f t="shared" si="22"/>
        <v>910</v>
      </c>
      <c r="M672" s="19">
        <f t="shared" si="23"/>
        <v>840</v>
      </c>
      <c r="N672" s="19">
        <f t="shared" si="24"/>
        <v>805</v>
      </c>
      <c r="O672" s="19">
        <f t="shared" si="25"/>
        <v>770</v>
      </c>
    </row>
    <row r="673">
      <c r="A673" s="38" t="s">
        <v>19</v>
      </c>
      <c r="B673" s="5" t="s">
        <v>1088</v>
      </c>
      <c r="C673" s="5" t="s">
        <v>1088</v>
      </c>
      <c r="D673" s="7"/>
      <c r="E673" s="5" t="s">
        <v>1285</v>
      </c>
      <c r="F673" s="5" t="s">
        <v>1285</v>
      </c>
      <c r="G673" s="7"/>
      <c r="H673" s="17">
        <v>1850.0</v>
      </c>
      <c r="I673" s="7"/>
      <c r="J673" s="18">
        <f t="shared" si="20"/>
        <v>2775</v>
      </c>
      <c r="K673" s="18">
        <f t="shared" si="21"/>
        <v>2405</v>
      </c>
      <c r="L673" s="19">
        <f t="shared" si="22"/>
        <v>2405</v>
      </c>
      <c r="M673" s="19">
        <f t="shared" si="23"/>
        <v>2220</v>
      </c>
      <c r="N673" s="19">
        <f t="shared" si="24"/>
        <v>2127.5</v>
      </c>
      <c r="O673" s="19">
        <f t="shared" si="25"/>
        <v>2035</v>
      </c>
    </row>
    <row r="674">
      <c r="A674" s="38" t="s">
        <v>19</v>
      </c>
      <c r="B674" s="5" t="s">
        <v>1088</v>
      </c>
      <c r="C674" s="5" t="s">
        <v>1088</v>
      </c>
      <c r="D674" s="7"/>
      <c r="E674" s="5" t="s">
        <v>1286</v>
      </c>
      <c r="F674" s="7"/>
      <c r="G674" s="7"/>
      <c r="H674" s="17">
        <v>700.0</v>
      </c>
      <c r="I674" s="7"/>
      <c r="J674" s="18">
        <f t="shared" si="20"/>
        <v>1050</v>
      </c>
      <c r="K674" s="18">
        <f t="shared" si="21"/>
        <v>910</v>
      </c>
      <c r="L674" s="19">
        <f t="shared" si="22"/>
        <v>910</v>
      </c>
      <c r="M674" s="19">
        <f t="shared" si="23"/>
        <v>840</v>
      </c>
      <c r="N674" s="19">
        <f t="shared" si="24"/>
        <v>805</v>
      </c>
      <c r="O674" s="19">
        <f t="shared" si="25"/>
        <v>770</v>
      </c>
    </row>
    <row r="675">
      <c r="A675" s="38" t="s">
        <v>19</v>
      </c>
      <c r="B675" s="5" t="s">
        <v>1088</v>
      </c>
      <c r="C675" s="5" t="s">
        <v>1088</v>
      </c>
      <c r="D675" s="7"/>
      <c r="E675" s="5" t="s">
        <v>1287</v>
      </c>
      <c r="F675" s="5" t="s">
        <v>1288</v>
      </c>
      <c r="G675" s="7"/>
      <c r="H675" s="17">
        <v>3700.0</v>
      </c>
      <c r="I675" s="7"/>
      <c r="J675" s="18">
        <f t="shared" si="20"/>
        <v>5550</v>
      </c>
      <c r="K675" s="18">
        <f t="shared" si="21"/>
        <v>4810</v>
      </c>
      <c r="L675" s="19">
        <f t="shared" si="22"/>
        <v>4810</v>
      </c>
      <c r="M675" s="19">
        <f t="shared" si="23"/>
        <v>4440</v>
      </c>
      <c r="N675" s="19">
        <f t="shared" si="24"/>
        <v>4255</v>
      </c>
      <c r="O675" s="19">
        <f t="shared" si="25"/>
        <v>4070</v>
      </c>
    </row>
    <row r="676">
      <c r="A676" s="38" t="s">
        <v>19</v>
      </c>
      <c r="B676" s="5" t="s">
        <v>1088</v>
      </c>
      <c r="C676" s="5" t="s">
        <v>1088</v>
      </c>
      <c r="D676" s="7"/>
      <c r="E676" s="5" t="s">
        <v>1289</v>
      </c>
      <c r="F676" s="5" t="s">
        <v>1290</v>
      </c>
      <c r="G676" s="7"/>
      <c r="H676" s="17">
        <v>1000.0</v>
      </c>
      <c r="I676" s="7"/>
      <c r="J676" s="18">
        <f t="shared" si="20"/>
        <v>1500</v>
      </c>
      <c r="K676" s="18">
        <f t="shared" si="21"/>
        <v>1300</v>
      </c>
      <c r="L676" s="19">
        <f t="shared" si="22"/>
        <v>1300</v>
      </c>
      <c r="M676" s="19">
        <f t="shared" si="23"/>
        <v>1200</v>
      </c>
      <c r="N676" s="19">
        <f t="shared" si="24"/>
        <v>1150</v>
      </c>
      <c r="O676" s="19">
        <f t="shared" si="25"/>
        <v>1100</v>
      </c>
    </row>
    <row r="677">
      <c r="A677" s="38" t="s">
        <v>19</v>
      </c>
      <c r="B677" s="5" t="s">
        <v>1088</v>
      </c>
      <c r="C677" s="5" t="s">
        <v>1088</v>
      </c>
      <c r="D677" s="7"/>
      <c r="E677" s="5" t="s">
        <v>1291</v>
      </c>
      <c r="F677" s="7"/>
      <c r="G677" s="7"/>
      <c r="H677" s="17">
        <v>130.0</v>
      </c>
      <c r="I677" s="7"/>
      <c r="J677" s="18">
        <f t="shared" si="20"/>
        <v>195</v>
      </c>
      <c r="K677" s="18">
        <f t="shared" si="21"/>
        <v>169</v>
      </c>
      <c r="L677" s="19">
        <f t="shared" si="22"/>
        <v>169</v>
      </c>
      <c r="M677" s="19">
        <f t="shared" si="23"/>
        <v>156</v>
      </c>
      <c r="N677" s="19">
        <f t="shared" si="24"/>
        <v>149.5</v>
      </c>
      <c r="O677" s="19">
        <f t="shared" si="25"/>
        <v>143</v>
      </c>
    </row>
    <row r="678">
      <c r="A678" s="38" t="s">
        <v>19</v>
      </c>
      <c r="B678" s="5" t="s">
        <v>1088</v>
      </c>
      <c r="C678" s="5" t="s">
        <v>1088</v>
      </c>
      <c r="D678" s="7"/>
      <c r="E678" s="5" t="s">
        <v>1292</v>
      </c>
      <c r="F678" s="7"/>
      <c r="G678" s="7"/>
      <c r="H678" s="17">
        <v>130.0</v>
      </c>
      <c r="I678" s="7"/>
      <c r="J678" s="18">
        <f t="shared" si="20"/>
        <v>195</v>
      </c>
      <c r="K678" s="18">
        <f t="shared" si="21"/>
        <v>169</v>
      </c>
      <c r="L678" s="19">
        <f t="shared" si="22"/>
        <v>169</v>
      </c>
      <c r="M678" s="19">
        <f t="shared" si="23"/>
        <v>156</v>
      </c>
      <c r="N678" s="19">
        <f t="shared" si="24"/>
        <v>149.5</v>
      </c>
      <c r="O678" s="19">
        <f t="shared" si="25"/>
        <v>143</v>
      </c>
    </row>
    <row r="679">
      <c r="A679" s="38" t="s">
        <v>19</v>
      </c>
      <c r="B679" s="5" t="s">
        <v>1088</v>
      </c>
      <c r="C679" s="5" t="s">
        <v>1088</v>
      </c>
      <c r="D679" s="7"/>
      <c r="E679" s="5" t="s">
        <v>1293</v>
      </c>
      <c r="F679" s="7"/>
      <c r="G679" s="7"/>
      <c r="H679" s="17">
        <v>130.0</v>
      </c>
      <c r="I679" s="7"/>
      <c r="J679" s="18">
        <f t="shared" si="20"/>
        <v>195</v>
      </c>
      <c r="K679" s="18">
        <f t="shared" si="21"/>
        <v>169</v>
      </c>
      <c r="L679" s="19">
        <f t="shared" si="22"/>
        <v>169</v>
      </c>
      <c r="M679" s="19">
        <f t="shared" si="23"/>
        <v>156</v>
      </c>
      <c r="N679" s="19">
        <f t="shared" si="24"/>
        <v>149.5</v>
      </c>
      <c r="O679" s="19">
        <f t="shared" si="25"/>
        <v>143</v>
      </c>
    </row>
    <row r="680">
      <c r="A680" s="38" t="s">
        <v>19</v>
      </c>
      <c r="B680" s="5" t="s">
        <v>1088</v>
      </c>
      <c r="C680" s="5" t="s">
        <v>1088</v>
      </c>
      <c r="D680" s="7"/>
      <c r="E680" s="5" t="s">
        <v>1294</v>
      </c>
      <c r="F680" s="7"/>
      <c r="G680" s="7"/>
      <c r="H680" s="17">
        <v>70.0</v>
      </c>
      <c r="I680" s="7"/>
      <c r="J680" s="18">
        <f t="shared" si="20"/>
        <v>105</v>
      </c>
      <c r="K680" s="18">
        <f t="shared" si="21"/>
        <v>91</v>
      </c>
      <c r="L680" s="19">
        <f t="shared" si="22"/>
        <v>91</v>
      </c>
      <c r="M680" s="19">
        <f t="shared" si="23"/>
        <v>84</v>
      </c>
      <c r="N680" s="19">
        <f t="shared" si="24"/>
        <v>80.5</v>
      </c>
      <c r="O680" s="19">
        <f t="shared" si="25"/>
        <v>77</v>
      </c>
    </row>
    <row r="681">
      <c r="A681" s="38" t="s">
        <v>19</v>
      </c>
      <c r="B681" s="5" t="s">
        <v>1088</v>
      </c>
      <c r="C681" s="5" t="s">
        <v>1088</v>
      </c>
      <c r="D681" s="7"/>
      <c r="E681" s="5" t="s">
        <v>1295</v>
      </c>
      <c r="F681" s="7"/>
      <c r="G681" s="7"/>
      <c r="H681" s="17">
        <v>190.0</v>
      </c>
      <c r="I681" s="7"/>
      <c r="J681" s="18">
        <f t="shared" si="20"/>
        <v>285</v>
      </c>
      <c r="K681" s="18">
        <f t="shared" si="21"/>
        <v>247</v>
      </c>
      <c r="L681" s="19">
        <f t="shared" si="22"/>
        <v>247</v>
      </c>
      <c r="M681" s="19">
        <f t="shared" si="23"/>
        <v>228</v>
      </c>
      <c r="N681" s="19">
        <f t="shared" si="24"/>
        <v>218.5</v>
      </c>
      <c r="O681" s="19">
        <f t="shared" si="25"/>
        <v>209</v>
      </c>
    </row>
    <row r="682">
      <c r="A682" s="38" t="s">
        <v>19</v>
      </c>
      <c r="B682" s="5" t="s">
        <v>1088</v>
      </c>
      <c r="C682" s="5" t="s">
        <v>1088</v>
      </c>
      <c r="D682" s="7"/>
      <c r="E682" s="5" t="s">
        <v>1296</v>
      </c>
      <c r="F682" s="7"/>
      <c r="G682" s="7"/>
      <c r="H682" s="17">
        <v>250.0</v>
      </c>
      <c r="I682" s="7"/>
      <c r="J682" s="18">
        <f t="shared" si="20"/>
        <v>375</v>
      </c>
      <c r="K682" s="18">
        <f t="shared" si="21"/>
        <v>325</v>
      </c>
      <c r="L682" s="19">
        <f t="shared" si="22"/>
        <v>325</v>
      </c>
      <c r="M682" s="19">
        <f t="shared" si="23"/>
        <v>300</v>
      </c>
      <c r="N682" s="19">
        <f t="shared" si="24"/>
        <v>287.5</v>
      </c>
      <c r="O682" s="19">
        <f t="shared" si="25"/>
        <v>275</v>
      </c>
    </row>
    <row r="683">
      <c r="A683" s="38" t="s">
        <v>19</v>
      </c>
      <c r="B683" s="5" t="s">
        <v>1088</v>
      </c>
      <c r="C683" s="5" t="s">
        <v>1088</v>
      </c>
      <c r="D683" s="7"/>
      <c r="E683" s="5" t="s">
        <v>1297</v>
      </c>
      <c r="F683" s="7"/>
      <c r="G683" s="7"/>
      <c r="H683" s="17">
        <v>250.0</v>
      </c>
      <c r="I683" s="7"/>
      <c r="J683" s="18">
        <f t="shared" si="20"/>
        <v>375</v>
      </c>
      <c r="K683" s="18">
        <f t="shared" si="21"/>
        <v>325</v>
      </c>
      <c r="L683" s="19">
        <f t="shared" si="22"/>
        <v>325</v>
      </c>
      <c r="M683" s="19">
        <f t="shared" si="23"/>
        <v>300</v>
      </c>
      <c r="N683" s="19">
        <f t="shared" si="24"/>
        <v>287.5</v>
      </c>
      <c r="O683" s="19">
        <f t="shared" si="25"/>
        <v>275</v>
      </c>
    </row>
    <row r="684">
      <c r="A684" s="38" t="s">
        <v>19</v>
      </c>
      <c r="B684" s="5" t="s">
        <v>1088</v>
      </c>
      <c r="C684" s="5" t="s">
        <v>1088</v>
      </c>
      <c r="D684" s="7"/>
      <c r="E684" s="5" t="s">
        <v>1298</v>
      </c>
      <c r="F684" s="7"/>
      <c r="G684" s="7"/>
      <c r="H684" s="17">
        <v>70.0</v>
      </c>
      <c r="I684" s="7"/>
      <c r="J684" s="18">
        <f t="shared" si="20"/>
        <v>105</v>
      </c>
      <c r="K684" s="18">
        <f t="shared" si="21"/>
        <v>91</v>
      </c>
      <c r="L684" s="19">
        <f t="shared" si="22"/>
        <v>91</v>
      </c>
      <c r="M684" s="19">
        <f t="shared" si="23"/>
        <v>84</v>
      </c>
      <c r="N684" s="19">
        <f t="shared" si="24"/>
        <v>80.5</v>
      </c>
      <c r="O684" s="19">
        <f t="shared" si="25"/>
        <v>77</v>
      </c>
    </row>
    <row r="685">
      <c r="A685" s="38" t="s">
        <v>19</v>
      </c>
      <c r="B685" s="5" t="s">
        <v>1088</v>
      </c>
      <c r="C685" s="5" t="s">
        <v>1088</v>
      </c>
      <c r="D685" s="7"/>
      <c r="E685" s="5" t="s">
        <v>1299</v>
      </c>
      <c r="F685" s="7"/>
      <c r="G685" s="7"/>
      <c r="H685" s="17">
        <v>70.0</v>
      </c>
      <c r="I685" s="7"/>
      <c r="J685" s="18">
        <f t="shared" si="20"/>
        <v>105</v>
      </c>
      <c r="K685" s="18">
        <f t="shared" si="21"/>
        <v>91</v>
      </c>
      <c r="L685" s="19">
        <f t="shared" si="22"/>
        <v>91</v>
      </c>
      <c r="M685" s="19">
        <f t="shared" si="23"/>
        <v>84</v>
      </c>
      <c r="N685" s="19">
        <f t="shared" si="24"/>
        <v>80.5</v>
      </c>
      <c r="O685" s="19">
        <f t="shared" si="25"/>
        <v>77</v>
      </c>
    </row>
    <row r="686">
      <c r="A686" s="38" t="s">
        <v>19</v>
      </c>
      <c r="B686" s="5" t="s">
        <v>1088</v>
      </c>
      <c r="C686" s="5" t="s">
        <v>1088</v>
      </c>
      <c r="D686" s="7"/>
      <c r="E686" s="5" t="s">
        <v>1300</v>
      </c>
      <c r="F686" s="7"/>
      <c r="G686" s="7"/>
      <c r="H686" s="17">
        <v>370.0</v>
      </c>
      <c r="I686" s="7"/>
      <c r="J686" s="18">
        <f t="shared" si="20"/>
        <v>555</v>
      </c>
      <c r="K686" s="18">
        <f t="shared" si="21"/>
        <v>481</v>
      </c>
      <c r="L686" s="19">
        <f t="shared" si="22"/>
        <v>481</v>
      </c>
      <c r="M686" s="19">
        <f t="shared" si="23"/>
        <v>444</v>
      </c>
      <c r="N686" s="19">
        <f t="shared" si="24"/>
        <v>425.5</v>
      </c>
      <c r="O686" s="19">
        <f t="shared" si="25"/>
        <v>407</v>
      </c>
    </row>
    <row r="687">
      <c r="A687" s="38" t="s">
        <v>19</v>
      </c>
      <c r="B687" s="5" t="s">
        <v>1088</v>
      </c>
      <c r="C687" s="5" t="s">
        <v>1088</v>
      </c>
      <c r="D687" s="7"/>
      <c r="E687" s="5" t="s">
        <v>1301</v>
      </c>
      <c r="F687" s="7"/>
      <c r="G687" s="7"/>
      <c r="H687" s="17">
        <v>70.0</v>
      </c>
      <c r="I687" s="7"/>
      <c r="J687" s="18">
        <f t="shared" si="20"/>
        <v>105</v>
      </c>
      <c r="K687" s="18">
        <f t="shared" si="21"/>
        <v>91</v>
      </c>
      <c r="L687" s="19">
        <f t="shared" si="22"/>
        <v>91</v>
      </c>
      <c r="M687" s="19">
        <f t="shared" si="23"/>
        <v>84</v>
      </c>
      <c r="N687" s="19">
        <f t="shared" si="24"/>
        <v>80.5</v>
      </c>
      <c r="O687" s="19">
        <f t="shared" si="25"/>
        <v>77</v>
      </c>
    </row>
    <row r="688">
      <c r="A688" s="38" t="s">
        <v>19</v>
      </c>
      <c r="B688" s="5" t="s">
        <v>1088</v>
      </c>
      <c r="C688" s="5" t="s">
        <v>1088</v>
      </c>
      <c r="D688" s="7"/>
      <c r="E688" s="5" t="s">
        <v>1302</v>
      </c>
      <c r="F688" s="7"/>
      <c r="G688" s="7"/>
      <c r="H688" s="17">
        <v>2500.0</v>
      </c>
      <c r="I688" s="7"/>
      <c r="J688" s="18">
        <f t="shared" si="20"/>
        <v>3750</v>
      </c>
      <c r="K688" s="18">
        <f t="shared" si="21"/>
        <v>3250</v>
      </c>
      <c r="L688" s="19">
        <f t="shared" si="22"/>
        <v>3250</v>
      </c>
      <c r="M688" s="19">
        <f t="shared" si="23"/>
        <v>3000</v>
      </c>
      <c r="N688" s="19">
        <f t="shared" si="24"/>
        <v>2875</v>
      </c>
      <c r="O688" s="19">
        <f t="shared" si="25"/>
        <v>2750</v>
      </c>
    </row>
    <row r="689">
      <c r="A689" s="38" t="s">
        <v>19</v>
      </c>
      <c r="B689" s="5" t="s">
        <v>1088</v>
      </c>
      <c r="C689" s="5" t="s">
        <v>1088</v>
      </c>
      <c r="D689" s="7"/>
      <c r="E689" s="5" t="s">
        <v>1303</v>
      </c>
      <c r="F689" s="5" t="s">
        <v>1304</v>
      </c>
      <c r="G689" s="7"/>
      <c r="H689" s="17">
        <v>4350.0</v>
      </c>
      <c r="I689" s="7"/>
      <c r="J689" s="18">
        <f t="shared" si="20"/>
        <v>6525</v>
      </c>
      <c r="K689" s="18">
        <f t="shared" si="21"/>
        <v>5655</v>
      </c>
      <c r="L689" s="19">
        <f t="shared" si="22"/>
        <v>5655</v>
      </c>
      <c r="M689" s="19">
        <f t="shared" si="23"/>
        <v>5220</v>
      </c>
      <c r="N689" s="19">
        <f t="shared" si="24"/>
        <v>5002.5</v>
      </c>
      <c r="O689" s="19">
        <f t="shared" si="25"/>
        <v>4785</v>
      </c>
    </row>
    <row r="690">
      <c r="A690" s="38" t="s">
        <v>19</v>
      </c>
      <c r="B690" s="5" t="s">
        <v>1088</v>
      </c>
      <c r="C690" s="5" t="s">
        <v>1088</v>
      </c>
      <c r="D690" s="7"/>
      <c r="E690" s="5" t="s">
        <v>1303</v>
      </c>
      <c r="F690" s="5" t="s">
        <v>1305</v>
      </c>
      <c r="G690" s="7"/>
      <c r="H690" s="17">
        <v>4350.0</v>
      </c>
      <c r="I690" s="7"/>
      <c r="J690" s="18">
        <f t="shared" si="20"/>
        <v>6525</v>
      </c>
      <c r="K690" s="18">
        <f t="shared" si="21"/>
        <v>5655</v>
      </c>
      <c r="L690" s="19">
        <f t="shared" si="22"/>
        <v>5655</v>
      </c>
      <c r="M690" s="19">
        <f t="shared" si="23"/>
        <v>5220</v>
      </c>
      <c r="N690" s="19">
        <f t="shared" si="24"/>
        <v>5002.5</v>
      </c>
      <c r="O690" s="19">
        <f t="shared" si="25"/>
        <v>4785</v>
      </c>
    </row>
    <row r="691">
      <c r="A691" s="38" t="s">
        <v>19</v>
      </c>
      <c r="B691" s="5" t="s">
        <v>1088</v>
      </c>
      <c r="C691" s="5" t="s">
        <v>1088</v>
      </c>
      <c r="D691" s="7"/>
      <c r="E691" s="5" t="s">
        <v>1306</v>
      </c>
      <c r="F691" s="5" t="s">
        <v>1307</v>
      </c>
      <c r="G691" s="7"/>
      <c r="H691" s="17">
        <v>3700.0</v>
      </c>
      <c r="I691" s="7"/>
      <c r="J691" s="18">
        <f t="shared" si="20"/>
        <v>5550</v>
      </c>
      <c r="K691" s="18">
        <f t="shared" si="21"/>
        <v>4810</v>
      </c>
      <c r="L691" s="19">
        <f t="shared" si="22"/>
        <v>4810</v>
      </c>
      <c r="M691" s="19">
        <f t="shared" si="23"/>
        <v>4440</v>
      </c>
      <c r="N691" s="19">
        <f t="shared" si="24"/>
        <v>4255</v>
      </c>
      <c r="O691" s="19">
        <f t="shared" si="25"/>
        <v>4070</v>
      </c>
    </row>
    <row r="692">
      <c r="A692" s="38" t="s">
        <v>19</v>
      </c>
      <c r="B692" s="5" t="s">
        <v>1088</v>
      </c>
      <c r="C692" s="5" t="s">
        <v>1088</v>
      </c>
      <c r="D692" s="7"/>
      <c r="E692" s="5" t="s">
        <v>1308</v>
      </c>
      <c r="F692" s="5" t="s">
        <v>1309</v>
      </c>
      <c r="G692" s="7"/>
      <c r="H692" s="17">
        <v>1500.0</v>
      </c>
      <c r="I692" s="7"/>
      <c r="J692" s="18">
        <f t="shared" si="20"/>
        <v>2250</v>
      </c>
      <c r="K692" s="18">
        <f t="shared" si="21"/>
        <v>1950</v>
      </c>
      <c r="L692" s="19">
        <f t="shared" si="22"/>
        <v>1950</v>
      </c>
      <c r="M692" s="19">
        <f t="shared" si="23"/>
        <v>1800</v>
      </c>
      <c r="N692" s="19">
        <f t="shared" si="24"/>
        <v>1725</v>
      </c>
      <c r="O692" s="19">
        <f t="shared" si="25"/>
        <v>1650</v>
      </c>
    </row>
    <row r="693">
      <c r="A693" s="38" t="s">
        <v>19</v>
      </c>
      <c r="B693" s="5" t="s">
        <v>1088</v>
      </c>
      <c r="C693" s="5" t="s">
        <v>720</v>
      </c>
      <c r="D693" s="7"/>
      <c r="E693" s="5" t="s">
        <v>1310</v>
      </c>
      <c r="F693" s="5" t="s">
        <v>1311</v>
      </c>
      <c r="G693" s="7"/>
      <c r="H693" s="17">
        <v>1000.0</v>
      </c>
      <c r="I693" s="7"/>
      <c r="J693" s="18">
        <f t="shared" si="20"/>
        <v>1500</v>
      </c>
      <c r="K693" s="18">
        <f t="shared" si="21"/>
        <v>1300</v>
      </c>
      <c r="L693" s="19">
        <f t="shared" si="22"/>
        <v>1300</v>
      </c>
      <c r="M693" s="19">
        <f t="shared" si="23"/>
        <v>1200</v>
      </c>
      <c r="N693" s="19">
        <f t="shared" si="24"/>
        <v>1150</v>
      </c>
      <c r="O693" s="19">
        <f t="shared" si="25"/>
        <v>1100</v>
      </c>
    </row>
    <row r="694">
      <c r="A694" s="38" t="s">
        <v>19</v>
      </c>
      <c r="B694" s="5" t="s">
        <v>1088</v>
      </c>
      <c r="C694" s="5" t="s">
        <v>720</v>
      </c>
      <c r="D694" s="7"/>
      <c r="E694" s="5" t="s">
        <v>1310</v>
      </c>
      <c r="F694" s="5" t="s">
        <v>1312</v>
      </c>
      <c r="G694" s="7"/>
      <c r="H694" s="17">
        <v>1000.0</v>
      </c>
      <c r="I694" s="7"/>
      <c r="J694" s="18">
        <f t="shared" si="20"/>
        <v>1500</v>
      </c>
      <c r="K694" s="18">
        <f t="shared" si="21"/>
        <v>1300</v>
      </c>
      <c r="L694" s="19">
        <f t="shared" si="22"/>
        <v>1300</v>
      </c>
      <c r="M694" s="19">
        <f t="shared" si="23"/>
        <v>1200</v>
      </c>
      <c r="N694" s="19">
        <f t="shared" si="24"/>
        <v>1150</v>
      </c>
      <c r="O694" s="19">
        <f t="shared" si="25"/>
        <v>1100</v>
      </c>
    </row>
    <row r="695">
      <c r="A695" s="38" t="s">
        <v>19</v>
      </c>
      <c r="B695" s="5" t="s">
        <v>1088</v>
      </c>
      <c r="C695" s="5" t="s">
        <v>720</v>
      </c>
      <c r="D695" s="7"/>
      <c r="E695" s="5" t="s">
        <v>1313</v>
      </c>
      <c r="F695" s="5" t="s">
        <v>1314</v>
      </c>
      <c r="G695" s="7"/>
      <c r="H695" s="17">
        <v>1850.0</v>
      </c>
      <c r="I695" s="7"/>
      <c r="J695" s="18">
        <f t="shared" si="20"/>
        <v>2775</v>
      </c>
      <c r="K695" s="18">
        <f t="shared" si="21"/>
        <v>2405</v>
      </c>
      <c r="L695" s="19">
        <f t="shared" si="22"/>
        <v>2405</v>
      </c>
      <c r="M695" s="19">
        <f t="shared" si="23"/>
        <v>2220</v>
      </c>
      <c r="N695" s="19">
        <f t="shared" si="24"/>
        <v>2127.5</v>
      </c>
      <c r="O695" s="19">
        <f t="shared" si="25"/>
        <v>2035</v>
      </c>
    </row>
    <row r="696">
      <c r="A696" s="38" t="s">
        <v>19</v>
      </c>
      <c r="B696" s="5" t="s">
        <v>1088</v>
      </c>
      <c r="C696" s="5" t="s">
        <v>720</v>
      </c>
      <c r="D696" s="7"/>
      <c r="E696" s="5" t="s">
        <v>1315</v>
      </c>
      <c r="F696" s="5" t="s">
        <v>1316</v>
      </c>
      <c r="G696" s="7"/>
      <c r="H696" s="17">
        <v>1750.0</v>
      </c>
      <c r="I696" s="7"/>
      <c r="J696" s="18">
        <f t="shared" si="20"/>
        <v>2625</v>
      </c>
      <c r="K696" s="18">
        <f t="shared" si="21"/>
        <v>2275</v>
      </c>
      <c r="L696" s="19">
        <f t="shared" si="22"/>
        <v>2275</v>
      </c>
      <c r="M696" s="19">
        <f t="shared" si="23"/>
        <v>2100</v>
      </c>
      <c r="N696" s="19">
        <f t="shared" si="24"/>
        <v>2012.5</v>
      </c>
      <c r="O696" s="19">
        <f t="shared" si="25"/>
        <v>1925</v>
      </c>
    </row>
    <row r="697">
      <c r="A697" s="38" t="s">
        <v>19</v>
      </c>
      <c r="B697" s="5" t="s">
        <v>1088</v>
      </c>
      <c r="C697" s="5" t="s">
        <v>720</v>
      </c>
      <c r="D697" s="7"/>
      <c r="E697" s="5" t="s">
        <v>1317</v>
      </c>
      <c r="F697" s="5" t="s">
        <v>1318</v>
      </c>
      <c r="G697" s="7"/>
      <c r="H697" s="17">
        <v>1980.0</v>
      </c>
      <c r="I697" s="7"/>
      <c r="J697" s="18">
        <f t="shared" si="20"/>
        <v>2970</v>
      </c>
      <c r="K697" s="18">
        <f t="shared" si="21"/>
        <v>2574</v>
      </c>
      <c r="L697" s="19">
        <f t="shared" si="22"/>
        <v>2574</v>
      </c>
      <c r="M697" s="19">
        <f t="shared" si="23"/>
        <v>2376</v>
      </c>
      <c r="N697" s="19">
        <f t="shared" si="24"/>
        <v>2277</v>
      </c>
      <c r="O697" s="19">
        <f t="shared" si="25"/>
        <v>2178</v>
      </c>
    </row>
    <row r="698">
      <c r="A698" s="38" t="s">
        <v>19</v>
      </c>
      <c r="B698" s="5" t="s">
        <v>1088</v>
      </c>
      <c r="C698" s="5" t="s">
        <v>1319</v>
      </c>
      <c r="D698" s="7"/>
      <c r="E698" s="5" t="s">
        <v>1320</v>
      </c>
      <c r="F698" s="5" t="s">
        <v>1321</v>
      </c>
      <c r="G698" s="7"/>
      <c r="H698" s="17">
        <v>1400.0</v>
      </c>
      <c r="I698" s="7"/>
      <c r="J698" s="18">
        <f t="shared" si="20"/>
        <v>2100</v>
      </c>
      <c r="K698" s="18">
        <f t="shared" si="21"/>
        <v>1820</v>
      </c>
      <c r="L698" s="19">
        <f t="shared" si="22"/>
        <v>1820</v>
      </c>
      <c r="M698" s="19">
        <f t="shared" si="23"/>
        <v>1680</v>
      </c>
      <c r="N698" s="19">
        <f t="shared" si="24"/>
        <v>1610</v>
      </c>
      <c r="O698" s="19">
        <f t="shared" si="25"/>
        <v>1540</v>
      </c>
    </row>
    <row r="699">
      <c r="A699" s="38" t="s">
        <v>19</v>
      </c>
      <c r="B699" s="5" t="s">
        <v>1088</v>
      </c>
      <c r="C699" s="5" t="s">
        <v>1319</v>
      </c>
      <c r="D699" s="7"/>
      <c r="E699" s="5" t="s">
        <v>1322</v>
      </c>
      <c r="F699" s="5" t="s">
        <v>1323</v>
      </c>
      <c r="G699" s="7"/>
      <c r="H699" s="17">
        <v>1400.0</v>
      </c>
      <c r="I699" s="7"/>
      <c r="J699" s="18">
        <f t="shared" si="20"/>
        <v>2100</v>
      </c>
      <c r="K699" s="18">
        <f t="shared" si="21"/>
        <v>1820</v>
      </c>
      <c r="L699" s="19">
        <f t="shared" si="22"/>
        <v>1820</v>
      </c>
      <c r="M699" s="19">
        <f t="shared" si="23"/>
        <v>1680</v>
      </c>
      <c r="N699" s="19">
        <f t="shared" si="24"/>
        <v>1610</v>
      </c>
      <c r="O699" s="19">
        <f t="shared" si="25"/>
        <v>1540</v>
      </c>
    </row>
    <row r="700">
      <c r="A700" s="38" t="s">
        <v>19</v>
      </c>
      <c r="B700" s="5" t="s">
        <v>1088</v>
      </c>
      <c r="C700" s="5" t="s">
        <v>1319</v>
      </c>
      <c r="D700" s="7"/>
      <c r="E700" s="5" t="s">
        <v>1324</v>
      </c>
      <c r="F700" s="5" t="s">
        <v>1325</v>
      </c>
      <c r="G700" s="7"/>
      <c r="H700" s="17">
        <v>750.0</v>
      </c>
      <c r="I700" s="7"/>
      <c r="J700" s="18">
        <f t="shared" si="20"/>
        <v>1125</v>
      </c>
      <c r="K700" s="18">
        <f t="shared" si="21"/>
        <v>975</v>
      </c>
      <c r="L700" s="19">
        <f t="shared" si="22"/>
        <v>975</v>
      </c>
      <c r="M700" s="19">
        <f t="shared" si="23"/>
        <v>900</v>
      </c>
      <c r="N700" s="19">
        <f t="shared" si="24"/>
        <v>862.5</v>
      </c>
      <c r="O700" s="19">
        <f t="shared" si="25"/>
        <v>825</v>
      </c>
    </row>
    <row r="701">
      <c r="A701" s="38" t="s">
        <v>19</v>
      </c>
      <c r="B701" s="5" t="s">
        <v>1088</v>
      </c>
      <c r="C701" s="5" t="s">
        <v>494</v>
      </c>
      <c r="D701" s="7"/>
      <c r="E701" s="5" t="s">
        <v>1326</v>
      </c>
      <c r="F701" s="5" t="s">
        <v>1327</v>
      </c>
      <c r="G701" s="7"/>
      <c r="H701" s="17">
        <v>170.0</v>
      </c>
      <c r="I701" s="7"/>
      <c r="J701" s="18">
        <f t="shared" si="20"/>
        <v>255</v>
      </c>
      <c r="K701" s="18">
        <f t="shared" si="21"/>
        <v>221</v>
      </c>
      <c r="L701" s="19">
        <f t="shared" si="22"/>
        <v>221</v>
      </c>
      <c r="M701" s="19">
        <f t="shared" si="23"/>
        <v>204</v>
      </c>
      <c r="N701" s="19">
        <f t="shared" si="24"/>
        <v>195.5</v>
      </c>
      <c r="O701" s="19">
        <f t="shared" si="25"/>
        <v>187</v>
      </c>
    </row>
    <row r="702">
      <c r="A702" s="38" t="s">
        <v>19</v>
      </c>
      <c r="B702" s="5" t="s">
        <v>1088</v>
      </c>
      <c r="C702" s="5" t="s">
        <v>1328</v>
      </c>
      <c r="D702" s="7"/>
      <c r="E702" s="5" t="s">
        <v>1329</v>
      </c>
      <c r="F702" s="5" t="s">
        <v>1330</v>
      </c>
      <c r="G702" s="7"/>
      <c r="H702" s="17">
        <v>1150.0</v>
      </c>
      <c r="I702" s="7"/>
      <c r="J702" s="18">
        <f t="shared" si="20"/>
        <v>1725</v>
      </c>
      <c r="K702" s="18">
        <f t="shared" si="21"/>
        <v>1495</v>
      </c>
      <c r="L702" s="19">
        <f t="shared" si="22"/>
        <v>1495</v>
      </c>
      <c r="M702" s="19">
        <f t="shared" si="23"/>
        <v>1380</v>
      </c>
      <c r="N702" s="19">
        <f t="shared" si="24"/>
        <v>1322.5</v>
      </c>
      <c r="O702" s="19">
        <f t="shared" si="25"/>
        <v>1265</v>
      </c>
    </row>
    <row r="703">
      <c r="A703" s="38" t="s">
        <v>19</v>
      </c>
      <c r="B703" s="5" t="s">
        <v>1088</v>
      </c>
      <c r="C703" s="5" t="s">
        <v>1328</v>
      </c>
      <c r="D703" s="7"/>
      <c r="E703" s="5" t="s">
        <v>1331</v>
      </c>
      <c r="F703" s="5" t="s">
        <v>1332</v>
      </c>
      <c r="G703" s="7"/>
      <c r="H703" s="17">
        <v>1750.0</v>
      </c>
      <c r="I703" s="7"/>
      <c r="J703" s="18">
        <f t="shared" si="20"/>
        <v>2625</v>
      </c>
      <c r="K703" s="18">
        <f t="shared" si="21"/>
        <v>2275</v>
      </c>
      <c r="L703" s="19">
        <f t="shared" si="22"/>
        <v>2275</v>
      </c>
      <c r="M703" s="19">
        <f t="shared" si="23"/>
        <v>2100</v>
      </c>
      <c r="N703" s="19">
        <f t="shared" si="24"/>
        <v>2012.5</v>
      </c>
      <c r="O703" s="19">
        <f t="shared" si="25"/>
        <v>1925</v>
      </c>
    </row>
    <row r="704">
      <c r="A704" s="38" t="s">
        <v>19</v>
      </c>
      <c r="B704" s="5" t="s">
        <v>1088</v>
      </c>
      <c r="C704" s="5" t="s">
        <v>1328</v>
      </c>
      <c r="D704" s="7"/>
      <c r="E704" s="5" t="s">
        <v>1333</v>
      </c>
      <c r="F704" s="5" t="s">
        <v>1334</v>
      </c>
      <c r="G704" s="7"/>
      <c r="H704" s="17">
        <v>3000.0</v>
      </c>
      <c r="I704" s="7"/>
      <c r="J704" s="18">
        <f t="shared" si="20"/>
        <v>4500</v>
      </c>
      <c r="K704" s="18">
        <f t="shared" si="21"/>
        <v>3900</v>
      </c>
      <c r="L704" s="19">
        <f t="shared" si="22"/>
        <v>3900</v>
      </c>
      <c r="M704" s="19">
        <f t="shared" si="23"/>
        <v>3600</v>
      </c>
      <c r="N704" s="19">
        <f t="shared" si="24"/>
        <v>3450</v>
      </c>
      <c r="O704" s="19">
        <f t="shared" si="25"/>
        <v>3300</v>
      </c>
    </row>
    <row r="705">
      <c r="A705" s="38" t="s">
        <v>19</v>
      </c>
      <c r="B705" s="5" t="s">
        <v>1088</v>
      </c>
      <c r="C705" s="5" t="s">
        <v>1328</v>
      </c>
      <c r="D705" s="7"/>
      <c r="E705" s="5" t="s">
        <v>1335</v>
      </c>
      <c r="F705" s="5" t="s">
        <v>1330</v>
      </c>
      <c r="G705" s="7"/>
      <c r="H705" s="17">
        <v>1050.0</v>
      </c>
      <c r="I705" s="7"/>
      <c r="J705" s="18">
        <f t="shared" si="20"/>
        <v>1575</v>
      </c>
      <c r="K705" s="18">
        <f t="shared" si="21"/>
        <v>1365</v>
      </c>
      <c r="L705" s="19">
        <f t="shared" si="22"/>
        <v>1365</v>
      </c>
      <c r="M705" s="19">
        <f t="shared" si="23"/>
        <v>1260</v>
      </c>
      <c r="N705" s="19">
        <f t="shared" si="24"/>
        <v>1207.5</v>
      </c>
      <c r="O705" s="19">
        <f t="shared" si="25"/>
        <v>1155</v>
      </c>
    </row>
    <row r="706">
      <c r="A706" s="38" t="s">
        <v>19</v>
      </c>
      <c r="B706" s="5" t="s">
        <v>1088</v>
      </c>
      <c r="C706" s="5" t="s">
        <v>1328</v>
      </c>
      <c r="D706" s="7"/>
      <c r="E706" s="5" t="s">
        <v>1336</v>
      </c>
      <c r="F706" s="5" t="s">
        <v>1332</v>
      </c>
      <c r="G706" s="7"/>
      <c r="H706" s="17">
        <v>1650.0</v>
      </c>
      <c r="I706" s="7"/>
      <c r="J706" s="18">
        <f t="shared" si="20"/>
        <v>2475</v>
      </c>
      <c r="K706" s="18">
        <f t="shared" si="21"/>
        <v>2145</v>
      </c>
      <c r="L706" s="19">
        <f t="shared" si="22"/>
        <v>2145</v>
      </c>
      <c r="M706" s="19">
        <f t="shared" si="23"/>
        <v>1980</v>
      </c>
      <c r="N706" s="19">
        <f t="shared" si="24"/>
        <v>1897.5</v>
      </c>
      <c r="O706" s="19">
        <f t="shared" si="25"/>
        <v>1815</v>
      </c>
    </row>
    <row r="707">
      <c r="A707" s="38" t="s">
        <v>19</v>
      </c>
      <c r="B707" s="5" t="s">
        <v>1088</v>
      </c>
      <c r="C707" s="5" t="s">
        <v>1328</v>
      </c>
      <c r="D707" s="7"/>
      <c r="E707" s="5" t="s">
        <v>1337</v>
      </c>
      <c r="F707" s="5" t="s">
        <v>1334</v>
      </c>
      <c r="G707" s="7"/>
      <c r="H707" s="17">
        <v>2800.0</v>
      </c>
      <c r="I707" s="7"/>
      <c r="J707" s="18">
        <f t="shared" si="20"/>
        <v>4200</v>
      </c>
      <c r="K707" s="18">
        <f t="shared" si="21"/>
        <v>3640</v>
      </c>
      <c r="L707" s="19">
        <f t="shared" si="22"/>
        <v>3640</v>
      </c>
      <c r="M707" s="19">
        <f t="shared" si="23"/>
        <v>3360</v>
      </c>
      <c r="N707" s="19">
        <f t="shared" si="24"/>
        <v>3220</v>
      </c>
      <c r="O707" s="19">
        <f t="shared" si="25"/>
        <v>3080</v>
      </c>
    </row>
    <row r="708">
      <c r="A708" s="38" t="s">
        <v>19</v>
      </c>
      <c r="B708" s="5" t="s">
        <v>1088</v>
      </c>
      <c r="C708" s="5" t="s">
        <v>1338</v>
      </c>
      <c r="D708" s="7"/>
      <c r="E708" s="5" t="s">
        <v>1339</v>
      </c>
      <c r="F708" s="5" t="s">
        <v>1340</v>
      </c>
      <c r="G708" s="7"/>
      <c r="H708" s="17">
        <v>2300.0</v>
      </c>
      <c r="I708" s="7"/>
      <c r="J708" s="18">
        <f t="shared" si="20"/>
        <v>3450</v>
      </c>
      <c r="K708" s="18">
        <f t="shared" si="21"/>
        <v>2990</v>
      </c>
      <c r="L708" s="19">
        <f t="shared" si="22"/>
        <v>2990</v>
      </c>
      <c r="M708" s="19">
        <f t="shared" si="23"/>
        <v>2760</v>
      </c>
      <c r="N708" s="19">
        <f t="shared" si="24"/>
        <v>2645</v>
      </c>
      <c r="O708" s="19">
        <f t="shared" si="25"/>
        <v>2530</v>
      </c>
    </row>
    <row r="709">
      <c r="A709" s="38" t="s">
        <v>19</v>
      </c>
      <c r="B709" s="5" t="s">
        <v>1088</v>
      </c>
      <c r="C709" s="5" t="s">
        <v>1338</v>
      </c>
      <c r="D709" s="7"/>
      <c r="E709" s="5" t="s">
        <v>1341</v>
      </c>
      <c r="F709" s="5" t="s">
        <v>1342</v>
      </c>
      <c r="G709" s="7"/>
      <c r="H709" s="17">
        <v>2900.0</v>
      </c>
      <c r="I709" s="7"/>
      <c r="J709" s="18">
        <f t="shared" si="20"/>
        <v>4350</v>
      </c>
      <c r="K709" s="18">
        <f t="shared" si="21"/>
        <v>3770</v>
      </c>
      <c r="L709" s="19">
        <f t="shared" si="22"/>
        <v>3770</v>
      </c>
      <c r="M709" s="19">
        <f t="shared" si="23"/>
        <v>3480</v>
      </c>
      <c r="N709" s="19">
        <f t="shared" si="24"/>
        <v>3335</v>
      </c>
      <c r="O709" s="19">
        <f t="shared" si="25"/>
        <v>3190</v>
      </c>
    </row>
    <row r="710">
      <c r="A710" s="38" t="s">
        <v>19</v>
      </c>
      <c r="B710" s="5" t="s">
        <v>1088</v>
      </c>
      <c r="C710" s="5" t="s">
        <v>1338</v>
      </c>
      <c r="D710" s="7"/>
      <c r="E710" s="5" t="s">
        <v>1343</v>
      </c>
      <c r="F710" s="5" t="s">
        <v>1344</v>
      </c>
      <c r="G710" s="7"/>
      <c r="H710" s="17">
        <v>700.0</v>
      </c>
      <c r="I710" s="7"/>
      <c r="J710" s="18">
        <f t="shared" si="20"/>
        <v>1050</v>
      </c>
      <c r="K710" s="18">
        <f t="shared" si="21"/>
        <v>910</v>
      </c>
      <c r="L710" s="19">
        <f t="shared" si="22"/>
        <v>910</v>
      </c>
      <c r="M710" s="19">
        <f t="shared" si="23"/>
        <v>840</v>
      </c>
      <c r="N710" s="19">
        <f t="shared" si="24"/>
        <v>805</v>
      </c>
      <c r="O710" s="19">
        <f t="shared" si="25"/>
        <v>770</v>
      </c>
    </row>
    <row r="711">
      <c r="A711" s="38" t="s">
        <v>19</v>
      </c>
      <c r="B711" s="5" t="s">
        <v>1088</v>
      </c>
      <c r="C711" s="5" t="s">
        <v>1338</v>
      </c>
      <c r="D711" s="7"/>
      <c r="E711" s="5" t="s">
        <v>1345</v>
      </c>
      <c r="F711" s="5" t="s">
        <v>1346</v>
      </c>
      <c r="G711" s="7"/>
      <c r="H711" s="17">
        <v>1000.0</v>
      </c>
      <c r="I711" s="7"/>
      <c r="J711" s="18">
        <f t="shared" si="20"/>
        <v>1500</v>
      </c>
      <c r="K711" s="18">
        <f t="shared" si="21"/>
        <v>1300</v>
      </c>
      <c r="L711" s="19">
        <f t="shared" si="22"/>
        <v>1300</v>
      </c>
      <c r="M711" s="19">
        <f t="shared" si="23"/>
        <v>1200</v>
      </c>
      <c r="N711" s="19">
        <f t="shared" si="24"/>
        <v>1150</v>
      </c>
      <c r="O711" s="19">
        <f t="shared" si="25"/>
        <v>1100</v>
      </c>
    </row>
    <row r="712">
      <c r="A712" s="38" t="s">
        <v>19</v>
      </c>
      <c r="B712" s="5" t="s">
        <v>1088</v>
      </c>
      <c r="C712" s="5" t="s">
        <v>1338</v>
      </c>
      <c r="D712" s="7"/>
      <c r="E712" s="5" t="s">
        <v>1347</v>
      </c>
      <c r="F712" s="5" t="s">
        <v>1348</v>
      </c>
      <c r="G712" s="7"/>
      <c r="H712" s="17">
        <v>1850.0</v>
      </c>
      <c r="I712" s="7"/>
      <c r="J712" s="18">
        <f t="shared" si="20"/>
        <v>2775</v>
      </c>
      <c r="K712" s="18">
        <f t="shared" si="21"/>
        <v>2405</v>
      </c>
      <c r="L712" s="19">
        <f t="shared" si="22"/>
        <v>2405</v>
      </c>
      <c r="M712" s="19">
        <f t="shared" si="23"/>
        <v>2220</v>
      </c>
      <c r="N712" s="19">
        <f t="shared" si="24"/>
        <v>2127.5</v>
      </c>
      <c r="O712" s="19">
        <f t="shared" si="25"/>
        <v>2035</v>
      </c>
    </row>
    <row r="713">
      <c r="A713" s="38" t="s">
        <v>19</v>
      </c>
      <c r="B713" s="5" t="s">
        <v>1088</v>
      </c>
      <c r="C713" s="5" t="s">
        <v>1338</v>
      </c>
      <c r="D713" s="7"/>
      <c r="E713" s="5" t="s">
        <v>1349</v>
      </c>
      <c r="F713" s="5" t="s">
        <v>1350</v>
      </c>
      <c r="G713" s="7"/>
      <c r="H713" s="17">
        <v>1850.0</v>
      </c>
      <c r="I713" s="7"/>
      <c r="J713" s="18">
        <f t="shared" si="20"/>
        <v>2775</v>
      </c>
      <c r="K713" s="18">
        <f t="shared" si="21"/>
        <v>2405</v>
      </c>
      <c r="L713" s="19">
        <f t="shared" si="22"/>
        <v>2405</v>
      </c>
      <c r="M713" s="19">
        <f t="shared" si="23"/>
        <v>2220</v>
      </c>
      <c r="N713" s="19">
        <f t="shared" si="24"/>
        <v>2127.5</v>
      </c>
      <c r="O713" s="19">
        <f t="shared" si="25"/>
        <v>2035</v>
      </c>
    </row>
    <row r="714">
      <c r="A714" s="38" t="s">
        <v>19</v>
      </c>
      <c r="B714" s="5" t="s">
        <v>1088</v>
      </c>
      <c r="C714" s="5" t="s">
        <v>1338</v>
      </c>
      <c r="D714" s="7"/>
      <c r="E714" s="5" t="s">
        <v>1351</v>
      </c>
      <c r="F714" s="5" t="s">
        <v>1352</v>
      </c>
      <c r="G714" s="7"/>
      <c r="H714" s="17">
        <v>3700.0</v>
      </c>
      <c r="I714" s="7"/>
      <c r="J714" s="18">
        <f t="shared" si="20"/>
        <v>5550</v>
      </c>
      <c r="K714" s="18">
        <f t="shared" si="21"/>
        <v>4810</v>
      </c>
      <c r="L714" s="19">
        <f t="shared" si="22"/>
        <v>4810</v>
      </c>
      <c r="M714" s="19">
        <f t="shared" si="23"/>
        <v>4440</v>
      </c>
      <c r="N714" s="19">
        <f t="shared" si="24"/>
        <v>4255</v>
      </c>
      <c r="O714" s="19">
        <f t="shared" si="25"/>
        <v>4070</v>
      </c>
    </row>
    <row r="715">
      <c r="A715" s="38" t="s">
        <v>19</v>
      </c>
      <c r="B715" s="5" t="s">
        <v>1088</v>
      </c>
      <c r="C715" s="5" t="s">
        <v>1338</v>
      </c>
      <c r="D715" s="7"/>
      <c r="E715" s="5" t="s">
        <v>1353</v>
      </c>
      <c r="F715" s="5" t="s">
        <v>1354</v>
      </c>
      <c r="G715" s="7"/>
      <c r="H715" s="17">
        <v>3450.0</v>
      </c>
      <c r="I715" s="7"/>
      <c r="J715" s="18">
        <f t="shared" si="20"/>
        <v>5175</v>
      </c>
      <c r="K715" s="18">
        <f t="shared" si="21"/>
        <v>4485</v>
      </c>
      <c r="L715" s="19">
        <f t="shared" si="22"/>
        <v>4485</v>
      </c>
      <c r="M715" s="19">
        <f t="shared" si="23"/>
        <v>4140</v>
      </c>
      <c r="N715" s="19">
        <f t="shared" si="24"/>
        <v>3967.5</v>
      </c>
      <c r="O715" s="19">
        <f t="shared" si="25"/>
        <v>3795</v>
      </c>
    </row>
    <row r="716">
      <c r="A716" s="38" t="s">
        <v>19</v>
      </c>
      <c r="B716" s="5" t="s">
        <v>1088</v>
      </c>
      <c r="C716" s="5" t="s">
        <v>1338</v>
      </c>
      <c r="D716" s="7"/>
      <c r="E716" s="5" t="s">
        <v>1355</v>
      </c>
      <c r="F716" s="5" t="s">
        <v>1356</v>
      </c>
      <c r="G716" s="7"/>
      <c r="H716" s="17">
        <v>1850.0</v>
      </c>
      <c r="I716" s="7"/>
      <c r="J716" s="18">
        <f t="shared" si="20"/>
        <v>2775</v>
      </c>
      <c r="K716" s="18">
        <f t="shared" si="21"/>
        <v>2405</v>
      </c>
      <c r="L716" s="19">
        <f t="shared" si="22"/>
        <v>2405</v>
      </c>
      <c r="M716" s="19">
        <f t="shared" si="23"/>
        <v>2220</v>
      </c>
      <c r="N716" s="19">
        <f t="shared" si="24"/>
        <v>2127.5</v>
      </c>
      <c r="O716" s="19">
        <f t="shared" si="25"/>
        <v>2035</v>
      </c>
    </row>
    <row r="717">
      <c r="A717" s="38" t="s">
        <v>19</v>
      </c>
      <c r="B717" s="5" t="s">
        <v>1088</v>
      </c>
      <c r="C717" s="5" t="s">
        <v>591</v>
      </c>
      <c r="D717" s="7"/>
      <c r="E717" s="5" t="s">
        <v>591</v>
      </c>
      <c r="F717" s="5" t="s">
        <v>1357</v>
      </c>
      <c r="G717" s="7"/>
      <c r="H717" s="17">
        <v>7100.0</v>
      </c>
      <c r="I717" s="7"/>
      <c r="J717" s="18">
        <f t="shared" si="20"/>
        <v>10650</v>
      </c>
      <c r="K717" s="18">
        <f t="shared" si="21"/>
        <v>9230</v>
      </c>
      <c r="L717" s="19">
        <f t="shared" si="22"/>
        <v>9230</v>
      </c>
      <c r="M717" s="19">
        <f t="shared" si="23"/>
        <v>8520</v>
      </c>
      <c r="N717" s="19">
        <f t="shared" si="24"/>
        <v>8165</v>
      </c>
      <c r="O717" s="19">
        <f t="shared" si="25"/>
        <v>7810</v>
      </c>
    </row>
    <row r="718">
      <c r="A718" s="38" t="s">
        <v>19</v>
      </c>
      <c r="B718" s="5" t="s">
        <v>1088</v>
      </c>
      <c r="C718" s="5" t="s">
        <v>591</v>
      </c>
      <c r="D718" s="7"/>
      <c r="E718" s="5" t="s">
        <v>591</v>
      </c>
      <c r="F718" s="5" t="s">
        <v>1358</v>
      </c>
      <c r="G718" s="7"/>
      <c r="H718" s="17">
        <v>5200.0</v>
      </c>
      <c r="I718" s="7"/>
      <c r="J718" s="18">
        <f t="shared" si="20"/>
        <v>7800</v>
      </c>
      <c r="K718" s="18">
        <f t="shared" si="21"/>
        <v>6760</v>
      </c>
      <c r="L718" s="19">
        <f t="shared" si="22"/>
        <v>6760</v>
      </c>
      <c r="M718" s="19">
        <f t="shared" si="23"/>
        <v>6240</v>
      </c>
      <c r="N718" s="19">
        <f t="shared" si="24"/>
        <v>5980</v>
      </c>
      <c r="O718" s="19">
        <f t="shared" si="25"/>
        <v>5720</v>
      </c>
    </row>
    <row r="719">
      <c r="A719" s="38" t="s">
        <v>19</v>
      </c>
      <c r="B719" s="5" t="s">
        <v>1088</v>
      </c>
      <c r="C719" s="5" t="s">
        <v>591</v>
      </c>
      <c r="D719" s="7"/>
      <c r="E719" s="5" t="s">
        <v>591</v>
      </c>
      <c r="F719" s="5" t="s">
        <v>1359</v>
      </c>
      <c r="G719" s="7"/>
      <c r="H719" s="17">
        <v>3100.0</v>
      </c>
      <c r="I719" s="7"/>
      <c r="J719" s="18">
        <f t="shared" si="20"/>
        <v>4650</v>
      </c>
      <c r="K719" s="18">
        <f t="shared" si="21"/>
        <v>4030</v>
      </c>
      <c r="L719" s="19">
        <f t="shared" si="22"/>
        <v>4030</v>
      </c>
      <c r="M719" s="19">
        <f t="shared" si="23"/>
        <v>3720</v>
      </c>
      <c r="N719" s="19">
        <f t="shared" si="24"/>
        <v>3565</v>
      </c>
      <c r="O719" s="19">
        <f t="shared" si="25"/>
        <v>3410</v>
      </c>
    </row>
    <row r="720">
      <c r="A720" s="38" t="s">
        <v>19</v>
      </c>
      <c r="B720" s="5" t="s">
        <v>1088</v>
      </c>
      <c r="C720" s="5" t="s">
        <v>591</v>
      </c>
      <c r="D720" s="7"/>
      <c r="E720" s="5" t="s">
        <v>591</v>
      </c>
      <c r="F720" s="5" t="s">
        <v>1360</v>
      </c>
      <c r="G720" s="7"/>
      <c r="H720" s="17">
        <v>3100.0</v>
      </c>
      <c r="I720" s="7"/>
      <c r="J720" s="18">
        <f t="shared" si="20"/>
        <v>4650</v>
      </c>
      <c r="K720" s="18">
        <f t="shared" si="21"/>
        <v>4030</v>
      </c>
      <c r="L720" s="19">
        <f t="shared" si="22"/>
        <v>4030</v>
      </c>
      <c r="M720" s="19">
        <f t="shared" si="23"/>
        <v>3720</v>
      </c>
      <c r="N720" s="19">
        <f t="shared" si="24"/>
        <v>3565</v>
      </c>
      <c r="O720" s="19">
        <f t="shared" si="25"/>
        <v>3410</v>
      </c>
    </row>
    <row r="721">
      <c r="A721" s="38" t="s">
        <v>19</v>
      </c>
      <c r="B721" s="5" t="s">
        <v>1088</v>
      </c>
      <c r="C721" s="5" t="s">
        <v>591</v>
      </c>
      <c r="D721" s="7"/>
      <c r="E721" s="5" t="s">
        <v>591</v>
      </c>
      <c r="F721" s="5" t="s">
        <v>1361</v>
      </c>
      <c r="G721" s="7"/>
      <c r="H721" s="17">
        <v>5200.0</v>
      </c>
      <c r="I721" s="7"/>
      <c r="J721" s="18">
        <f t="shared" si="20"/>
        <v>7800</v>
      </c>
      <c r="K721" s="18">
        <f t="shared" si="21"/>
        <v>6760</v>
      </c>
      <c r="L721" s="19">
        <f t="shared" si="22"/>
        <v>6760</v>
      </c>
      <c r="M721" s="19">
        <f t="shared" si="23"/>
        <v>6240</v>
      </c>
      <c r="N721" s="19">
        <f t="shared" si="24"/>
        <v>5980</v>
      </c>
      <c r="O721" s="19">
        <f t="shared" si="25"/>
        <v>5720</v>
      </c>
    </row>
    <row r="722">
      <c r="A722" s="38" t="s">
        <v>19</v>
      </c>
      <c r="B722" s="5" t="s">
        <v>1088</v>
      </c>
      <c r="C722" s="5" t="s">
        <v>591</v>
      </c>
      <c r="D722" s="7"/>
      <c r="E722" s="5" t="s">
        <v>591</v>
      </c>
      <c r="F722" s="5" t="s">
        <v>1362</v>
      </c>
      <c r="G722" s="7"/>
      <c r="H722" s="17">
        <v>8700.0</v>
      </c>
      <c r="I722" s="7"/>
      <c r="J722" s="18">
        <f t="shared" si="20"/>
        <v>13050</v>
      </c>
      <c r="K722" s="18">
        <f t="shared" si="21"/>
        <v>11310</v>
      </c>
      <c r="L722" s="19">
        <f t="shared" si="22"/>
        <v>11310</v>
      </c>
      <c r="M722" s="19">
        <f t="shared" si="23"/>
        <v>10440</v>
      </c>
      <c r="N722" s="19">
        <f t="shared" si="24"/>
        <v>10005</v>
      </c>
      <c r="O722" s="19">
        <f t="shared" si="25"/>
        <v>9570</v>
      </c>
    </row>
    <row r="723">
      <c r="A723" s="38" t="s">
        <v>19</v>
      </c>
      <c r="B723" s="5" t="s">
        <v>1088</v>
      </c>
      <c r="C723" s="5" t="s">
        <v>1363</v>
      </c>
      <c r="D723" s="7"/>
      <c r="E723" s="5" t="s">
        <v>1364</v>
      </c>
      <c r="F723" s="5" t="s">
        <v>1365</v>
      </c>
      <c r="G723" s="7"/>
      <c r="H723" s="17">
        <v>4600.0</v>
      </c>
      <c r="I723" s="5" t="s">
        <v>1366</v>
      </c>
      <c r="J723" s="18">
        <f t="shared" si="20"/>
        <v>6900</v>
      </c>
      <c r="K723" s="18">
        <f t="shared" si="21"/>
        <v>5980</v>
      </c>
      <c r="L723" s="19">
        <f t="shared" si="22"/>
        <v>5980</v>
      </c>
      <c r="M723" s="19">
        <f t="shared" si="23"/>
        <v>5520</v>
      </c>
      <c r="N723" s="19">
        <f t="shared" si="24"/>
        <v>5290</v>
      </c>
      <c r="O723" s="19">
        <f t="shared" si="25"/>
        <v>5060</v>
      </c>
    </row>
    <row r="724">
      <c r="A724" s="38" t="s">
        <v>19</v>
      </c>
      <c r="B724" s="5" t="s">
        <v>1088</v>
      </c>
      <c r="C724" s="5" t="s">
        <v>1363</v>
      </c>
      <c r="D724" s="7"/>
      <c r="E724" s="5" t="s">
        <v>1367</v>
      </c>
      <c r="F724" s="5" t="s">
        <v>1368</v>
      </c>
      <c r="G724" s="7"/>
      <c r="H724" s="17">
        <v>4350.0</v>
      </c>
      <c r="I724" s="5" t="s">
        <v>1366</v>
      </c>
      <c r="J724" s="18">
        <f t="shared" si="20"/>
        <v>6525</v>
      </c>
      <c r="K724" s="18">
        <f t="shared" si="21"/>
        <v>5655</v>
      </c>
      <c r="L724" s="19">
        <f t="shared" si="22"/>
        <v>5655</v>
      </c>
      <c r="M724" s="19">
        <f t="shared" si="23"/>
        <v>5220</v>
      </c>
      <c r="N724" s="19">
        <f t="shared" si="24"/>
        <v>5002.5</v>
      </c>
      <c r="O724" s="19">
        <f t="shared" si="25"/>
        <v>4785</v>
      </c>
    </row>
    <row r="725">
      <c r="A725" s="38" t="s">
        <v>19</v>
      </c>
      <c r="B725" s="5" t="s">
        <v>1369</v>
      </c>
      <c r="C725" s="7"/>
      <c r="D725" s="5" t="s">
        <v>1370</v>
      </c>
      <c r="E725" s="5" t="s">
        <v>1371</v>
      </c>
      <c r="F725" s="16" t="s">
        <v>1372</v>
      </c>
      <c r="G725" s="7"/>
      <c r="H725" s="17">
        <v>4600.0</v>
      </c>
      <c r="I725" s="16" t="s">
        <v>1373</v>
      </c>
      <c r="J725" s="18">
        <f t="shared" si="20"/>
        <v>6900</v>
      </c>
      <c r="K725" s="18">
        <f t="shared" si="21"/>
        <v>5980</v>
      </c>
      <c r="L725" s="19">
        <f t="shared" si="22"/>
        <v>5980</v>
      </c>
      <c r="M725" s="19">
        <f t="shared" si="23"/>
        <v>5520</v>
      </c>
      <c r="N725" s="19">
        <f t="shared" si="24"/>
        <v>5290</v>
      </c>
      <c r="O725" s="19">
        <f t="shared" si="25"/>
        <v>5060</v>
      </c>
    </row>
    <row r="726">
      <c r="A726" s="38" t="s">
        <v>19</v>
      </c>
      <c r="B726" s="5" t="s">
        <v>1369</v>
      </c>
      <c r="C726" s="7"/>
      <c r="D726" s="5" t="s">
        <v>1370</v>
      </c>
      <c r="E726" s="5" t="s">
        <v>1374</v>
      </c>
      <c r="F726" s="16" t="s">
        <v>1375</v>
      </c>
      <c r="G726" s="7"/>
      <c r="H726" s="17">
        <v>3500.0</v>
      </c>
      <c r="I726" s="16" t="s">
        <v>1376</v>
      </c>
      <c r="J726" s="18">
        <f t="shared" si="20"/>
        <v>5250</v>
      </c>
      <c r="K726" s="18">
        <f t="shared" si="21"/>
        <v>4550</v>
      </c>
      <c r="L726" s="19">
        <f t="shared" si="22"/>
        <v>4550</v>
      </c>
      <c r="M726" s="19">
        <f t="shared" si="23"/>
        <v>4200</v>
      </c>
      <c r="N726" s="19">
        <f t="shared" si="24"/>
        <v>4025</v>
      </c>
      <c r="O726" s="19">
        <f t="shared" si="25"/>
        <v>3850</v>
      </c>
    </row>
    <row r="727">
      <c r="A727" s="38" t="s">
        <v>19</v>
      </c>
      <c r="B727" s="5" t="s">
        <v>1369</v>
      </c>
      <c r="C727" s="7"/>
      <c r="D727" s="5" t="s">
        <v>654</v>
      </c>
      <c r="E727" s="5" t="s">
        <v>1377</v>
      </c>
      <c r="F727" s="15" t="s">
        <v>1378</v>
      </c>
      <c r="G727" s="7"/>
      <c r="H727" s="17">
        <v>2900.0</v>
      </c>
      <c r="I727" s="16" t="s">
        <v>1379</v>
      </c>
      <c r="J727" s="18">
        <f t="shared" si="20"/>
        <v>4350</v>
      </c>
      <c r="K727" s="18">
        <f t="shared" si="21"/>
        <v>3770</v>
      </c>
      <c r="L727" s="19">
        <f t="shared" si="22"/>
        <v>3770</v>
      </c>
      <c r="M727" s="19">
        <f t="shared" si="23"/>
        <v>3480</v>
      </c>
      <c r="N727" s="19">
        <f t="shared" si="24"/>
        <v>3335</v>
      </c>
      <c r="O727" s="19">
        <f t="shared" si="25"/>
        <v>3190</v>
      </c>
    </row>
    <row r="728">
      <c r="A728" s="38" t="s">
        <v>19</v>
      </c>
      <c r="B728" s="5" t="s">
        <v>1369</v>
      </c>
      <c r="C728" s="7"/>
      <c r="D728" s="5" t="s">
        <v>1380</v>
      </c>
      <c r="E728" s="5" t="s">
        <v>1381</v>
      </c>
      <c r="F728" s="37" t="s">
        <v>1381</v>
      </c>
      <c r="G728" s="7"/>
      <c r="H728" s="17">
        <v>500.0</v>
      </c>
      <c r="I728" s="30" t="s">
        <v>1382</v>
      </c>
      <c r="J728" s="18">
        <f t="shared" si="20"/>
        <v>750</v>
      </c>
      <c r="K728" s="18">
        <f t="shared" si="21"/>
        <v>650</v>
      </c>
      <c r="L728" s="19">
        <f t="shared" si="22"/>
        <v>650</v>
      </c>
      <c r="M728" s="19">
        <f t="shared" si="23"/>
        <v>600</v>
      </c>
      <c r="N728" s="19">
        <f t="shared" si="24"/>
        <v>575</v>
      </c>
      <c r="O728" s="19">
        <f t="shared" si="25"/>
        <v>550</v>
      </c>
    </row>
    <row r="729">
      <c r="A729" s="38" t="s">
        <v>19</v>
      </c>
      <c r="B729" s="5" t="s">
        <v>1383</v>
      </c>
      <c r="C729" s="40" t="s">
        <v>1384</v>
      </c>
      <c r="D729" s="40" t="s">
        <v>1385</v>
      </c>
      <c r="E729" s="41" t="s">
        <v>1386</v>
      </c>
      <c r="F729" s="16" t="s">
        <v>1387</v>
      </c>
      <c r="G729" s="7"/>
      <c r="H729" s="27">
        <v>116600.0</v>
      </c>
      <c r="I729" s="7"/>
      <c r="J729" s="18">
        <f t="shared" si="20"/>
        <v>174900</v>
      </c>
      <c r="K729" s="18">
        <f t="shared" si="21"/>
        <v>151580</v>
      </c>
      <c r="L729" s="19">
        <f t="shared" si="22"/>
        <v>151580</v>
      </c>
      <c r="M729" s="19">
        <f t="shared" si="23"/>
        <v>139920</v>
      </c>
      <c r="N729" s="19">
        <f t="shared" si="24"/>
        <v>134090</v>
      </c>
      <c r="O729" s="19">
        <f t="shared" si="25"/>
        <v>128260</v>
      </c>
    </row>
    <row r="730">
      <c r="A730" s="38" t="s">
        <v>19</v>
      </c>
      <c r="B730" s="5" t="s">
        <v>1383</v>
      </c>
      <c r="C730" s="40" t="s">
        <v>1384</v>
      </c>
      <c r="D730" s="40" t="s">
        <v>1388</v>
      </c>
      <c r="E730" s="41" t="s">
        <v>1389</v>
      </c>
      <c r="F730" s="16" t="s">
        <v>1387</v>
      </c>
      <c r="G730" s="7"/>
      <c r="H730" s="27">
        <v>158100.0</v>
      </c>
      <c r="I730" s="7"/>
      <c r="J730" s="18">
        <f t="shared" si="20"/>
        <v>237150</v>
      </c>
      <c r="K730" s="18">
        <f t="shared" si="21"/>
        <v>205530</v>
      </c>
      <c r="L730" s="19">
        <f t="shared" si="22"/>
        <v>205530</v>
      </c>
      <c r="M730" s="19">
        <f t="shared" si="23"/>
        <v>189720</v>
      </c>
      <c r="N730" s="19">
        <f t="shared" si="24"/>
        <v>181815</v>
      </c>
      <c r="O730" s="19">
        <f t="shared" si="25"/>
        <v>173910</v>
      </c>
    </row>
    <row r="731">
      <c r="A731" s="38" t="s">
        <v>19</v>
      </c>
      <c r="B731" s="5" t="s">
        <v>1383</v>
      </c>
      <c r="C731" s="40" t="s">
        <v>1384</v>
      </c>
      <c r="D731" s="40" t="s">
        <v>1390</v>
      </c>
      <c r="E731" s="41" t="s">
        <v>1391</v>
      </c>
      <c r="F731" s="16" t="s">
        <v>1387</v>
      </c>
      <c r="G731" s="7"/>
      <c r="H731" s="27">
        <v>183600.0</v>
      </c>
      <c r="I731" s="7"/>
      <c r="J731" s="18">
        <f t="shared" si="20"/>
        <v>275400</v>
      </c>
      <c r="K731" s="18">
        <f t="shared" si="21"/>
        <v>238680</v>
      </c>
      <c r="L731" s="19">
        <f t="shared" si="22"/>
        <v>238680</v>
      </c>
      <c r="M731" s="19">
        <f t="shared" si="23"/>
        <v>220320</v>
      </c>
      <c r="N731" s="19">
        <f t="shared" si="24"/>
        <v>211140</v>
      </c>
      <c r="O731" s="19">
        <f t="shared" si="25"/>
        <v>201960</v>
      </c>
    </row>
    <row r="732">
      <c r="A732" s="38" t="s">
        <v>19</v>
      </c>
      <c r="B732" s="5" t="s">
        <v>1383</v>
      </c>
      <c r="C732" s="40" t="s">
        <v>1384</v>
      </c>
      <c r="D732" s="40" t="s">
        <v>1392</v>
      </c>
      <c r="E732" s="41" t="s">
        <v>1393</v>
      </c>
      <c r="F732" s="16" t="s">
        <v>1387</v>
      </c>
      <c r="G732" s="7"/>
      <c r="H732" s="27">
        <v>116600.0</v>
      </c>
      <c r="I732" s="7"/>
      <c r="J732" s="18">
        <f t="shared" si="20"/>
        <v>174900</v>
      </c>
      <c r="K732" s="18">
        <f t="shared" si="21"/>
        <v>151580</v>
      </c>
      <c r="L732" s="19">
        <f t="shared" si="22"/>
        <v>151580</v>
      </c>
      <c r="M732" s="19">
        <f t="shared" si="23"/>
        <v>139920</v>
      </c>
      <c r="N732" s="19">
        <f t="shared" si="24"/>
        <v>134090</v>
      </c>
      <c r="O732" s="19">
        <f t="shared" si="25"/>
        <v>128260</v>
      </c>
    </row>
    <row r="733">
      <c r="A733" s="38" t="s">
        <v>19</v>
      </c>
      <c r="B733" s="5" t="s">
        <v>1383</v>
      </c>
      <c r="C733" s="42" t="s">
        <v>1384</v>
      </c>
      <c r="D733" s="40" t="s">
        <v>1394</v>
      </c>
      <c r="E733" s="41" t="s">
        <v>1395</v>
      </c>
      <c r="F733" s="16" t="s">
        <v>1387</v>
      </c>
      <c r="G733" s="7"/>
      <c r="H733" s="27">
        <v>158100.0</v>
      </c>
      <c r="I733" s="7"/>
      <c r="J733" s="18">
        <f t="shared" si="20"/>
        <v>237150</v>
      </c>
      <c r="K733" s="18">
        <f t="shared" si="21"/>
        <v>205530</v>
      </c>
      <c r="L733" s="19">
        <f t="shared" si="22"/>
        <v>205530</v>
      </c>
      <c r="M733" s="19">
        <f t="shared" si="23"/>
        <v>189720</v>
      </c>
      <c r="N733" s="19">
        <f t="shared" si="24"/>
        <v>181815</v>
      </c>
      <c r="O733" s="19">
        <f t="shared" si="25"/>
        <v>173910</v>
      </c>
    </row>
    <row r="734">
      <c r="A734" s="38" t="s">
        <v>19</v>
      </c>
      <c r="B734" s="5" t="s">
        <v>1383</v>
      </c>
      <c r="C734" s="40" t="s">
        <v>1384</v>
      </c>
      <c r="D734" s="40" t="s">
        <v>1396</v>
      </c>
      <c r="E734" s="41" t="s">
        <v>1397</v>
      </c>
      <c r="F734" s="16" t="s">
        <v>1387</v>
      </c>
      <c r="G734" s="7"/>
      <c r="H734" s="27">
        <v>183600.0</v>
      </c>
      <c r="I734" s="7"/>
      <c r="J734" s="18">
        <f t="shared" si="20"/>
        <v>275400</v>
      </c>
      <c r="K734" s="18">
        <f t="shared" si="21"/>
        <v>238680</v>
      </c>
      <c r="L734" s="19">
        <f t="shared" si="22"/>
        <v>238680</v>
      </c>
      <c r="M734" s="19">
        <f t="shared" si="23"/>
        <v>220320</v>
      </c>
      <c r="N734" s="19">
        <f t="shared" si="24"/>
        <v>211140</v>
      </c>
      <c r="O734" s="19">
        <f t="shared" si="25"/>
        <v>201960</v>
      </c>
    </row>
    <row r="735">
      <c r="A735" s="38" t="s">
        <v>19</v>
      </c>
      <c r="B735" s="5" t="s">
        <v>1383</v>
      </c>
      <c r="C735" s="40" t="s">
        <v>1398</v>
      </c>
      <c r="D735" s="40" t="s">
        <v>1399</v>
      </c>
      <c r="E735" s="41" t="s">
        <v>1400</v>
      </c>
      <c r="F735" s="16" t="s">
        <v>1401</v>
      </c>
      <c r="G735" s="7"/>
      <c r="H735" s="27">
        <v>57450.0</v>
      </c>
      <c r="I735" s="7"/>
      <c r="J735" s="18">
        <f t="shared" si="20"/>
        <v>86175</v>
      </c>
      <c r="K735" s="18">
        <f t="shared" si="21"/>
        <v>74685</v>
      </c>
      <c r="L735" s="19">
        <f t="shared" si="22"/>
        <v>74685</v>
      </c>
      <c r="M735" s="19">
        <f t="shared" si="23"/>
        <v>68940</v>
      </c>
      <c r="N735" s="19">
        <f t="shared" si="24"/>
        <v>66067.5</v>
      </c>
      <c r="O735" s="19">
        <f t="shared" si="25"/>
        <v>63195</v>
      </c>
    </row>
    <row r="736">
      <c r="A736" s="38" t="s">
        <v>19</v>
      </c>
      <c r="B736" s="5" t="s">
        <v>1383</v>
      </c>
      <c r="C736" s="40" t="s">
        <v>1398</v>
      </c>
      <c r="D736" s="40" t="s">
        <v>1402</v>
      </c>
      <c r="E736" s="41" t="s">
        <v>1403</v>
      </c>
      <c r="F736" s="16" t="s">
        <v>1404</v>
      </c>
      <c r="G736" s="7"/>
      <c r="H736" s="27">
        <v>17250.0</v>
      </c>
      <c r="I736" s="7"/>
      <c r="J736" s="18">
        <f t="shared" si="20"/>
        <v>25875</v>
      </c>
      <c r="K736" s="18">
        <f t="shared" si="21"/>
        <v>22425</v>
      </c>
      <c r="L736" s="19">
        <f t="shared" si="22"/>
        <v>22425</v>
      </c>
      <c r="M736" s="19">
        <f t="shared" si="23"/>
        <v>20700</v>
      </c>
      <c r="N736" s="19">
        <f t="shared" si="24"/>
        <v>19837.5</v>
      </c>
      <c r="O736" s="19">
        <f t="shared" si="25"/>
        <v>18975</v>
      </c>
    </row>
    <row r="737">
      <c r="A737" s="38" t="s">
        <v>19</v>
      </c>
      <c r="B737" s="5" t="s">
        <v>1383</v>
      </c>
      <c r="C737" s="40" t="s">
        <v>1398</v>
      </c>
      <c r="D737" s="40" t="s">
        <v>1405</v>
      </c>
      <c r="E737" s="41" t="s">
        <v>1406</v>
      </c>
      <c r="F737" s="16" t="s">
        <v>1407</v>
      </c>
      <c r="G737" s="7"/>
      <c r="H737" s="27">
        <v>17250.0</v>
      </c>
      <c r="I737" s="7"/>
      <c r="J737" s="18">
        <f t="shared" si="20"/>
        <v>25875</v>
      </c>
      <c r="K737" s="18">
        <f t="shared" si="21"/>
        <v>22425</v>
      </c>
      <c r="L737" s="19">
        <f t="shared" si="22"/>
        <v>22425</v>
      </c>
      <c r="M737" s="19">
        <f t="shared" si="23"/>
        <v>20700</v>
      </c>
      <c r="N737" s="19">
        <f t="shared" si="24"/>
        <v>19837.5</v>
      </c>
      <c r="O737" s="19">
        <f t="shared" si="25"/>
        <v>18975</v>
      </c>
    </row>
    <row r="738">
      <c r="A738" s="38" t="s">
        <v>19</v>
      </c>
      <c r="B738" s="5" t="s">
        <v>1383</v>
      </c>
      <c r="C738" s="40" t="s">
        <v>1398</v>
      </c>
      <c r="D738" s="40" t="s">
        <v>1399</v>
      </c>
      <c r="E738" s="41" t="s">
        <v>1408</v>
      </c>
      <c r="F738" s="16" t="s">
        <v>1409</v>
      </c>
      <c r="G738" s="7"/>
      <c r="H738" s="27">
        <v>7000.0</v>
      </c>
      <c r="I738" s="7"/>
      <c r="J738" s="18">
        <f t="shared" si="20"/>
        <v>10500</v>
      </c>
      <c r="K738" s="18">
        <f t="shared" si="21"/>
        <v>9100</v>
      </c>
      <c r="L738" s="19">
        <f t="shared" si="22"/>
        <v>9100</v>
      </c>
      <c r="M738" s="19">
        <f t="shared" si="23"/>
        <v>8400</v>
      </c>
      <c r="N738" s="19">
        <f t="shared" si="24"/>
        <v>8050</v>
      </c>
      <c r="O738" s="19">
        <f t="shared" si="25"/>
        <v>7700</v>
      </c>
    </row>
    <row r="739">
      <c r="A739" s="38" t="s">
        <v>19</v>
      </c>
      <c r="B739" s="5" t="s">
        <v>1410</v>
      </c>
      <c r="C739" s="43" t="s">
        <v>1411</v>
      </c>
      <c r="D739" s="44" t="s">
        <v>1412</v>
      </c>
      <c r="E739" s="45" t="s">
        <v>1413</v>
      </c>
      <c r="F739" s="46" t="s">
        <v>1414</v>
      </c>
      <c r="G739" s="7"/>
      <c r="H739" s="47">
        <v>1750.0</v>
      </c>
      <c r="I739" s="7"/>
      <c r="J739" s="18">
        <f t="shared" si="20"/>
        <v>2625</v>
      </c>
      <c r="K739" s="18">
        <f t="shared" si="21"/>
        <v>2275</v>
      </c>
      <c r="L739" s="19">
        <f t="shared" si="22"/>
        <v>2275</v>
      </c>
      <c r="M739" s="19">
        <f t="shared" si="23"/>
        <v>2100</v>
      </c>
      <c r="N739" s="19">
        <f t="shared" si="24"/>
        <v>2012.5</v>
      </c>
      <c r="O739" s="19">
        <f t="shared" si="25"/>
        <v>1925</v>
      </c>
    </row>
    <row r="740">
      <c r="A740" s="38" t="s">
        <v>19</v>
      </c>
      <c r="B740" s="5" t="s">
        <v>1410</v>
      </c>
      <c r="C740" s="43" t="s">
        <v>1411</v>
      </c>
      <c r="D740" s="44" t="s">
        <v>1412</v>
      </c>
      <c r="E740" s="45" t="s">
        <v>1415</v>
      </c>
      <c r="F740" s="46" t="s">
        <v>1416</v>
      </c>
      <c r="G740" s="7"/>
      <c r="H740" s="47">
        <v>2050.0</v>
      </c>
      <c r="I740" s="7"/>
      <c r="J740" s="18">
        <f t="shared" si="20"/>
        <v>3075</v>
      </c>
      <c r="K740" s="18">
        <f t="shared" si="21"/>
        <v>2665</v>
      </c>
      <c r="L740" s="19">
        <f t="shared" si="22"/>
        <v>2665</v>
      </c>
      <c r="M740" s="19">
        <f t="shared" si="23"/>
        <v>2460</v>
      </c>
      <c r="N740" s="19">
        <f t="shared" si="24"/>
        <v>2357.5</v>
      </c>
      <c r="O740" s="19">
        <f t="shared" si="25"/>
        <v>2255</v>
      </c>
    </row>
    <row r="741">
      <c r="A741" s="38" t="s">
        <v>19</v>
      </c>
      <c r="B741" s="5" t="s">
        <v>1410</v>
      </c>
      <c r="C741" s="43" t="s">
        <v>1417</v>
      </c>
      <c r="D741" s="44" t="s">
        <v>1412</v>
      </c>
      <c r="E741" s="45" t="s">
        <v>1418</v>
      </c>
      <c r="F741" s="46" t="s">
        <v>1419</v>
      </c>
      <c r="G741" s="7"/>
      <c r="H741" s="47">
        <v>2700.0</v>
      </c>
      <c r="I741" s="7"/>
      <c r="J741" s="18">
        <f t="shared" si="20"/>
        <v>4050</v>
      </c>
      <c r="K741" s="18">
        <f t="shared" si="21"/>
        <v>3510</v>
      </c>
      <c r="L741" s="19">
        <f t="shared" si="22"/>
        <v>3510</v>
      </c>
      <c r="M741" s="19">
        <f t="shared" si="23"/>
        <v>3240</v>
      </c>
      <c r="N741" s="19">
        <f t="shared" si="24"/>
        <v>3105</v>
      </c>
      <c r="O741" s="19">
        <f t="shared" si="25"/>
        <v>2970</v>
      </c>
    </row>
    <row r="742">
      <c r="A742" s="38" t="s">
        <v>19</v>
      </c>
      <c r="B742" s="5" t="s">
        <v>1410</v>
      </c>
      <c r="C742" s="43" t="s">
        <v>1420</v>
      </c>
      <c r="D742" s="44" t="s">
        <v>1412</v>
      </c>
      <c r="E742" s="45" t="s">
        <v>1421</v>
      </c>
      <c r="F742" s="46" t="s">
        <v>1422</v>
      </c>
      <c r="G742" s="7"/>
      <c r="H742" s="47">
        <v>6150.0</v>
      </c>
      <c r="I742" s="7"/>
      <c r="J742" s="18">
        <f t="shared" si="20"/>
        <v>9225</v>
      </c>
      <c r="K742" s="18">
        <f t="shared" si="21"/>
        <v>7995</v>
      </c>
      <c r="L742" s="19">
        <f t="shared" si="22"/>
        <v>7995</v>
      </c>
      <c r="M742" s="19">
        <f t="shared" si="23"/>
        <v>7380</v>
      </c>
      <c r="N742" s="19">
        <f t="shared" si="24"/>
        <v>7072.5</v>
      </c>
      <c r="O742" s="19">
        <f t="shared" si="25"/>
        <v>6765</v>
      </c>
    </row>
    <row r="743">
      <c r="A743" s="38" t="s">
        <v>19</v>
      </c>
      <c r="B743" s="5" t="s">
        <v>1410</v>
      </c>
      <c r="C743" s="43" t="s">
        <v>1423</v>
      </c>
      <c r="D743" s="44" t="s">
        <v>1412</v>
      </c>
      <c r="E743" s="45" t="s">
        <v>1424</v>
      </c>
      <c r="F743" s="46" t="s">
        <v>1425</v>
      </c>
      <c r="G743" s="7"/>
      <c r="H743" s="47">
        <v>8400.0</v>
      </c>
      <c r="I743" s="7"/>
      <c r="J743" s="18">
        <f t="shared" si="20"/>
        <v>12600</v>
      </c>
      <c r="K743" s="18">
        <f t="shared" si="21"/>
        <v>10920</v>
      </c>
      <c r="L743" s="19">
        <f t="shared" si="22"/>
        <v>10920</v>
      </c>
      <c r="M743" s="19">
        <f t="shared" si="23"/>
        <v>10080</v>
      </c>
      <c r="N743" s="19">
        <f t="shared" si="24"/>
        <v>9660</v>
      </c>
      <c r="O743" s="19">
        <f t="shared" si="25"/>
        <v>9240</v>
      </c>
    </row>
    <row r="744">
      <c r="A744" s="38" t="s">
        <v>19</v>
      </c>
      <c r="B744" s="5" t="s">
        <v>1410</v>
      </c>
      <c r="C744" s="48" t="s">
        <v>1426</v>
      </c>
      <c r="D744" s="44" t="s">
        <v>1427</v>
      </c>
      <c r="E744" s="45" t="s">
        <v>1428</v>
      </c>
      <c r="F744" s="46" t="s">
        <v>1429</v>
      </c>
      <c r="G744" s="7"/>
      <c r="H744" s="47">
        <v>5950.0</v>
      </c>
      <c r="I744" s="7"/>
      <c r="J744" s="18">
        <f t="shared" si="20"/>
        <v>8925</v>
      </c>
      <c r="K744" s="18">
        <f t="shared" si="21"/>
        <v>7735</v>
      </c>
      <c r="L744" s="19">
        <f t="shared" si="22"/>
        <v>7735</v>
      </c>
      <c r="M744" s="19">
        <f t="shared" si="23"/>
        <v>7140</v>
      </c>
      <c r="N744" s="19">
        <f t="shared" si="24"/>
        <v>6842.5</v>
      </c>
      <c r="O744" s="19">
        <f t="shared" si="25"/>
        <v>6545</v>
      </c>
    </row>
    <row r="745">
      <c r="A745" s="38" t="s">
        <v>19</v>
      </c>
      <c r="B745" s="5" t="s">
        <v>1410</v>
      </c>
      <c r="C745" s="48" t="s">
        <v>1430</v>
      </c>
      <c r="D745" s="44" t="s">
        <v>1427</v>
      </c>
      <c r="E745" s="45" t="s">
        <v>1431</v>
      </c>
      <c r="F745" s="46" t="s">
        <v>1432</v>
      </c>
      <c r="G745" s="7"/>
      <c r="H745" s="47">
        <v>8100.0</v>
      </c>
      <c r="I745" s="7"/>
      <c r="J745" s="18">
        <f t="shared" si="20"/>
        <v>12150</v>
      </c>
      <c r="K745" s="18">
        <f t="shared" si="21"/>
        <v>10530</v>
      </c>
      <c r="L745" s="19">
        <f t="shared" si="22"/>
        <v>10530</v>
      </c>
      <c r="M745" s="19">
        <f t="shared" si="23"/>
        <v>9720</v>
      </c>
      <c r="N745" s="19">
        <f t="shared" si="24"/>
        <v>9315</v>
      </c>
      <c r="O745" s="19">
        <f t="shared" si="25"/>
        <v>8910</v>
      </c>
    </row>
    <row r="746">
      <c r="A746" s="38" t="s">
        <v>19</v>
      </c>
      <c r="B746" s="5" t="s">
        <v>1410</v>
      </c>
      <c r="C746" s="48" t="s">
        <v>1433</v>
      </c>
      <c r="D746" s="44" t="s">
        <v>1427</v>
      </c>
      <c r="E746" s="45" t="s">
        <v>1434</v>
      </c>
      <c r="F746" s="46" t="s">
        <v>1435</v>
      </c>
      <c r="G746" s="7"/>
      <c r="H746" s="47">
        <v>11850.0</v>
      </c>
      <c r="I746" s="7"/>
      <c r="J746" s="18">
        <f t="shared" si="20"/>
        <v>17775</v>
      </c>
      <c r="K746" s="18">
        <f t="shared" si="21"/>
        <v>15405</v>
      </c>
      <c r="L746" s="19">
        <f t="shared" si="22"/>
        <v>15405</v>
      </c>
      <c r="M746" s="19">
        <f t="shared" si="23"/>
        <v>14220</v>
      </c>
      <c r="N746" s="19">
        <f t="shared" si="24"/>
        <v>13627.5</v>
      </c>
      <c r="O746" s="19">
        <f t="shared" si="25"/>
        <v>13035</v>
      </c>
    </row>
    <row r="747">
      <c r="A747" s="38" t="s">
        <v>19</v>
      </c>
      <c r="B747" s="5" t="s">
        <v>1410</v>
      </c>
      <c r="C747" s="48" t="s">
        <v>1436</v>
      </c>
      <c r="D747" s="44" t="s">
        <v>1427</v>
      </c>
      <c r="E747" s="45" t="s">
        <v>1437</v>
      </c>
      <c r="F747" s="46" t="s">
        <v>1438</v>
      </c>
      <c r="G747" s="7"/>
      <c r="H747" s="47">
        <v>17250.0</v>
      </c>
      <c r="I747" s="7"/>
      <c r="J747" s="18">
        <f t="shared" si="20"/>
        <v>25875</v>
      </c>
      <c r="K747" s="18">
        <f t="shared" si="21"/>
        <v>22425</v>
      </c>
      <c r="L747" s="19">
        <f t="shared" si="22"/>
        <v>22425</v>
      </c>
      <c r="M747" s="19">
        <f t="shared" si="23"/>
        <v>20700</v>
      </c>
      <c r="N747" s="19">
        <f t="shared" si="24"/>
        <v>19837.5</v>
      </c>
      <c r="O747" s="19">
        <f t="shared" si="25"/>
        <v>18975</v>
      </c>
    </row>
    <row r="748">
      <c r="A748" s="38" t="s">
        <v>19</v>
      </c>
      <c r="B748" s="5" t="s">
        <v>1410</v>
      </c>
      <c r="C748" s="48" t="s">
        <v>1439</v>
      </c>
      <c r="D748" s="44" t="s">
        <v>1427</v>
      </c>
      <c r="E748" s="45" t="s">
        <v>1440</v>
      </c>
      <c r="F748" s="46" t="s">
        <v>1441</v>
      </c>
      <c r="G748" s="7"/>
      <c r="H748" s="47">
        <v>28650.0</v>
      </c>
      <c r="I748" s="7"/>
      <c r="J748" s="18">
        <f t="shared" si="20"/>
        <v>42975</v>
      </c>
      <c r="K748" s="18">
        <f t="shared" si="21"/>
        <v>37245</v>
      </c>
      <c r="L748" s="19">
        <f t="shared" si="22"/>
        <v>37245</v>
      </c>
      <c r="M748" s="19">
        <f t="shared" si="23"/>
        <v>34380</v>
      </c>
      <c r="N748" s="19">
        <f t="shared" si="24"/>
        <v>32947.5</v>
      </c>
      <c r="O748" s="19">
        <f t="shared" si="25"/>
        <v>31515</v>
      </c>
    </row>
    <row r="749">
      <c r="A749" s="38" t="s">
        <v>19</v>
      </c>
      <c r="B749" s="5" t="s">
        <v>1410</v>
      </c>
      <c r="C749" s="48" t="s">
        <v>1442</v>
      </c>
      <c r="D749" s="44" t="s">
        <v>1427</v>
      </c>
      <c r="E749" s="45" t="s">
        <v>1443</v>
      </c>
      <c r="F749" s="46" t="s">
        <v>1444</v>
      </c>
      <c r="G749" s="7"/>
      <c r="H749" s="47">
        <v>39850.0</v>
      </c>
      <c r="I749" s="7"/>
      <c r="J749" s="18">
        <f t="shared" si="20"/>
        <v>59775</v>
      </c>
      <c r="K749" s="18">
        <f t="shared" si="21"/>
        <v>51805</v>
      </c>
      <c r="L749" s="19">
        <f t="shared" si="22"/>
        <v>51805</v>
      </c>
      <c r="M749" s="19">
        <f t="shared" si="23"/>
        <v>47820</v>
      </c>
      <c r="N749" s="19">
        <f t="shared" si="24"/>
        <v>45827.5</v>
      </c>
      <c r="O749" s="19">
        <f t="shared" si="25"/>
        <v>43835</v>
      </c>
    </row>
    <row r="750">
      <c r="A750" s="38" t="s">
        <v>19</v>
      </c>
      <c r="B750" s="5" t="s">
        <v>1410</v>
      </c>
      <c r="C750" s="46" t="s">
        <v>1445</v>
      </c>
      <c r="D750" s="44" t="s">
        <v>1099</v>
      </c>
      <c r="E750" s="45" t="s">
        <v>1446</v>
      </c>
      <c r="F750" s="46" t="s">
        <v>1447</v>
      </c>
      <c r="G750" s="7"/>
      <c r="H750" s="47">
        <v>300.0</v>
      </c>
      <c r="I750" s="7"/>
      <c r="J750" s="18">
        <f t="shared" si="20"/>
        <v>450</v>
      </c>
      <c r="K750" s="18">
        <f t="shared" si="21"/>
        <v>390</v>
      </c>
      <c r="L750" s="19">
        <f t="shared" si="22"/>
        <v>390</v>
      </c>
      <c r="M750" s="19">
        <f t="shared" si="23"/>
        <v>360</v>
      </c>
      <c r="N750" s="19">
        <f t="shared" si="24"/>
        <v>345</v>
      </c>
      <c r="O750" s="19">
        <f t="shared" si="25"/>
        <v>330</v>
      </c>
    </row>
    <row r="751">
      <c r="A751" s="38" t="s">
        <v>19</v>
      </c>
      <c r="B751" s="5" t="s">
        <v>1410</v>
      </c>
      <c r="C751" s="46" t="s">
        <v>1448</v>
      </c>
      <c r="D751" s="44" t="s">
        <v>1099</v>
      </c>
      <c r="E751" s="45" t="s">
        <v>1449</v>
      </c>
      <c r="F751" s="46" t="s">
        <v>1450</v>
      </c>
      <c r="G751" s="7"/>
      <c r="H751" s="47">
        <v>400.0</v>
      </c>
      <c r="I751" s="7"/>
      <c r="J751" s="18">
        <f t="shared" si="20"/>
        <v>600</v>
      </c>
      <c r="K751" s="18">
        <f t="shared" si="21"/>
        <v>520</v>
      </c>
      <c r="L751" s="19">
        <f t="shared" si="22"/>
        <v>520</v>
      </c>
      <c r="M751" s="19">
        <f t="shared" si="23"/>
        <v>480</v>
      </c>
      <c r="N751" s="19">
        <f t="shared" si="24"/>
        <v>460</v>
      </c>
      <c r="O751" s="19">
        <f t="shared" si="25"/>
        <v>440</v>
      </c>
    </row>
    <row r="752">
      <c r="A752" s="38" t="s">
        <v>19</v>
      </c>
      <c r="B752" s="5" t="s">
        <v>1410</v>
      </c>
      <c r="C752" s="46" t="s">
        <v>1451</v>
      </c>
      <c r="D752" s="44" t="s">
        <v>1099</v>
      </c>
      <c r="E752" s="45" t="s">
        <v>1452</v>
      </c>
      <c r="F752" s="46" t="s">
        <v>1453</v>
      </c>
      <c r="G752" s="7"/>
      <c r="H752" s="47">
        <v>550.0</v>
      </c>
      <c r="I752" s="7"/>
      <c r="J752" s="18">
        <f t="shared" si="20"/>
        <v>825</v>
      </c>
      <c r="K752" s="18">
        <f t="shared" si="21"/>
        <v>715</v>
      </c>
      <c r="L752" s="19">
        <f t="shared" si="22"/>
        <v>715</v>
      </c>
      <c r="M752" s="19">
        <f t="shared" si="23"/>
        <v>660</v>
      </c>
      <c r="N752" s="19">
        <f t="shared" si="24"/>
        <v>632.5</v>
      </c>
      <c r="O752" s="19">
        <f t="shared" si="25"/>
        <v>605</v>
      </c>
    </row>
    <row r="753">
      <c r="A753" s="49" t="s">
        <v>1454</v>
      </c>
      <c r="B753" s="48" t="s">
        <v>1455</v>
      </c>
      <c r="C753" s="50"/>
      <c r="D753" s="48" t="s">
        <v>1456</v>
      </c>
      <c r="E753" s="46" t="s">
        <v>1457</v>
      </c>
      <c r="F753" s="46" t="s">
        <v>1458</v>
      </c>
      <c r="G753" s="7"/>
      <c r="H753" s="51">
        <v>4430.0</v>
      </c>
      <c r="I753" s="7"/>
      <c r="J753" s="18">
        <f t="shared" si="20"/>
        <v>6645</v>
      </c>
      <c r="K753" s="18">
        <f t="shared" si="21"/>
        <v>5759</v>
      </c>
      <c r="L753" s="19">
        <f t="shared" si="22"/>
        <v>5759</v>
      </c>
      <c r="M753" s="19">
        <f t="shared" si="23"/>
        <v>5316</v>
      </c>
      <c r="N753" s="19">
        <f t="shared" si="24"/>
        <v>5094.5</v>
      </c>
      <c r="O753" s="19">
        <f t="shared" si="25"/>
        <v>4873</v>
      </c>
    </row>
    <row r="754">
      <c r="A754" s="49" t="s">
        <v>1454</v>
      </c>
      <c r="B754" s="48" t="s">
        <v>1455</v>
      </c>
      <c r="C754" s="50"/>
      <c r="D754" s="48">
        <v>6160.0</v>
      </c>
      <c r="E754" s="46" t="s">
        <v>1459</v>
      </c>
      <c r="F754" s="46" t="s">
        <v>1460</v>
      </c>
      <c r="G754" s="7"/>
      <c r="H754" s="51">
        <v>3880.0</v>
      </c>
      <c r="I754" s="7"/>
      <c r="J754" s="18">
        <f t="shared" si="20"/>
        <v>5820</v>
      </c>
      <c r="K754" s="18">
        <f t="shared" si="21"/>
        <v>5044</v>
      </c>
      <c r="L754" s="19">
        <f t="shared" si="22"/>
        <v>5044</v>
      </c>
      <c r="M754" s="19">
        <f t="shared" si="23"/>
        <v>4656</v>
      </c>
      <c r="N754" s="19">
        <f t="shared" si="24"/>
        <v>4462</v>
      </c>
      <c r="O754" s="19">
        <f t="shared" si="25"/>
        <v>4268</v>
      </c>
    </row>
    <row r="755">
      <c r="A755" s="49" t="s">
        <v>1454</v>
      </c>
      <c r="B755" s="48" t="s">
        <v>1455</v>
      </c>
      <c r="C755" s="50"/>
      <c r="D755" s="48">
        <v>719.0</v>
      </c>
      <c r="E755" s="46" t="s">
        <v>1461</v>
      </c>
      <c r="F755" s="46" t="s">
        <v>1462</v>
      </c>
      <c r="G755" s="7"/>
      <c r="H755" s="51">
        <v>900.0</v>
      </c>
      <c r="I755" s="7"/>
      <c r="J755" s="18">
        <f t="shared" si="20"/>
        <v>1350</v>
      </c>
      <c r="K755" s="18">
        <f t="shared" si="21"/>
        <v>1170</v>
      </c>
      <c r="L755" s="19">
        <f t="shared" si="22"/>
        <v>1170</v>
      </c>
      <c r="M755" s="19">
        <f t="shared" si="23"/>
        <v>1080</v>
      </c>
      <c r="N755" s="19">
        <f t="shared" si="24"/>
        <v>1035</v>
      </c>
      <c r="O755" s="19">
        <f t="shared" si="25"/>
        <v>990</v>
      </c>
    </row>
    <row r="756">
      <c r="A756" s="49" t="s">
        <v>1454</v>
      </c>
      <c r="B756" s="48" t="s">
        <v>1455</v>
      </c>
      <c r="C756" s="50"/>
      <c r="D756" s="48" t="s">
        <v>1463</v>
      </c>
      <c r="E756" s="46" t="s">
        <v>1464</v>
      </c>
      <c r="F756" s="46" t="s">
        <v>1465</v>
      </c>
      <c r="G756" s="7"/>
      <c r="H756" s="51">
        <v>700.0</v>
      </c>
      <c r="I756" s="7"/>
      <c r="J756" s="18">
        <f t="shared" si="20"/>
        <v>1050</v>
      </c>
      <c r="K756" s="18">
        <f t="shared" si="21"/>
        <v>910</v>
      </c>
      <c r="L756" s="19">
        <f t="shared" si="22"/>
        <v>910</v>
      </c>
      <c r="M756" s="19">
        <f t="shared" si="23"/>
        <v>840</v>
      </c>
      <c r="N756" s="19">
        <f t="shared" si="24"/>
        <v>805</v>
      </c>
      <c r="O756" s="19">
        <f t="shared" si="25"/>
        <v>770</v>
      </c>
    </row>
    <row r="757">
      <c r="A757" s="49" t="s">
        <v>1454</v>
      </c>
      <c r="B757" s="48" t="s">
        <v>1455</v>
      </c>
      <c r="C757" s="50"/>
      <c r="D757" s="48" t="s">
        <v>1466</v>
      </c>
      <c r="E757" s="46" t="s">
        <v>1467</v>
      </c>
      <c r="F757" s="46" t="s">
        <v>1468</v>
      </c>
      <c r="G757" s="7"/>
      <c r="H757" s="51">
        <v>290.0</v>
      </c>
      <c r="I757" s="7"/>
      <c r="J757" s="18">
        <f t="shared" si="20"/>
        <v>435</v>
      </c>
      <c r="K757" s="18">
        <f t="shared" si="21"/>
        <v>377</v>
      </c>
      <c r="L757" s="19">
        <f t="shared" si="22"/>
        <v>377</v>
      </c>
      <c r="M757" s="19">
        <f t="shared" si="23"/>
        <v>348</v>
      </c>
      <c r="N757" s="19">
        <f t="shared" si="24"/>
        <v>333.5</v>
      </c>
      <c r="O757" s="19">
        <f t="shared" si="25"/>
        <v>319</v>
      </c>
    </row>
    <row r="758">
      <c r="A758" s="49" t="s">
        <v>1454</v>
      </c>
      <c r="B758" s="48" t="s">
        <v>1455</v>
      </c>
      <c r="C758" s="50"/>
      <c r="D758" s="48" t="s">
        <v>1469</v>
      </c>
      <c r="E758" s="46" t="s">
        <v>1470</v>
      </c>
      <c r="F758" s="46" t="s">
        <v>1471</v>
      </c>
      <c r="G758" s="7"/>
      <c r="H758" s="51">
        <v>2560.0</v>
      </c>
      <c r="I758" s="7"/>
      <c r="J758" s="18">
        <f t="shared" si="20"/>
        <v>3840</v>
      </c>
      <c r="K758" s="18">
        <f t="shared" si="21"/>
        <v>3328</v>
      </c>
      <c r="L758" s="19">
        <f t="shared" si="22"/>
        <v>3328</v>
      </c>
      <c r="M758" s="19">
        <f t="shared" si="23"/>
        <v>3072</v>
      </c>
      <c r="N758" s="19">
        <f t="shared" si="24"/>
        <v>2944</v>
      </c>
      <c r="O758" s="19">
        <f t="shared" si="25"/>
        <v>2816</v>
      </c>
    </row>
    <row r="759">
      <c r="A759" s="49" t="s">
        <v>1454</v>
      </c>
      <c r="B759" s="48" t="s">
        <v>1472</v>
      </c>
      <c r="C759" s="50"/>
      <c r="D759" s="48" t="s">
        <v>1473</v>
      </c>
      <c r="E759" s="46" t="s">
        <v>1474</v>
      </c>
      <c r="F759" s="46" t="s">
        <v>1475</v>
      </c>
      <c r="G759" s="7"/>
      <c r="H759" s="51">
        <v>42090.0</v>
      </c>
      <c r="I759" s="7"/>
      <c r="J759" s="18">
        <f t="shared" si="20"/>
        <v>63135</v>
      </c>
      <c r="K759" s="18">
        <f t="shared" si="21"/>
        <v>54717</v>
      </c>
      <c r="L759" s="19">
        <f t="shared" si="22"/>
        <v>54717</v>
      </c>
      <c r="M759" s="19">
        <f t="shared" si="23"/>
        <v>50508</v>
      </c>
      <c r="N759" s="19">
        <f t="shared" si="24"/>
        <v>48403.5</v>
      </c>
      <c r="O759" s="19">
        <f t="shared" si="25"/>
        <v>46299</v>
      </c>
    </row>
    <row r="760">
      <c r="A760" s="49" t="s">
        <v>1454</v>
      </c>
      <c r="B760" s="48" t="s">
        <v>1472</v>
      </c>
      <c r="C760" s="50"/>
      <c r="D760" s="48" t="s">
        <v>1476</v>
      </c>
      <c r="E760" s="46" t="s">
        <v>1477</v>
      </c>
      <c r="F760" s="46" t="s">
        <v>1478</v>
      </c>
      <c r="G760" s="7"/>
      <c r="H760" s="51">
        <v>7140.0</v>
      </c>
      <c r="I760" s="7"/>
      <c r="J760" s="18">
        <f t="shared" si="20"/>
        <v>10710</v>
      </c>
      <c r="K760" s="18">
        <f t="shared" si="21"/>
        <v>9282</v>
      </c>
      <c r="L760" s="19">
        <f t="shared" si="22"/>
        <v>9282</v>
      </c>
      <c r="M760" s="19">
        <f t="shared" si="23"/>
        <v>8568</v>
      </c>
      <c r="N760" s="19">
        <f t="shared" si="24"/>
        <v>8211</v>
      </c>
      <c r="O760" s="19">
        <f t="shared" si="25"/>
        <v>7854</v>
      </c>
    </row>
    <row r="761">
      <c r="A761" s="49" t="s">
        <v>1454</v>
      </c>
      <c r="B761" s="48" t="s">
        <v>1472</v>
      </c>
      <c r="C761" s="50"/>
      <c r="D761" s="48" t="s">
        <v>1479</v>
      </c>
      <c r="E761" s="46" t="s">
        <v>1480</v>
      </c>
      <c r="F761" s="46" t="s">
        <v>1481</v>
      </c>
      <c r="G761" s="7"/>
      <c r="H761" s="51">
        <v>16040.0</v>
      </c>
      <c r="I761" s="7"/>
      <c r="J761" s="18">
        <f t="shared" si="20"/>
        <v>24060</v>
      </c>
      <c r="K761" s="18">
        <f t="shared" si="21"/>
        <v>20852</v>
      </c>
      <c r="L761" s="19">
        <f t="shared" si="22"/>
        <v>20852</v>
      </c>
      <c r="M761" s="19">
        <f t="shared" si="23"/>
        <v>19248</v>
      </c>
      <c r="N761" s="19">
        <f t="shared" si="24"/>
        <v>18446</v>
      </c>
      <c r="O761" s="19">
        <f t="shared" si="25"/>
        <v>17644</v>
      </c>
    </row>
    <row r="762">
      <c r="A762" s="49" t="s">
        <v>1454</v>
      </c>
      <c r="B762" s="48" t="s">
        <v>1472</v>
      </c>
      <c r="C762" s="50"/>
      <c r="D762" s="48" t="s">
        <v>1482</v>
      </c>
      <c r="E762" s="46" t="s">
        <v>1483</v>
      </c>
      <c r="F762" s="46" t="s">
        <v>1484</v>
      </c>
      <c r="G762" s="7"/>
      <c r="H762" s="51">
        <v>3080.0</v>
      </c>
      <c r="I762" s="7"/>
      <c r="J762" s="18">
        <f t="shared" si="20"/>
        <v>4620</v>
      </c>
      <c r="K762" s="18">
        <f t="shared" si="21"/>
        <v>4004</v>
      </c>
      <c r="L762" s="19">
        <f t="shared" si="22"/>
        <v>4004</v>
      </c>
      <c r="M762" s="19">
        <f t="shared" si="23"/>
        <v>3696</v>
      </c>
      <c r="N762" s="19">
        <f t="shared" si="24"/>
        <v>3542</v>
      </c>
      <c r="O762" s="19">
        <f t="shared" si="25"/>
        <v>3388</v>
      </c>
    </row>
    <row r="763">
      <c r="A763" s="49" t="s">
        <v>1454</v>
      </c>
      <c r="B763" s="48" t="s">
        <v>1472</v>
      </c>
      <c r="C763" s="50"/>
      <c r="D763" s="48" t="s">
        <v>1485</v>
      </c>
      <c r="E763" s="46" t="s">
        <v>1486</v>
      </c>
      <c r="F763" s="46" t="s">
        <v>1487</v>
      </c>
      <c r="G763" s="7"/>
      <c r="H763" s="51">
        <v>70.0</v>
      </c>
      <c r="I763" s="7"/>
      <c r="J763" s="18">
        <f t="shared" si="20"/>
        <v>105</v>
      </c>
      <c r="K763" s="18">
        <f t="shared" si="21"/>
        <v>91</v>
      </c>
      <c r="L763" s="19">
        <f t="shared" si="22"/>
        <v>91</v>
      </c>
      <c r="M763" s="19">
        <f t="shared" si="23"/>
        <v>84</v>
      </c>
      <c r="N763" s="19">
        <f t="shared" si="24"/>
        <v>80.5</v>
      </c>
      <c r="O763" s="19">
        <f t="shared" si="25"/>
        <v>77</v>
      </c>
    </row>
    <row r="764">
      <c r="A764" s="49" t="s">
        <v>1454</v>
      </c>
      <c r="B764" s="48" t="s">
        <v>1472</v>
      </c>
      <c r="C764" s="50"/>
      <c r="D764" s="48" t="s">
        <v>1488</v>
      </c>
      <c r="E764" s="46" t="s">
        <v>1489</v>
      </c>
      <c r="F764" s="46" t="s">
        <v>1490</v>
      </c>
      <c r="G764" s="7"/>
      <c r="H764" s="51">
        <v>5250.0</v>
      </c>
      <c r="I764" s="7"/>
      <c r="J764" s="18">
        <f t="shared" si="20"/>
        <v>7875</v>
      </c>
      <c r="K764" s="18">
        <f t="shared" si="21"/>
        <v>6825</v>
      </c>
      <c r="L764" s="19">
        <f t="shared" si="22"/>
        <v>6825</v>
      </c>
      <c r="M764" s="19">
        <f t="shared" si="23"/>
        <v>6300</v>
      </c>
      <c r="N764" s="19">
        <f t="shared" si="24"/>
        <v>6037.5</v>
      </c>
      <c r="O764" s="19">
        <f t="shared" si="25"/>
        <v>5775</v>
      </c>
    </row>
  </sheetData>
  <autoFilter ref="$A$2:$O$764"/>
  <mergeCells count="8">
    <mergeCell ref="A1:I1"/>
    <mergeCell ref="J1:K1"/>
    <mergeCell ref="L1:M1"/>
    <mergeCell ref="N1:O1"/>
    <mergeCell ref="C197:C202"/>
    <mergeCell ref="D197:D202"/>
    <mergeCell ref="E197:E199"/>
    <mergeCell ref="E200:E202"/>
  </mergeCells>
  <drawing r:id="rId2"/>
  <legacyDrawing r:id="rId3"/>
</worksheet>
</file>