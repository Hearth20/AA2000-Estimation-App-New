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" sheetId="1" r:id="rId5"/>
  </sheets>
  <definedNames>
    <definedName hidden="1" localSheetId="0" name="_xlnm._FilterDatabase">PRICELIST!$A$2:$O$478</definedName>
  </definedNames>
  <calcPr/>
</workbook>
</file>

<file path=xl/sharedStrings.xml><?xml version="1.0" encoding="utf-8"?>
<sst xmlns="http://schemas.openxmlformats.org/spreadsheetml/2006/main" count="2827" uniqueCount="899">
  <si>
    <t>PRODUCT INFORMATION</t>
  </si>
  <si>
    <t>SRP (End-User)</t>
  </si>
  <si>
    <t>DEALER's PRICE</t>
  </si>
  <si>
    <t>CONTRACTOR's PRICE</t>
  </si>
  <si>
    <t>BRAND</t>
  </si>
  <si>
    <t>CATEGORY</t>
  </si>
  <si>
    <t>SUB-CATEGORY</t>
  </si>
  <si>
    <t>TYPE</t>
  </si>
  <si>
    <t>MODEL</t>
  </si>
  <si>
    <t>ITEM DESCRIPTION</t>
  </si>
  <si>
    <t>OTHER DESCRIPTION</t>
  </si>
  <si>
    <t>PURCHASE AMOUNT IN EUR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</si>
  <si>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</si>
  <si>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</si>
  <si>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</si>
  <si>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</si>
  <si>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</si>
  <si>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</si>
  <si>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</si>
  <si>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AIPHONE</t>
  </si>
  <si>
    <t>INTERCOM</t>
  </si>
  <si>
    <t xml:space="preserve"> </t>
  </si>
  <si>
    <t>NIR-31</t>
  </si>
  <si>
    <t>CORRIDOR LIGHT 1 NAME</t>
  </si>
  <si>
    <t>AIPHONE CORRIDOR LIGHT 1 NAME</t>
  </si>
  <si>
    <t>NIR-32</t>
  </si>
  <si>
    <t>CORRIDOR LIGHT 2 NAMES</t>
  </si>
  <si>
    <t>AIPHONE CORRIDOR LIGHT 2 NAMES</t>
  </si>
  <si>
    <t>NIR-34</t>
  </si>
  <si>
    <t>CORRIDOR LIGHT 4 NAMES</t>
  </si>
  <si>
    <t>AIPHONE CORRIDOR LIGHT 4 NAMES</t>
  </si>
  <si>
    <t>NI-RC</t>
  </si>
  <si>
    <t>BEDSIDE HANDHELD SUB STATION</t>
  </si>
  <si>
    <t>AIPHONE BEDSIDE HANDHELD SUB STATION</t>
  </si>
  <si>
    <t>NIR-HPF</t>
  </si>
  <si>
    <t>WALL JACK WITH HOOK FOR NIR-R</t>
  </si>
  <si>
    <t>AIPHONE WALL JACK WITH HOOK FOR NIR-R</t>
  </si>
  <si>
    <t>NIR-2</t>
  </si>
  <si>
    <t>CALL RESET</t>
  </si>
  <si>
    <t>AIPHONE CALL RESET</t>
  </si>
  <si>
    <t>NIR-7HW</t>
  </si>
  <si>
    <t>BATHROOM CALL WITH PULL CORD</t>
  </si>
  <si>
    <t>AIPHONE BATHROOM CALL WITH PULL CORD</t>
  </si>
  <si>
    <t>NIR-4BZ</t>
  </si>
  <si>
    <t>CORRIDOR LIGHT WITH BUZZER</t>
  </si>
  <si>
    <t>AIPHONE CORRIDOR LIGHT WITH BUZZER</t>
  </si>
  <si>
    <t>NIR-LB</t>
  </si>
  <si>
    <t>CEILING SPEAKER USED IN NI-SB</t>
  </si>
  <si>
    <t>AIPHONE CEILING SPEAKER USED IN NI-SB</t>
  </si>
  <si>
    <t>NIR-MB</t>
  </si>
  <si>
    <t>WALL JACK WITH MICROPHONE FOR NIR-8</t>
  </si>
  <si>
    <t>AIPHONE WALL JACK WITH MICROPHONE FOR NIR-8</t>
  </si>
  <si>
    <t>NIR-8</t>
  </si>
  <si>
    <t>BEDSIDE / CALL STATION BUTTON</t>
  </si>
  <si>
    <t>AIPHONE BEDSIDE / CALL STATION BUTTON</t>
  </si>
  <si>
    <t>LER-20</t>
  </si>
  <si>
    <t>CHIME EXTENSION SPEAKER</t>
  </si>
  <si>
    <t>AIPHONE CHIME EXTENSION SPEAKER</t>
  </si>
  <si>
    <t>NIM-20B</t>
  </si>
  <si>
    <t>CALL MASTER STATION</t>
  </si>
  <si>
    <t>AIPHONE CALL MASTER STATION</t>
  </si>
  <si>
    <t xml:space="preserve">AIPHONE </t>
  </si>
  <si>
    <t>NH-2SA/A</t>
  </si>
  <si>
    <t>DUAL JACK BEDSIDE SUB-STATION 24VDC</t>
  </si>
  <si>
    <t>AIPHONE DUAL JACK BEDSIDE SUB-STATION 24VDC</t>
  </si>
  <si>
    <t>TC-20M</t>
  </si>
  <si>
    <t>AIPHONE 20-CALL MASTER STATION</t>
  </si>
  <si>
    <t>AIPHONE AIPHONE 20-CALL MASTER STATION</t>
  </si>
  <si>
    <t>TB-SE</t>
  </si>
  <si>
    <t xml:space="preserve">AIPHONE WALL SUBSTATION </t>
  </si>
  <si>
    <t xml:space="preserve">AIPHONE AIPHONE WALL SUBSTATION </t>
  </si>
  <si>
    <t>TD-12H/B</t>
  </si>
  <si>
    <t>AIPHONE HNDSET INTRCOM 12VDC 12-CALL MASTER STATION</t>
  </si>
  <si>
    <t>AIPHONE AIPHONE HNDSET INTRCOM 12VDC 12-CALL MASTER STATION</t>
  </si>
  <si>
    <t>SR-5K</t>
  </si>
  <si>
    <t>SUPER DC CONVERTER 5A</t>
  </si>
  <si>
    <t>TD-1H/B</t>
  </si>
  <si>
    <t>AIPHONE HANDSET INTERCOM 12VDC 1-CALL
MASTER STATION</t>
  </si>
  <si>
    <t>GT-MKB-N</t>
  </si>
  <si>
    <t>AIPHONE GUARD STATION W/ NFC READER</t>
  </si>
  <si>
    <t>GT-1D</t>
  </si>
  <si>
    <t>AIPHONE HANDSET MASTER STATION (TENANT STATION)</t>
  </si>
  <si>
    <t>AIPHONE HANDSET MASTER STATION</t>
  </si>
  <si>
    <t>GT-BC.M</t>
  </si>
  <si>
    <t>AIPHONE AUDIO BUS CONTROL UNIT</t>
  </si>
  <si>
    <t>GT-BCXB-N.M</t>
  </si>
  <si>
    <t>AIPHONE EXPANDED BUS CONTROL UNIT</t>
  </si>
  <si>
    <t>PS-2420S</t>
  </si>
  <si>
    <t>AIPHONE POWER SUPPLY UNIT 24VDC 2A 65W</t>
  </si>
  <si>
    <t>TC-40G</t>
  </si>
  <si>
    <t>AIPHONE ADD-ON SELECTOR 40-CALL INTERCOM 18VDC</t>
  </si>
  <si>
    <t>JO SERIES</t>
  </si>
  <si>
    <t>JOS-1VW</t>
  </si>
  <si>
    <t xml:space="preserve">AIPHONE VIDEO KIT OF JO-MDW &amp; JO-DW W/ PS-1820 </t>
  </si>
  <si>
    <t>AWG18</t>
  </si>
  <si>
    <t>INTERCOM CABLE</t>
  </si>
  <si>
    <t>TD-6H/B</t>
  </si>
  <si>
    <t>AIPHONE HANDSET INTERCOM 12VDC 6-CALL MASTER STATION</t>
  </si>
  <si>
    <t>NIR-4S</t>
  </si>
  <si>
    <t>FARFISA</t>
  </si>
  <si>
    <t>SETTE</t>
  </si>
  <si>
    <t>INTERNAL STATIONS</t>
  </si>
  <si>
    <t>SE4252</t>
  </si>
  <si>
    <t>SETTE 7" OSD monitor</t>
  </si>
  <si>
    <t>TA4260</t>
  </si>
  <si>
    <t>Table adaptor for monitor "SETTE"</t>
  </si>
  <si>
    <t>SE4252ABW</t>
  </si>
  <si>
    <t>2 wires video kit, with ALBA panel and SETTE 7" monitor</t>
  </si>
  <si>
    <t>SE4252PDABW</t>
  </si>
  <si>
    <t>2 wires video kit composed by ALBA panel with PD2100AB and SETTE</t>
  </si>
  <si>
    <t>ZHERO</t>
  </si>
  <si>
    <t>ZH1262B</t>
  </si>
  <si>
    <t>Videointercom with 3.5" LCD-TFT with OSD and soft touch buttons, bla</t>
  </si>
  <si>
    <t>ZH1262W</t>
  </si>
  <si>
    <t>Videointercom with 3.5" LCD-TFT with OSD and soft touch buttons, whit</t>
  </si>
  <si>
    <t>ZH1252WE</t>
  </si>
  <si>
    <t>Videointercom with 4.3" LCD-TFT, ZheroS series, 4 buttons</t>
  </si>
  <si>
    <t>TA1260</t>
  </si>
  <si>
    <t>Table adaptor for Zhero monitor</t>
  </si>
  <si>
    <t>ZH1252AGLEWE</t>
  </si>
  <si>
    <t>One way ZheroS and Agorà DUO EASY kit</t>
  </si>
  <si>
    <t>ZH1252AGLEWE/2</t>
  </si>
  <si>
    <t>Two ways ZheroS and Agorà DUO EASY kit</t>
  </si>
  <si>
    <t>ZH1252ABWE</t>
  </si>
  <si>
    <t>2 wires video kit, with ALBA panel and ZheroS monitor</t>
  </si>
  <si>
    <t>ZH1252PDABWE</t>
  </si>
  <si>
    <t>2 wires video kit composed by Alba panel with PD2100AB and ZH1252</t>
  </si>
  <si>
    <t>ASTRO</t>
  </si>
  <si>
    <t>AT9262</t>
  </si>
  <si>
    <t>ASTRO video intercom, 4.3" LCD screen, 4 buttons</t>
  </si>
  <si>
    <t>EXHITO</t>
  </si>
  <si>
    <t>EX3262C</t>
  </si>
  <si>
    <t>Exhito COLOR monitor for DUO system</t>
  </si>
  <si>
    <t>EX3252C</t>
  </si>
  <si>
    <t>EX362</t>
  </si>
  <si>
    <t>Exhito intercom for DUO system</t>
  </si>
  <si>
    <t>EX352</t>
  </si>
  <si>
    <t>WB3262</t>
  </si>
  <si>
    <t>Exhito wall bracket for DUO system</t>
  </si>
  <si>
    <t>WB3252</t>
  </si>
  <si>
    <t>TA3160</t>
  </si>
  <si>
    <t>Table adaptor for Exhito monitor</t>
  </si>
  <si>
    <t>TA320</t>
  </si>
  <si>
    <t>Table adaptor for Exhito intercom series</t>
  </si>
  <si>
    <t>MC3000T</t>
  </si>
  <si>
    <t>Exhito Monitor Frame with Colour Techno-silver</t>
  </si>
  <si>
    <t>MC3000G</t>
  </si>
  <si>
    <t>Exhito Monitor Frame with Colour GREEN</t>
  </si>
  <si>
    <t>MC3000B</t>
  </si>
  <si>
    <t>Exhito Monitor Frame with Colour BLUE</t>
  </si>
  <si>
    <t>EX3252AGLE</t>
  </si>
  <si>
    <t>One way Exhito Agorà DUO EASY kit (color)</t>
  </si>
  <si>
    <t>EX3252AGLE/2</t>
  </si>
  <si>
    <t>Two ways Exhito Agorà DUO EASY kit (color)</t>
  </si>
  <si>
    <t>1AEX352LE</t>
  </si>
  <si>
    <t>1-way audio kit with EX352 intercom and DUO EASY audio Agorà Light</t>
  </si>
  <si>
    <t>2AEX352LE</t>
  </si>
  <si>
    <t>2-ways audio kit with EX352 intercoms and DUO EASY audio Agorà Light</t>
  </si>
  <si>
    <t>HERO</t>
  </si>
  <si>
    <t>EXTERNAL STATIONS</t>
  </si>
  <si>
    <t>TD2000HE</t>
  </si>
  <si>
    <t>Stainless steel vandal proof panel with wide angle camera, Braille butto</t>
  </si>
  <si>
    <t>XE2922</t>
  </si>
  <si>
    <t>Bluetooth interface for Smart Access apps on Alba and Hero panels</t>
  </si>
  <si>
    <t>SOLVO</t>
  </si>
  <si>
    <t>TD2000</t>
  </si>
  <si>
    <t>Audio/video digital entry door station Solvo series, for digital Duo Syste</t>
  </si>
  <si>
    <t>TD2000R</t>
  </si>
  <si>
    <t>Audio/video digital entry door station Solvo series, ready for RFID</t>
  </si>
  <si>
    <t>TD2000A</t>
  </si>
  <si>
    <t>Audio digital entry door station Solvo series, for digital Duo System</t>
  </si>
  <si>
    <t>TD2000RA</t>
  </si>
  <si>
    <t>Audio digital entry door station Solvo series, ready for RFID</t>
  </si>
  <si>
    <t>290S/0</t>
  </si>
  <si>
    <t>Rain shelter for surface installation of SOLVO panels</t>
  </si>
  <si>
    <t>FP2000</t>
  </si>
  <si>
    <t>Stand alone RFID reader PCB for Solvo panels</t>
  </si>
  <si>
    <t>TL2000</t>
  </si>
  <si>
    <t>Antenna loop for coupling audio signal of Solvo panels with devices of h</t>
  </si>
  <si>
    <t>ALBA</t>
  </si>
  <si>
    <t>CA2124AB</t>
  </si>
  <si>
    <t>Only audio module for Alba series (up to 4 calls)</t>
  </si>
  <si>
    <t>CV2124AB</t>
  </si>
  <si>
    <t>Audio/Video module for Alba series (up to 4 calls)</t>
  </si>
  <si>
    <t>CT2138AB</t>
  </si>
  <si>
    <t>Additional button module (up to 8 calls)</t>
  </si>
  <si>
    <t>DD2140AB</t>
  </si>
  <si>
    <t>3.5" LCD display module for DUO system or AB3G ALBA door panels</t>
  </si>
  <si>
    <t>PD2100AB</t>
  </si>
  <si>
    <t>Keypad for access control or digital dialling on Alba DUO/MyCom panel</t>
  </si>
  <si>
    <t>FP51SAB</t>
  </si>
  <si>
    <t>RFID reader with Bluetooth for Smart Access on Alba compositions or a</t>
  </si>
  <si>
    <t>AB50</t>
  </si>
  <si>
    <t>Street number module</t>
  </si>
  <si>
    <t>AB00</t>
  </si>
  <si>
    <t>Alba blank module</t>
  </si>
  <si>
    <t>AB20</t>
  </si>
  <si>
    <t>Blank button cover</t>
  </si>
  <si>
    <t>AB21</t>
  </si>
  <si>
    <t>Single button</t>
  </si>
  <si>
    <t>AB61</t>
  </si>
  <si>
    <t>Frame for single module</t>
  </si>
  <si>
    <t>AB62</t>
  </si>
  <si>
    <t>Frame for two modules</t>
  </si>
  <si>
    <t>AB63</t>
  </si>
  <si>
    <t>Frame for three modules</t>
  </si>
  <si>
    <t>AB71</t>
  </si>
  <si>
    <t>Mounting frame (single module)</t>
  </si>
  <si>
    <t>AB72</t>
  </si>
  <si>
    <t>Mounting frame (dual module)</t>
  </si>
  <si>
    <t>AB73</t>
  </si>
  <si>
    <t>Mounting frame (three modules)</t>
  </si>
  <si>
    <t>SC1</t>
  </si>
  <si>
    <t>Wall mounting back box for 1 module of Alba series</t>
  </si>
  <si>
    <t>SC2</t>
  </si>
  <si>
    <t>Wall mounting back box for 2 modules of Alba series</t>
  </si>
  <si>
    <t>SC3</t>
  </si>
  <si>
    <t>EC733</t>
  </si>
  <si>
    <t>Connection cable for Alba modules (560mm)</t>
  </si>
  <si>
    <t>AB91</t>
  </si>
  <si>
    <t>Rain shelter for 1 Alba module</t>
  </si>
  <si>
    <t>AB92</t>
  </si>
  <si>
    <t>Rain shelter for 2 Alba modules</t>
  </si>
  <si>
    <t>AB93</t>
  </si>
  <si>
    <t>Rain shelter for 3 Alba modules</t>
  </si>
  <si>
    <t>AB94</t>
  </si>
  <si>
    <t>Rain shelter for 4 Alba modules</t>
  </si>
  <si>
    <t>AB96</t>
  </si>
  <si>
    <t>Rain shelter for 6 Alba modules</t>
  </si>
  <si>
    <t>AB81S</t>
  </si>
  <si>
    <t>ALBA surface mounting box, 1 module, no rain shelter</t>
  </si>
  <si>
    <t>AB82S</t>
  </si>
  <si>
    <t>ALBA surface mounting box, 2 modules, no rain shelter</t>
  </si>
  <si>
    <t>AB83S</t>
  </si>
  <si>
    <t>ALBA surface mounting box, 3 modules, no rain shelter</t>
  </si>
  <si>
    <t>XE2921</t>
  </si>
  <si>
    <t>Bluetooth interface for Alba DUO programming and RTC for display</t>
  </si>
  <si>
    <t>BAAB</t>
  </si>
  <si>
    <t>ALBA only audio base building kit (CA2124AB, 2221MQ, AB20 and 2 A</t>
  </si>
  <si>
    <t>BVAB</t>
  </si>
  <si>
    <t>ALBA Video base building kit (CV2124AB, 2221MQ, AB20 and 2 AB21)</t>
  </si>
  <si>
    <t>AGORA' LIGHT</t>
  </si>
  <si>
    <t>VD2121CAGL</t>
  </si>
  <si>
    <t>Agorà Light colour audio-video door station</t>
  </si>
  <si>
    <t>AD2121CAGL</t>
  </si>
  <si>
    <t>Complete Agorà Light 1 call external door station dor DUO System</t>
  </si>
  <si>
    <t>AGL100TS</t>
  </si>
  <si>
    <t>Agora Light module for additional push button</t>
  </si>
  <si>
    <t>AGL20</t>
  </si>
  <si>
    <t>Blank button module for Agorà Light line.</t>
  </si>
  <si>
    <t>AGL21</t>
  </si>
  <si>
    <t>Single call button module for Agorà Light door station</t>
  </si>
  <si>
    <t>VD2101AGL</t>
  </si>
  <si>
    <t>Agorà Light colour audio-video door station DUO EASY</t>
  </si>
  <si>
    <t>AD2101AGL</t>
  </si>
  <si>
    <t>Agorà Light colour only audio door station DUO EASY</t>
  </si>
  <si>
    <t>WA12AG</t>
  </si>
  <si>
    <t>Agora' wall adaptor with hood cover to replace MD72</t>
  </si>
  <si>
    <t>WA01AG</t>
  </si>
  <si>
    <t>Wall adaptor Agora' panel while replacing MD72</t>
  </si>
  <si>
    <t>AGORA'</t>
  </si>
  <si>
    <t>VD2121CAG</t>
  </si>
  <si>
    <t>Agorà colour audio-video door station</t>
  </si>
  <si>
    <t>AD2121CAG</t>
  </si>
  <si>
    <t>Complete Agorà 1 call external door station for DUO System</t>
  </si>
  <si>
    <t>AG100TS</t>
  </si>
  <si>
    <t>Agora module for additional push button</t>
  </si>
  <si>
    <t>AG20</t>
  </si>
  <si>
    <t>Blank button module for Agorà line</t>
  </si>
  <si>
    <t>AG21</t>
  </si>
  <si>
    <t>Single call button module for Agorà door station</t>
  </si>
  <si>
    <t>MATRIX STYLE</t>
  </si>
  <si>
    <t>VD2120CMAS</t>
  </si>
  <si>
    <t>External color camera without buttons. Matrix Style line</t>
  </si>
  <si>
    <t>AD2110MAS</t>
  </si>
  <si>
    <t>Matrix Style audio external door station for Duo System</t>
  </si>
  <si>
    <t>CD2131MAS</t>
  </si>
  <si>
    <t>Encoder with 1 call button. It codes up to 63 buttons</t>
  </si>
  <si>
    <t>CD2132MAS</t>
  </si>
  <si>
    <t>Encoder with 2 call buttons.It codes up to 63 buttons</t>
  </si>
  <si>
    <t>CD2134MAS</t>
  </si>
  <si>
    <t>Encoder with 4 call buttons.It codes up to 63 buttons</t>
  </si>
  <si>
    <t>MAS24S</t>
  </si>
  <si>
    <t>Button panel with 4 call buttons</t>
  </si>
  <si>
    <t>TD2100MAS</t>
  </si>
  <si>
    <t>Antivandal digital button panel. Matrix Style line</t>
  </si>
  <si>
    <t>MAS20</t>
  </si>
  <si>
    <t>Blank module</t>
  </si>
  <si>
    <t>MA71</t>
  </si>
  <si>
    <t>Module frame with back box for 1 module</t>
  </si>
  <si>
    <t>MA72</t>
  </si>
  <si>
    <t>Module frame with back box for 2 modules</t>
  </si>
  <si>
    <t>MA73</t>
  </si>
  <si>
    <t>Module frame with back box for 3 modules</t>
  </si>
  <si>
    <t>MAS61</t>
  </si>
  <si>
    <t>Front frame for 1 module MATRIX STYLE</t>
  </si>
  <si>
    <t>MAS62</t>
  </si>
  <si>
    <t>Front frame for 2 modules MATRIX STYLE</t>
  </si>
  <si>
    <t>MAS63</t>
  </si>
  <si>
    <t>Front frame for 3 modules MATRIX STYLE</t>
  </si>
  <si>
    <t>MA91</t>
  </si>
  <si>
    <t>Rain shelter for surface mounting fit for 1 module</t>
  </si>
  <si>
    <t>MA92</t>
  </si>
  <si>
    <t>Rain shelter for surface mounting fit for 2 modules</t>
  </si>
  <si>
    <t>MA93</t>
  </si>
  <si>
    <t>Rain shelter for surface mounting fit for 3 modules</t>
  </si>
  <si>
    <t>PROFILO</t>
  </si>
  <si>
    <t>VD2120CPL</t>
  </si>
  <si>
    <t>Profilo VIDEO/AUDIO external door station module</t>
  </si>
  <si>
    <t>AD2120CPL</t>
  </si>
  <si>
    <t>Profilo audio external door station module</t>
  </si>
  <si>
    <t>CD2131PL</t>
  </si>
  <si>
    <t>Encoder with 1 call button.It codes up to 63 buttons</t>
  </si>
  <si>
    <t>CD2132PL</t>
  </si>
  <si>
    <t>CD2134PL</t>
  </si>
  <si>
    <t>CD2138PL</t>
  </si>
  <si>
    <t>Encoder with 8 call buttons.It codes up to 63 buttons</t>
  </si>
  <si>
    <t>PL24S</t>
  </si>
  <si>
    <t>Additional buttons panel with 4 call buttons</t>
  </si>
  <si>
    <t>PL228S</t>
  </si>
  <si>
    <t>Additional buttons panel with 8 call buttons</t>
  </si>
  <si>
    <t>TD2100PL</t>
  </si>
  <si>
    <t>Digital door station with LCD and 14 stainless steel keys</t>
  </si>
  <si>
    <t>SYSTEM ELEMENTS</t>
  </si>
  <si>
    <t>GW2IP</t>
  </si>
  <si>
    <t>DUO-IP gateway (single user)</t>
  </si>
  <si>
    <t>1US/GW2IP</t>
  </si>
  <si>
    <t>Additional user for GW2IP gateway</t>
  </si>
  <si>
    <t>PDX2000</t>
  </si>
  <si>
    <t>Digital door keeper exchanger for digital Duo System</t>
  </si>
  <si>
    <t>ST7100CW</t>
  </si>
  <si>
    <t>LCD 4inc monitor with integrated encoding module</t>
  </si>
  <si>
    <t>TA7100W</t>
  </si>
  <si>
    <t>Table adaptor (2,4m cable) for ST7100CW</t>
  </si>
  <si>
    <t>WB7260</t>
  </si>
  <si>
    <t>Bracket for ST7100CW</t>
  </si>
  <si>
    <t>2220S</t>
  </si>
  <si>
    <t>Power supply for external door station</t>
  </si>
  <si>
    <t>2221S</t>
  </si>
  <si>
    <t>Line power supply</t>
  </si>
  <si>
    <t>2221MQ</t>
  </si>
  <si>
    <t>Power supply for home automation DUO system</t>
  </si>
  <si>
    <t>LPF-60-36</t>
  </si>
  <si>
    <t>Power supply for DUO to be used in combination XM2922</t>
  </si>
  <si>
    <t>XM2922</t>
  </si>
  <si>
    <t>Line driver for DUO system</t>
  </si>
  <si>
    <t>2223Q</t>
  </si>
  <si>
    <t>Video booster for DUO Color</t>
  </si>
  <si>
    <t>DM2421</t>
  </si>
  <si>
    <t>Risers distributor (2in/1out or 1 in/2out)</t>
  </si>
  <si>
    <t>DM2444</t>
  </si>
  <si>
    <t>Risers distributor (4in/4out)</t>
  </si>
  <si>
    <t>223IQ</t>
  </si>
  <si>
    <t>Riser and block isolator for DUO system</t>
  </si>
  <si>
    <t>Digital exchanger to split the installation in several risers</t>
  </si>
  <si>
    <t>2281Q</t>
  </si>
  <si>
    <t>Actuator. Smart relay unit for Duo System</t>
  </si>
  <si>
    <t>Digital exchanger for 4 or 7 CCTV cameras</t>
  </si>
  <si>
    <t>2302_100</t>
  </si>
  <si>
    <t>100m reel cable. Twisted pair, 1mm square. (PRICE PER METER)</t>
  </si>
  <si>
    <t>2302E_100</t>
  </si>
  <si>
    <t>100m reel cable for outdoor. Twisted pair, 1mm square. (PRICE PER M</t>
  </si>
  <si>
    <t>2302_500</t>
  </si>
  <si>
    <t>500m reel cable. Twisted pair, 1mm square. (PRICE PER METER)</t>
  </si>
  <si>
    <t>2302E_500</t>
  </si>
  <si>
    <t>500m reel cable for outdoor. Twisted pair, 1mm square. (PRICE PER M</t>
  </si>
  <si>
    <t>DV2420</t>
  </si>
  <si>
    <t>Video signal distributor</t>
  </si>
  <si>
    <t>DV2421Q</t>
  </si>
  <si>
    <t>Video distributor 1 output for Zhero and EX3252C monitors</t>
  </si>
  <si>
    <t>DV2422A</t>
  </si>
  <si>
    <t>Active video distributor for myLogic DUO systems with 2 outputs</t>
  </si>
  <si>
    <t>DV2424Q</t>
  </si>
  <si>
    <t>Video distributor 4 output for Duo System</t>
  </si>
  <si>
    <t>XT2928U</t>
  </si>
  <si>
    <t>Button interface for encoder</t>
  </si>
  <si>
    <t>VM2521</t>
  </si>
  <si>
    <t>Analogue cameras modulator over DUO SYSTEM bus</t>
  </si>
  <si>
    <t>PROGRAMMER</t>
  </si>
  <si>
    <t>PGR2991BT</t>
  </si>
  <si>
    <t>Stand alone Bluetooth programming unit for DUO systems</t>
  </si>
  <si>
    <t>PLUGGY</t>
  </si>
  <si>
    <t>KIT</t>
  </si>
  <si>
    <t>1SEPG</t>
  </si>
  <si>
    <t>2-wires kit for single family installation ALBA door station and SETTE m</t>
  </si>
  <si>
    <t>SE7PG</t>
  </si>
  <si>
    <t>7" additional Sette monitor for 2-wires kit</t>
  </si>
  <si>
    <t>SEE EASY</t>
  </si>
  <si>
    <t>1SEK/MEW</t>
  </si>
  <si>
    <t>2-wires video kit with 7" WIFI monitor, video memory and 1 button door</t>
  </si>
  <si>
    <t>1SEK/M-KP</t>
  </si>
  <si>
    <t>2-wires video kit with keypad and 7" monitor with memory</t>
  </si>
  <si>
    <t>SEM7MEW</t>
  </si>
  <si>
    <t>Additional hands free 7" touch screen LCD monitor with memory</t>
  </si>
  <si>
    <t>SEC/E</t>
  </si>
  <si>
    <t>Door panel with 1 button for kit 1SEK/E</t>
  </si>
  <si>
    <t>SEC/KP</t>
  </si>
  <si>
    <t>Additional camera with soft touch access control keypad</t>
  </si>
  <si>
    <t>SER01</t>
  </si>
  <si>
    <t>Additional relay for secondary lock release in all See Easy kits</t>
  </si>
  <si>
    <t>SEPS</t>
  </si>
  <si>
    <t>Spare power supply for See Easy series kits</t>
  </si>
  <si>
    <t>EX3100C</t>
  </si>
  <si>
    <t>Colour monitor of Exhito series, with 4" LCD and 3 buttons</t>
  </si>
  <si>
    <t>EX3160C</t>
  </si>
  <si>
    <t>Colour monitor of Exhito series, with 4" LCD and 7 buttons</t>
  </si>
  <si>
    <t>EX320DG</t>
  </si>
  <si>
    <t>Exhito Digital Intercom, FN4000, 7 buttons</t>
  </si>
  <si>
    <t>EX310DG</t>
  </si>
  <si>
    <t>Exhito Digital Intercom, FN4000, 3 buttons</t>
  </si>
  <si>
    <t>WB3160DG</t>
  </si>
  <si>
    <t>Wall bracket for digital FN4000 monitor EX3160C or EX3100C</t>
  </si>
  <si>
    <t>MAS42CDG</t>
  </si>
  <si>
    <t>Colour camera for FN4000, with door speaker only</t>
  </si>
  <si>
    <t>MAS43CDG</t>
  </si>
  <si>
    <t>Colour camera for FN4000, with door speaker and 1 button</t>
  </si>
  <si>
    <t>MAS10P</t>
  </si>
  <si>
    <t>AUDIO Module with electric door speaker without call button</t>
  </si>
  <si>
    <t>MAS11P</t>
  </si>
  <si>
    <t>Module door speaker, with 1 button</t>
  </si>
  <si>
    <t>MAS12P</t>
  </si>
  <si>
    <t>Module door speaker,with 2 buttons</t>
  </si>
  <si>
    <t>CD4130MAS</t>
  </si>
  <si>
    <t>Encoder for MATRIXSTYLE series door panels</t>
  </si>
  <si>
    <t>TD4100MAS</t>
  </si>
  <si>
    <t>Digital door station of MATRIX STYLE series with front plate and 14 Ke</t>
  </si>
  <si>
    <t>PL40PCDG</t>
  </si>
  <si>
    <t>Colour camera, fixed 3,6 mm lens. With electric door speaker</t>
  </si>
  <si>
    <t>PL42PCDG</t>
  </si>
  <si>
    <t>Colour camera, fixed 3,6 mm lens. With electric door speaker. 2 call but</t>
  </si>
  <si>
    <t>PL10P</t>
  </si>
  <si>
    <t>Module with door speaker (4+1audio system). No buttons</t>
  </si>
  <si>
    <t>PL11P</t>
  </si>
  <si>
    <t>Module with door speaker (4+1audio system). One button</t>
  </si>
  <si>
    <t>PL12P</t>
  </si>
  <si>
    <t>Module with door speaker (4+1audio system). Two buttons</t>
  </si>
  <si>
    <t>CD4134PL</t>
  </si>
  <si>
    <t>CD4138PL</t>
  </si>
  <si>
    <t>TD4100PL</t>
  </si>
  <si>
    <t>PL20</t>
  </si>
  <si>
    <t>PL50</t>
  </si>
  <si>
    <t>PL71</t>
  </si>
  <si>
    <t>Built-in back box. Fit for 1 module</t>
  </si>
  <si>
    <t>PL72</t>
  </si>
  <si>
    <t>Built-in back box. Fit for 2 modules</t>
  </si>
  <si>
    <t>PL73</t>
  </si>
  <si>
    <t>Built-in back box. Fit for 3 modules</t>
  </si>
  <si>
    <t>PL81</t>
  </si>
  <si>
    <t>Hood cover suitable for 1 Profilo module</t>
  </si>
  <si>
    <t>PL82</t>
  </si>
  <si>
    <t>Hood cover suitable for 2 Profilo modules</t>
  </si>
  <si>
    <t>PL83</t>
  </si>
  <si>
    <t>Hood cover suitable for 3 Profilo modules</t>
  </si>
  <si>
    <t>PL84</t>
  </si>
  <si>
    <t>Hood cover suitable for 4 Profilo modules. Layed on 2 rows</t>
  </si>
  <si>
    <t>PL86</t>
  </si>
  <si>
    <t>Hood cover suitable for 6 Profilo modules. Layed on 2 rows</t>
  </si>
  <si>
    <t>PL89</t>
  </si>
  <si>
    <t>Hood cover suitable for 9 Profilo modules. Layed on 2 rows</t>
  </si>
  <si>
    <t>PL91</t>
  </si>
  <si>
    <t>Rain shelter suitable for 1 module (1 row). Surface mounitng</t>
  </si>
  <si>
    <t>PL92</t>
  </si>
  <si>
    <t>Rain shelter suitable for 2 modules (1 row). Surface mounitng</t>
  </si>
  <si>
    <t>PL93</t>
  </si>
  <si>
    <t>Rain shelter suitable for 3 modules (1 row). Surface mounitng</t>
  </si>
  <si>
    <t>PL94</t>
  </si>
  <si>
    <t>Rain shelter suitable for 4 modules (2 rows). Surface mounitng</t>
  </si>
  <si>
    <t>PL96</t>
  </si>
  <si>
    <t>Rain shelter suitable for 6 modules (2 rows). Surface mounitng</t>
  </si>
  <si>
    <t>PL99</t>
  </si>
  <si>
    <t>Rain shelter suitable for 9 modules (3 rows). Surface mounitng</t>
  </si>
  <si>
    <t>PRS4220</t>
  </si>
  <si>
    <t>Power supply 40VA. 127-230V.13Vca,12Vcc</t>
  </si>
  <si>
    <t>Power supply, 48VA. 13Vca.21Vcc. VDE approved. On DIN bar 8 modu</t>
  </si>
  <si>
    <t>PRS210</t>
  </si>
  <si>
    <t>Transformer 15VA.13Vca.VDE. On DIN bar (3 modules)</t>
  </si>
  <si>
    <t>Relay unit (12Vca,12/24Vcc).On DIN bar ( 3 modules )</t>
  </si>
  <si>
    <t>1471E</t>
  </si>
  <si>
    <t>Relay unit DIN bar (4 modules)</t>
  </si>
  <si>
    <t>Relay unit with two exchanges</t>
  </si>
  <si>
    <t>2 entrance exchanger</t>
  </si>
  <si>
    <t>4273P</t>
  </si>
  <si>
    <t>Digital exchanger</t>
  </si>
  <si>
    <t>Video amplifier and distributor (coax system)</t>
  </si>
  <si>
    <t>CV01</t>
  </si>
  <si>
    <t>Video converter from unbalanced to balanced line</t>
  </si>
  <si>
    <t>CV03</t>
  </si>
  <si>
    <t>Video converter from balanced to unbalanced line</t>
  </si>
  <si>
    <t>DV2</t>
  </si>
  <si>
    <t>2-way video distributor (coax system)</t>
  </si>
  <si>
    <t>DV2D</t>
  </si>
  <si>
    <t>2-way video distributor ( system without coax )</t>
  </si>
  <si>
    <t>DV4</t>
  </si>
  <si>
    <t>4-way video distributor (coax system)</t>
  </si>
  <si>
    <t>4-way video distributor ( system without coax )</t>
  </si>
  <si>
    <t>PDX400</t>
  </si>
  <si>
    <t>Concierge unit for digital FN4000 system</t>
  </si>
  <si>
    <t>EX301</t>
  </si>
  <si>
    <t>Additional button module</t>
  </si>
  <si>
    <t>EX304</t>
  </si>
  <si>
    <t>Additional loudspeaker module</t>
  </si>
  <si>
    <t>EX332</t>
  </si>
  <si>
    <t>3 LED module to be inserted to indicate auxiliary services</t>
  </si>
  <si>
    <t>MAS43CED</t>
  </si>
  <si>
    <t>Colour camera with door speaker and 1 button</t>
  </si>
  <si>
    <t>MAS11PED</t>
  </si>
  <si>
    <t>AUDIO Module with electric door speaker and 1call button</t>
  </si>
  <si>
    <t>TD6100MAS</t>
  </si>
  <si>
    <t>PL40PCED</t>
  </si>
  <si>
    <t>Colour camera, fixed 3,6 mm lens.Electric door speaker.No call buttons</t>
  </si>
  <si>
    <t>PL41PCED</t>
  </si>
  <si>
    <t>Colour camera, fixed 3,6 mm lens.Electric door speaker.1 call buttons</t>
  </si>
  <si>
    <t>PL42PCED</t>
  </si>
  <si>
    <t>Colour camera, fixed 3,6 mm lens.Electric door speaker. 2 call buttons</t>
  </si>
  <si>
    <t>PL10PED</t>
  </si>
  <si>
    <t>Module with door speaker. No buttons</t>
  </si>
  <si>
    <t>PL11PED</t>
  </si>
  <si>
    <t>Module with door speaker. One button</t>
  </si>
  <si>
    <t>PL12PED</t>
  </si>
  <si>
    <t>Module with door speaker. Two buttons</t>
  </si>
  <si>
    <t>TD6100PL</t>
  </si>
  <si>
    <t>Digital door station of PROFILO series with front plate and 14 Key</t>
  </si>
  <si>
    <t>CD6134PL</t>
  </si>
  <si>
    <t>Digital encoder with 4 call buttons</t>
  </si>
  <si>
    <t>CD6138PL</t>
  </si>
  <si>
    <t>Digital encoder with 8 call buttons, 2 columns</t>
  </si>
  <si>
    <t>PRS6220</t>
  </si>
  <si>
    <t>Power supply 40VA.127-230V. 13Vca, 15Vcc</t>
  </si>
  <si>
    <t>Digital Switching Unit</t>
  </si>
  <si>
    <t>DV4D</t>
  </si>
  <si>
    <t>ZH1151WE</t>
  </si>
  <si>
    <t>Handsfree monitor with 4.3" LCD, 4 buttons (Zhero-S)</t>
  </si>
  <si>
    <t>EX321</t>
  </si>
  <si>
    <t>EXHITO (1+1 audio system) electronic call</t>
  </si>
  <si>
    <t>EX311</t>
  </si>
  <si>
    <t>EXHITO Intercom, basic version</t>
  </si>
  <si>
    <t>EX3100CB</t>
  </si>
  <si>
    <t>EX3100C VIDEO INTERCOM WITH INDUCTIVE LOOP SUITABLE FO</t>
  </si>
  <si>
    <t>WB3161</t>
  </si>
  <si>
    <t>Wall bracket for Reduced Wiring monitors EX3100C, EX3160C</t>
  </si>
  <si>
    <t>EX3111AGLC</t>
  </si>
  <si>
    <t>One way Exhito Agorà Light VideoKit (colour)</t>
  </si>
  <si>
    <t>EX3111PLC</t>
  </si>
  <si>
    <t>One way Exhito Profilo VideoKit (colour)</t>
  </si>
  <si>
    <t>EX3111PLC/2</t>
  </si>
  <si>
    <t>Two way Exhito Profilo VideoKit (colour)</t>
  </si>
  <si>
    <t>1AEXD</t>
  </si>
  <si>
    <t>One-way audio kit Exhito-Agorà</t>
  </si>
  <si>
    <t>1PEXD</t>
  </si>
  <si>
    <t>Kit with n.1 EX321, PL11PED, PL71, PRS210ED</t>
  </si>
  <si>
    <t>2PEXD</t>
  </si>
  <si>
    <t>Kit with n.2 EX321, PL12PED, PL71, PRS210ED</t>
  </si>
  <si>
    <t>1PEXFD</t>
  </si>
  <si>
    <t>Kit with n.1 EX321, PL11PED, FC52PL, PL92 , PRS210ED</t>
  </si>
  <si>
    <t>1CKD</t>
  </si>
  <si>
    <t>Kit with n. 1 EX311, PRS210, Click series flush mount door station</t>
  </si>
  <si>
    <t>1CKSD</t>
  </si>
  <si>
    <t>Kit with n. 1 EX311, PRS210, Click series surface mount door station</t>
  </si>
  <si>
    <t>2CKD</t>
  </si>
  <si>
    <t>Kit with n. 2 EX311, PRS210, Click series flush mount door station</t>
  </si>
  <si>
    <t>2CKSD</t>
  </si>
  <si>
    <t>Kit with n. 2 EX311, PRS210, Click series surface mount door station</t>
  </si>
  <si>
    <t>PROJECT</t>
  </si>
  <si>
    <t>PT511GEW</t>
  </si>
  <si>
    <t>White intercom for 1+1 systems.One button.</t>
  </si>
  <si>
    <t>AGL100V</t>
  </si>
  <si>
    <t>Colour audio-video door station of Agorà Light series</t>
  </si>
  <si>
    <t>AGL100T</t>
  </si>
  <si>
    <t>Door station of Agorà Light ready for installation of 8 single call button</t>
  </si>
  <si>
    <t>Single call button module for Agorà Light door station.</t>
  </si>
  <si>
    <t>AGL100A</t>
  </si>
  <si>
    <t>Audio door station of Agorà Light series</t>
  </si>
  <si>
    <t>WA12A</t>
  </si>
  <si>
    <t>AG40CED</t>
  </si>
  <si>
    <t>Colour camera and door speaker for AGL100V, AG100V</t>
  </si>
  <si>
    <t>AG30ED</t>
  </si>
  <si>
    <t>Door speaker module for AG100A, AGL100A</t>
  </si>
  <si>
    <t>PL21</t>
  </si>
  <si>
    <t>Additional button module. With 1 call button</t>
  </si>
  <si>
    <t>PL22</t>
  </si>
  <si>
    <t>Additional button module. With 2 call buttons</t>
  </si>
  <si>
    <t>PL23</t>
  </si>
  <si>
    <t>Additional button module. With 3 call buttons</t>
  </si>
  <si>
    <t>PL24</t>
  </si>
  <si>
    <t>Additional button module. With 4 call buttons</t>
  </si>
  <si>
    <t>PL226</t>
  </si>
  <si>
    <t>Double row module, equipped with 6 buttons</t>
  </si>
  <si>
    <t>PL228</t>
  </si>
  <si>
    <t>Double row module, equipped with 8 buttons</t>
  </si>
  <si>
    <t>MODY</t>
  </si>
  <si>
    <t>MD41C</t>
  </si>
  <si>
    <t>Colour CCD camera unit with electronic autoiris, 4mm fixed lens</t>
  </si>
  <si>
    <t>MD10ED</t>
  </si>
  <si>
    <t>For electric door speaker 0 call button for 1+1system.</t>
  </si>
  <si>
    <t>MD11ED</t>
  </si>
  <si>
    <t>For electric door speaker 1 call button for 1+1system.</t>
  </si>
  <si>
    <t>MD12ED</t>
  </si>
  <si>
    <t>For electric door speaker 2 call buttons for 1+1system.</t>
  </si>
  <si>
    <t>MD20</t>
  </si>
  <si>
    <t>MD21</t>
  </si>
  <si>
    <t>Push-button module with 1 call button</t>
  </si>
  <si>
    <t>MD22</t>
  </si>
  <si>
    <t>Push-button module with 2 call buttons.</t>
  </si>
  <si>
    <t>MD23</t>
  </si>
  <si>
    <t>Push-button module with 3 call buttons.</t>
  </si>
  <si>
    <t>MD24</t>
  </si>
  <si>
    <t>Push-button module with 4 call buttons.</t>
  </si>
  <si>
    <t>MD222</t>
  </si>
  <si>
    <t>Push-button module with 2 call buttons, 2 columns</t>
  </si>
  <si>
    <t>MD224</t>
  </si>
  <si>
    <t>Push-button module with 4 call buttons, 2 columns</t>
  </si>
  <si>
    <t>MD226</t>
  </si>
  <si>
    <t>Push-button module with 6 call buttons, 2 columns</t>
  </si>
  <si>
    <t>MD228</t>
  </si>
  <si>
    <t>Push-button module with 8 call buttons, 2 columns</t>
  </si>
  <si>
    <t>MD50</t>
  </si>
  <si>
    <t>Number module</t>
  </si>
  <si>
    <t>MD71</t>
  </si>
  <si>
    <t>MD72</t>
  </si>
  <si>
    <t>MD73</t>
  </si>
  <si>
    <t>MD74</t>
  </si>
  <si>
    <t>Module frame with back box for 4 modules</t>
  </si>
  <si>
    <t>MD81</t>
  </si>
  <si>
    <t>Hood cover for 1 module (for 1 MD71)</t>
  </si>
  <si>
    <t>MD82</t>
  </si>
  <si>
    <t>Hood cover for 2 modules (for 1 MD72)</t>
  </si>
  <si>
    <t>MD83</t>
  </si>
  <si>
    <t>Hood cover for 3 modules (for 1 MD73)</t>
  </si>
  <si>
    <t>MD84</t>
  </si>
  <si>
    <t>Hood cover for 4 modules (for 2 MD72)</t>
  </si>
  <si>
    <t>MD86</t>
  </si>
  <si>
    <t>Hood cover for 6 modules (for 2 MD73)</t>
  </si>
  <si>
    <t>MD804</t>
  </si>
  <si>
    <t>Hood cover for 4 modules (for 1 MD74)</t>
  </si>
  <si>
    <t>MD91</t>
  </si>
  <si>
    <t>Rain shelter with module frame for 1 module</t>
  </si>
  <si>
    <t>MD92</t>
  </si>
  <si>
    <t>Rain shelter with module frame for 2 modules</t>
  </si>
  <si>
    <t>MD93</t>
  </si>
  <si>
    <t>Rain shelter with module frame for 3 modules</t>
  </si>
  <si>
    <t>MD94</t>
  </si>
  <si>
    <t>Rain shelter with module frame for 4 modules, 2 columns</t>
  </si>
  <si>
    <t>MD96</t>
  </si>
  <si>
    <t>1181E</t>
  </si>
  <si>
    <t>Power supply/timer 48VA. On DIN bar</t>
  </si>
  <si>
    <t>1443ED</t>
  </si>
  <si>
    <t>Switcher module for intercommunicating systems</t>
  </si>
  <si>
    <t>Relay unit (12Vca,12/24Vcc).On DIN bar ( 3 modules ).</t>
  </si>
  <si>
    <t>241D</t>
  </si>
  <si>
    <t>2 diodes module for Mody panels</t>
  </si>
  <si>
    <t>241DMA</t>
  </si>
  <si>
    <t>4-diode module for Profilo and Matrix for reduced wire technology</t>
  </si>
  <si>
    <t>2-way video distributor ( system without coax ).</t>
  </si>
  <si>
    <t>4-way video distributor ( system without coax ).</t>
  </si>
  <si>
    <t>Transformer 15VA.13Vca.VDE. On DIN bar (3 modules).</t>
  </si>
  <si>
    <t>PRS210ED</t>
  </si>
  <si>
    <t>Transformer with electronic note 15VA. 13Vca.VDE approved.On DIN b</t>
  </si>
  <si>
    <t>RL36</t>
  </si>
  <si>
    <t>Relay module to be fitted into the handsets</t>
  </si>
  <si>
    <t>RL37D</t>
  </si>
  <si>
    <t>Relay unit with note generator.</t>
  </si>
  <si>
    <t>SR41</t>
  </si>
  <si>
    <t>Electronic buzzer module.</t>
  </si>
  <si>
    <t>Video converter from unbalanced to balanced line.</t>
  </si>
  <si>
    <t>ST703</t>
  </si>
  <si>
    <t>Call volume module</t>
  </si>
  <si>
    <t>EX310</t>
  </si>
  <si>
    <t>EX320R</t>
  </si>
  <si>
    <t>Intercom for conventional wiring systems, electronic / alternate current</t>
  </si>
  <si>
    <t>WB160</t>
  </si>
  <si>
    <t>Wall bracket for Conventional Wiring monitors EX3160C or EX3100C</t>
  </si>
  <si>
    <t>1CK</t>
  </si>
  <si>
    <t>Kit with n. 1 EX310, PRS210, Click series flush mount door station</t>
  </si>
  <si>
    <t>1CKS</t>
  </si>
  <si>
    <t>Kit with n. 1 EX310, PRS210, Click series surface mount door station</t>
  </si>
  <si>
    <t>2CK</t>
  </si>
  <si>
    <t>Kit with n. 2 EX310, PRS210, Click series flush mount door station</t>
  </si>
  <si>
    <t>2CKS</t>
  </si>
  <si>
    <t>Kit with n. 2 EX310, PRS210, Click series surface mount door station</t>
  </si>
  <si>
    <t>1MEXR</t>
  </si>
  <si>
    <t>4+1 audio kit, including MODY panel and EX320R handset</t>
  </si>
  <si>
    <t>2MEXR</t>
  </si>
  <si>
    <t>4+1 audio kit, 2 ways, including MODY panel and EX320R handset</t>
  </si>
  <si>
    <t>PT510EW</t>
  </si>
  <si>
    <t>White intercom for 4+1 systems. With one button.</t>
  </si>
  <si>
    <t>PT526GEW</t>
  </si>
  <si>
    <t>White intercom for 4+1 systems to electronic call. With two buttons exp</t>
  </si>
  <si>
    <t>PT501G</t>
  </si>
  <si>
    <t>Additional button</t>
  </si>
  <si>
    <t>4MD</t>
  </si>
  <si>
    <t>AUDIO KIT with PT510EW (4), PRS240 and 4 buttons Mody panel</t>
  </si>
  <si>
    <t>6MD</t>
  </si>
  <si>
    <t>AUDIO KIT with PT510EW (6), RPS240, 6 buttons Mody panel</t>
  </si>
  <si>
    <t>8MD</t>
  </si>
  <si>
    <t>AUDIO KIT with PT510EW (8), PRS240 and 8 buttons Mody panel</t>
  </si>
  <si>
    <t>10MD</t>
  </si>
  <si>
    <t>AUDIO KIT with PT510EW (10), PRS240 and Mody 10 buttons panel</t>
  </si>
  <si>
    <t>12MD</t>
  </si>
  <si>
    <t>AUDIO KIT with PT510EW (12), PRS240 and 12 buttons Mody panel</t>
  </si>
  <si>
    <t>4RP</t>
  </si>
  <si>
    <t>AUDIO KIT with PT510EW (4), PRS240 and 4 buttons RP panel</t>
  </si>
  <si>
    <t>6RP</t>
  </si>
  <si>
    <t>AUDIO KIT with PT510EW (6), PRS240, 6 buttons RP panel</t>
  </si>
  <si>
    <t>8RP</t>
  </si>
  <si>
    <t>AUDIO KIT with PT510EW (8), PRS240, 8 buttons RP panel</t>
  </si>
  <si>
    <t>10RP</t>
  </si>
  <si>
    <t>AUDIO KIT with PT510EW (10), PRS240 and RP 10 buttons panel</t>
  </si>
  <si>
    <t>12RP</t>
  </si>
  <si>
    <t>AUDIO KIT with PT510EW (12), PRS240 and 12 buttons RP panel</t>
  </si>
  <si>
    <t>PL40PC</t>
  </si>
  <si>
    <t>Colour camera equipped with electric door speaker. No call buttons</t>
  </si>
  <si>
    <t>PL41C</t>
  </si>
  <si>
    <t>Colour camera equipped with electric door speaker and 1 call button</t>
  </si>
  <si>
    <t>PL42PC</t>
  </si>
  <si>
    <t>Colour camera. Equipped with electric door speaker and 2 call buttons</t>
  </si>
  <si>
    <t>PL422PC</t>
  </si>
  <si>
    <t>Colour camera equipped with electric door speaker and 2 call buttons.</t>
  </si>
  <si>
    <t>PL424PC</t>
  </si>
  <si>
    <t>Colour camera equipped with electric door speaker and 4 call buttons</t>
  </si>
  <si>
    <t>PL122P</t>
  </si>
  <si>
    <t>PL124P</t>
  </si>
  <si>
    <t>Module with door speaker (4+1audio system). Four buttons</t>
  </si>
  <si>
    <t>MD30</t>
  </si>
  <si>
    <t>Door speaker module</t>
  </si>
  <si>
    <t>MD10</t>
  </si>
  <si>
    <t>Module for electric door speaker without call button</t>
  </si>
  <si>
    <t>MD11</t>
  </si>
  <si>
    <t>Module for electric door speaker with 1 call button</t>
  </si>
  <si>
    <t>MD12</t>
  </si>
  <si>
    <t>Module for electric door speaker with 2 call buttons</t>
  </si>
  <si>
    <t>MD122</t>
  </si>
  <si>
    <t>Module for electric door speaker with 2 call buttons, 2 columns</t>
  </si>
  <si>
    <t>MD124</t>
  </si>
  <si>
    <t>Module for electric door speaker with 4 call buttons, 2 columns</t>
  </si>
  <si>
    <t>MD100</t>
  </si>
  <si>
    <t>Door station integrated with door speaker, 1 button.</t>
  </si>
  <si>
    <t>MD200</t>
  </si>
  <si>
    <t>Door station integrated with door speaker, 2 buttons</t>
  </si>
  <si>
    <t>1281E</t>
  </si>
  <si>
    <t>Power supply with timer integrated.On DIN bar (8 modules).</t>
  </si>
  <si>
    <t>1282E</t>
  </si>
  <si>
    <t>Audio-Video timer on DIN bar ( 6 modules )</t>
  </si>
  <si>
    <t>PRS240</t>
  </si>
  <si>
    <t>Stabilized power supply with electronic ringing generator for call,18 VA.</t>
  </si>
  <si>
    <t>PRS226E</t>
  </si>
  <si>
    <t>Power supply-switcher for intercommunicating18VA, with note genereto</t>
  </si>
  <si>
    <t>1273TV</t>
  </si>
  <si>
    <t>Two entrances audio-video switching unit</t>
  </si>
  <si>
    <t>1443E</t>
  </si>
  <si>
    <t>Intercommunicating module for 1382</t>
  </si>
  <si>
    <t>CV02</t>
  </si>
  <si>
    <t>Call confirmation module for external door stations.</t>
  </si>
  <si>
    <t>RL37</t>
  </si>
  <si>
    <t>Relay unit note generetor, DIN bar 4 modules</t>
  </si>
  <si>
    <t>GN30</t>
  </si>
  <si>
    <t>Three electronic ringers generator.</t>
  </si>
  <si>
    <t>PT510W</t>
  </si>
  <si>
    <t>White intercom</t>
  </si>
  <si>
    <t>PT520GW</t>
  </si>
  <si>
    <t>White intercom, expandable.</t>
  </si>
  <si>
    <t>PT511GSW/1</t>
  </si>
  <si>
    <t>White intercom with buzzer for 1+1 system.</t>
  </si>
  <si>
    <t>PT524SW</t>
  </si>
  <si>
    <t>White intercom for Victory kits</t>
  </si>
  <si>
    <t>1V</t>
  </si>
  <si>
    <t>Kit with n.1 PT524SW, RP1, PRS220, MD30</t>
  </si>
  <si>
    <t>2V</t>
  </si>
  <si>
    <t>Kit with n.2 PT524SW, RP2, PRS220, MD30</t>
  </si>
  <si>
    <t>3V</t>
  </si>
  <si>
    <t>Kit with n.3 PT524SW, RP4, PRS220, MD30</t>
  </si>
  <si>
    <t>4V</t>
  </si>
  <si>
    <t>Kit with n.4 PT524SW, RP4, PRS220, MD30</t>
  </si>
  <si>
    <t>6V</t>
  </si>
  <si>
    <t>Kit with n.6 PT524SW, RP6, PRS220, MD30</t>
  </si>
  <si>
    <t>8V</t>
  </si>
  <si>
    <t>Kit with n.8 PT524SW, RP8, PRS220, MD30</t>
  </si>
  <si>
    <t>10V</t>
  </si>
  <si>
    <t>Kit with n.10 PT524SW, RP10, PRS220, MD30</t>
  </si>
  <si>
    <t>12V</t>
  </si>
  <si>
    <t>Kit with n.12 PT524SW, RP12, PRS220, MD30</t>
  </si>
  <si>
    <t>Beige intercom With one button,built-in electronic bell, electronic microp20</t>
  </si>
  <si>
    <t>RP</t>
  </si>
  <si>
    <t>RP1</t>
  </si>
  <si>
    <t>For door speaker 1 button</t>
  </si>
  <si>
    <t>RP2</t>
  </si>
  <si>
    <t>For door speaker 2 buttons</t>
  </si>
  <si>
    <t>RP4</t>
  </si>
  <si>
    <t>For door speaker 4 buttons</t>
  </si>
  <si>
    <t>RP6</t>
  </si>
  <si>
    <t>For door speaker 6 buttons</t>
  </si>
  <si>
    <t>RP8</t>
  </si>
  <si>
    <t>For door speaker 8 buttons</t>
  </si>
  <si>
    <t>RP10</t>
  </si>
  <si>
    <t>For door speaker 10 buttons</t>
  </si>
  <si>
    <t>RP12</t>
  </si>
  <si>
    <t>For door speaker 12 buttons</t>
  </si>
  <si>
    <t>R8</t>
  </si>
  <si>
    <t>Additional panel 8 buttons</t>
  </si>
  <si>
    <t>R10</t>
  </si>
  <si>
    <t>Additional panel 10 buttons</t>
  </si>
  <si>
    <t>R12</t>
  </si>
  <si>
    <t>Additional panel 12 buttons</t>
  </si>
  <si>
    <t>R14</t>
  </si>
  <si>
    <t>Additional panel 14 buttons</t>
  </si>
  <si>
    <t>337C</t>
  </si>
  <si>
    <t>Electric door speaker for 4+1 and video system</t>
  </si>
  <si>
    <t>PRS220</t>
  </si>
  <si>
    <t>15VA. 6Vcc-13Vca.VDE-DEMKO-SEMKO-SASO.on DIN bar ( 4 modul</t>
  </si>
  <si>
    <t>PSR226</t>
  </si>
  <si>
    <t>For intercommunicating, 18VA. 8Vcc-13Vca. VDE,On DIN bar ( 6 modu</t>
  </si>
  <si>
    <t>SR40</t>
  </si>
  <si>
    <t>Buzzer module</t>
  </si>
  <si>
    <t>AB3G</t>
  </si>
  <si>
    <t>3G GSM MyCom module for up to 4 calls on Alba module</t>
  </si>
  <si>
    <t>AN01</t>
  </si>
  <si>
    <t>External Antenna for MyCom system</t>
  </si>
  <si>
    <t>AN02</t>
  </si>
  <si>
    <t>Antenna adaptor for installation of AN01 external antenna on AB3G mo</t>
  </si>
  <si>
    <t>1MCAB</t>
  </si>
  <si>
    <t>MyCom ALBA 3G kit, 1 to 4 buttons, flush mounting</t>
  </si>
  <si>
    <t>1MCABS</t>
  </si>
  <si>
    <t>MyCom ALBA 3G kit, 1 to 4 buttons, surface mounting</t>
  </si>
  <si>
    <t>1MCPDAB</t>
  </si>
  <si>
    <t>MyCom kit composed by AB3G and keypad PD2100AB</t>
  </si>
  <si>
    <t>FT208E</t>
  </si>
  <si>
    <t>2 line / 8 int PBX</t>
  </si>
  <si>
    <t>ES14E</t>
  </si>
  <si>
    <t>Expansion module for FT208E</t>
  </si>
  <si>
    <t>FTDUO</t>
  </si>
  <si>
    <t>FT208E PBX to DUO system interface</t>
  </si>
  <si>
    <t>FT11D</t>
  </si>
  <si>
    <t>Intercom to telephone interf. (German appr.)</t>
  </si>
  <si>
    <t>ACCESS CONTROL</t>
  </si>
  <si>
    <t>FC21E</t>
  </si>
  <si>
    <t>Access control keypad (plastic). 8 programmable codes</t>
  </si>
  <si>
    <t>FC32P</t>
  </si>
  <si>
    <t>Access control keypad (aluminium). 4 programmable codes. 2 relays</t>
  </si>
  <si>
    <t>FC42</t>
  </si>
  <si>
    <t>Access control keypad (stain. steel). 8 programmable codes. 2 relays</t>
  </si>
  <si>
    <t>FC52MAS</t>
  </si>
  <si>
    <t>2 relays for lock opening,12 programmable codes (IP45)</t>
  </si>
  <si>
    <t>FP52PL</t>
  </si>
  <si>
    <t>Proximity Reader for Profilo series.</t>
  </si>
  <si>
    <t>FC52PL</t>
  </si>
  <si>
    <t>Access control keypad for Profilo series.</t>
  </si>
  <si>
    <t>FP11/10</t>
  </si>
  <si>
    <t>Kit cards ISO for 10 users</t>
  </si>
  <si>
    <t>FP12/10</t>
  </si>
  <si>
    <t>Passive key ring Tag for 10 users</t>
  </si>
  <si>
    <t>FC52P</t>
  </si>
  <si>
    <t>Access control keypad for Mody series.</t>
  </si>
  <si>
    <t>ZKTECO</t>
  </si>
  <si>
    <t>VIDEO INTERCOM</t>
  </si>
  <si>
    <t>Analog Video Intercom</t>
  </si>
  <si>
    <t>VDPO3-B3 Kit</t>
  </si>
  <si>
    <t>visual, intercom, unlock, color night vision, rainproof, explosion-proof camera: 700 line CMOS color camera with super backlight compensation power consumption: standby 0W, work ≤ 2W Power supply mode: indoor extension power supply mode: RVV4 core wire connection night vision: 4 LED night vision white lights best night vision distance: 0.2--1.2 meters camera angle: 90 degrees working temperature range: -20 --- +60 degrees Celsius host material: zinc alloy die-casting installation method ： Paperback installation Dimensions: length 140 * width 43 * thickness 30mm (40mm above rain cover)</t>
  </si>
  <si>
    <t>VDPO4-B4 Kit</t>
  </si>
  <si>
    <t>Function introduction: visual, intercom, unlock, infrared night vision, rainproof
Camera: 700-line CMOS color camera with super backlight compensation
Power consumption: standby 0W, work ≤2W
Power supply mode: indoor extension power supply
Wiring method: RVV4 core wire connection
Night vision: 5 LED infrared night vision fill lights
The best distance for night vision: 0.2--1.2 meters
Camera angle: 90 degrees
Operating temperature range: -20 --- + 60 degrees Celsius
Host material: ABS engineering plastic + brushed metal imitation panel Installation: paperback installation
Dimensions: length 125 * width 95 * thickness 35mm (48mm above rain cover)</t>
  </si>
  <si>
    <t>Indoor Monitor</t>
  </si>
  <si>
    <t>VDPI-B3</t>
  </si>
  <si>
    <t>Video intercom with the host, unlock, monitor, do not disturb Display: TFT-LCD 7-inch digital high-definition LCD display
Resolution: 800 * 480 Power: Input voltage: AC 100V-240V, Output voltage: DC15V 1.2A Power consumption: Standby ≤ 1W, Work ≤ 10W Ringtone: 25 songs and rotary music Color selection: white
Wiring method: One to one RVV4 core wire connection, (maximum distance of 100 meters) Installation method: wall hanging Appearance size: length 230 * width 165 * thickness 20mm
Material: ABS engineering plastic</t>
  </si>
  <si>
    <t>VDPI-B4</t>
  </si>
  <si>
    <t>Video intercom with the host, unlock, monitor, do not disturb Display: TFT-LCD 4.3-inch digital high-definition LCD display
Resolution: 480 *272，Power: Input voltage: AC 100V-240V, Output voltage: DC15V 1.2A Power consumption: Standby ≤ 1W, Work ≤ 10W Ringtone: 25 songs and rotary music Color selection: white
Wiring method: One to one RVV4 core wire connection, (maximum distance of 100 meters) Installation method: wall hanging Appearance size: length 215 * width 195 * thickness 48mm
Material: ABS engineering plastic</t>
  </si>
  <si>
    <t>VK04-A01 Kit</t>
  </si>
  <si>
    <t>Pinhole 3.7mm Lens , 600TVL        
Without IR Cut，Angle75°
With Night vision , infrared LED5PCS                                             
Suitable for different electronic lock  
Aluminum alloy case
CVBS  system                                     
4.3" TFT  Screen 
Talking/Unlock/Monitoring /Transfer calling /Internal calling    
With 30 Ringtone  
Support 4 indoor monitors, 2  call panel ,3Locks  and 2  cameras /   Alarms</t>
  </si>
  <si>
    <t>VK07-A01 Kit</t>
  </si>
  <si>
    <t>Pinhole 3.7mm Lens , 1000TVL                                
With Night vision , infrared LED5PCS                                             
Suitable for different electronic lock  
Aluminum alloy case
CVBS  system                                     
7" TFT  Screen 
Talking/Unlock/Monitoring /Transfer calling /Internal calling    
Support 4 indoor monitors, 2  call panel ,3Locks  and 2  cameras /   Alarms                                   
Support max.32G SD Card  ，built in 20pcs picture</t>
  </si>
  <si>
    <t>Hybrid Video Intercom</t>
  </si>
  <si>
    <t>VK07-C02 Kit</t>
  </si>
  <si>
    <r>
      <rPr>
        <rFont val="Calibri"/>
        <color theme="1"/>
        <sz val="10.0"/>
      </rPr>
      <t xml:space="preserve">Wide-Angle AHD1080P/2MP                                                                            3.2mm Lens, With IR Cut，Angle148°
With Night vision , infrared LED5PCS                                                  
Suitable for different electronic lock  
Aluminum Alloy Case  +Glass                                                                             Support switch signal from 1080P-720P-CVBS
7" Capacitive Touch  Screen
2.4G Wifi connect to internet
</t>
    </r>
    <r>
      <rPr>
        <rFont val="Calibri"/>
        <color rgb="FFFF0000"/>
        <sz val="10.0"/>
      </rPr>
      <t>Work with Tuya App</t>
    </r>
    <r>
      <rPr>
        <rFont val="Calibri"/>
        <color theme="1"/>
        <sz val="10.0"/>
      </rPr>
      <t xml:space="preserve">
AHD/TVI/CVI  /CVBS   video input
</t>
    </r>
    <r>
      <rPr>
        <rFont val="Calibri"/>
        <color rgb="FFFF0000"/>
        <sz val="10.0"/>
      </rPr>
      <t xml:space="preserve">Support max.128G SD Card   </t>
    </r>
    <r>
      <rPr>
        <rFont val="Calibri"/>
        <color theme="1"/>
        <sz val="10.0"/>
      </rPr>
      <t xml:space="preserve">                                            Talking/Unlock/Monitoring/Internal calling / Transfer calling                                                      Photo Frame   &amp;  clock   &amp; voice message                                                                                               Motion detection for 4 channel                                       
3 different styles UI menu for selection             
Support 6 indoor monitors, 2  call panel ,3Locks  and 2  cameras /   Alarms                                ABS Plastic</t>
    </r>
  </si>
  <si>
    <t>VT04-A01</t>
  </si>
  <si>
    <t>CVBS  system                                     
4.3" TFT  Screen 
ABS Plastic with Sensor button
Talking/Unlock/Monitoring /Transfer calling /Internal calling    
Support 4 indoor monitors, 2  call panel ,3Locks  and 2  cameras /   Alarms</t>
  </si>
  <si>
    <t>VT07-A01</t>
  </si>
  <si>
    <r>
      <rPr>
        <rFont val="Calibri"/>
        <color theme="1"/>
        <sz val="10.0"/>
      </rPr>
      <t xml:space="preserve">CVBS  system                                     
7" TFT  Screen 
ABS Plastic with Sensor button
Talking/Unlock/Monitoring /Transfer calling /Internal calling    
Support 4 indoor monitors, 2  call panel ,3Locks  and 2  cameras /   Alarms                                   
</t>
    </r>
    <r>
      <rPr>
        <rFont val="Calibri"/>
        <color rgb="FFFF0000"/>
        <sz val="10.0"/>
      </rPr>
      <t>Support max.32G SD Card</t>
    </r>
    <r>
      <rPr>
        <rFont val="Calibri"/>
        <color theme="1"/>
        <sz val="10.0"/>
      </rPr>
      <t xml:space="preserve">  ，built in 20pcs picture</t>
    </r>
  </si>
  <si>
    <t>VT07-C02</t>
  </si>
  <si>
    <r>
      <rPr>
        <rFont val="Calibri"/>
        <color theme="1"/>
        <sz val="10.0"/>
      </rPr>
      <t xml:space="preserve">7" Capacitive Touch  Screen
2.4G Wifi connect to internet
</t>
    </r>
    <r>
      <rPr>
        <rFont val="Calibri"/>
        <color rgb="FFFF0000"/>
        <sz val="10.0"/>
      </rPr>
      <t>Work with Tuya App</t>
    </r>
    <r>
      <rPr>
        <rFont val="Calibri"/>
        <color theme="1"/>
        <sz val="10.0"/>
      </rPr>
      <t xml:space="preserve">
AHD/TVI/CVI  /CVBS   video input
Support max.128G SD Card                                               Talking/Unlock/Monitoring/Internal calling / Transfer calling                                                      Photo Frame   &amp;  clock   &amp; voice message                                                                                               Motion detection for 4 channel                                       
3 different styles UI menu for selection             
</t>
    </r>
    <r>
      <rPr>
        <rFont val="Calibri"/>
        <color rgb="FFFF0000"/>
        <sz val="10.0"/>
      </rPr>
      <t>Support 6 indoor monitors,</t>
    </r>
    <r>
      <rPr>
        <rFont val="Calibri"/>
        <color theme="1"/>
        <sz val="10.0"/>
      </rPr>
      <t xml:space="preserve"> 2  call panel ,3Locks  and 2  cameras /   Alarms                                ABS Plastic</t>
    </r>
  </si>
  <si>
    <t>Outdoor Station</t>
  </si>
  <si>
    <t>VE01-A02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</si>
  <si>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1 family</t>
  </si>
  <si>
    <t>VE02-A02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</si>
  <si>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2 family</t>
  </si>
  <si>
    <t>VE03-A02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</si>
  <si>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3 family</t>
  </si>
  <si>
    <t>VE04-A02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</si>
  <si>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4 family</t>
  </si>
  <si>
    <t>VE02-A01</t>
  </si>
  <si>
    <t>Building card-opening host 265mm*128mm*48mm
Aluminum alloy shell, For 2 family, DC12V-15V (separate power supply), 700 lines CMOS color camera, embedded installation, -20℃~60℃, US standard power supply</t>
  </si>
  <si>
    <t>VE03-A01</t>
  </si>
  <si>
    <t>Building card-opening host 265mm*128mm*48mm
Aluminum alloy shell, For 3 family, DC12V-15V (separate power supply), 700 lines CMOS color camera, embedded installation, -20℃~60℃, US standard power supply</t>
  </si>
  <si>
    <t>VE04-A01</t>
  </si>
  <si>
    <t>Building card-opening host 265mm*128mm*48mm
Aluminum alloy shell, For 4 family, DC12V-15V (separate power supply), 700 lines CMOS color camera, embedded installation, -20℃~60℃, US standard power supply</t>
  </si>
  <si>
    <t>VE06-A01</t>
  </si>
  <si>
    <t>Building card-opening host 265mm*128mm*48mm
Aluminum alloy shell, For 6 family, DC12V-15V (separate power supply), 700 lines CMOS color camera, embedded installation, -20℃~60℃, US standard power supply</t>
  </si>
  <si>
    <t>VE08-A01</t>
  </si>
  <si>
    <t>Building card-opening host 331mm*128mm*48mm
Aluminum alloy shell, For 8 family, DC12V-15V (separate power supply), 700 lines CMOS color camera, embedded installation, -20℃~60℃, US standard power supply</t>
  </si>
  <si>
    <t>VE10-A01</t>
  </si>
  <si>
    <t>Building card-opening host 331mm*128mm*48mm
Aluminum alloy shell, For 10 family, DC12V-15V (separate power supply), 700 lines CMOS color camera, embedded installation, -20℃~60℃, US standard power supply</t>
  </si>
  <si>
    <t>VE12-A01</t>
  </si>
  <si>
    <t>Building card-opening host 331mm*128mm*48mm
Aluminum alloy shell, For 12 family, DC12V-15V (separate power supply), 700 lines CMOS color camera, embedded installation, -20℃~60℃, US standard power 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</si>
</sst>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₱]#,##0.00"/>
    <numFmt numFmtId="165" formatCode="[$€]#,##0.00"/>
    <numFmt numFmtId="166" formatCode="0.00;[Red]0.00"/>
  </numFmts>
  <fonts count="11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sz val="10.0"/>
      <color theme="1"/>
      <name val="Arial"/>
    </font>
    <font>
      <sz val="10.0"/>
      <color theme="1"/>
      <name val="Calibri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7F7F7F"/>
      <name val="Calibri"/>
    </font>
    <font>
      <color theme="1"/>
      <name val="Calibri"/>
    </font>
    <font>
      <sz val="11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1" numFmtId="16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5" xfId="0" applyAlignment="1" applyBorder="1" applyFont="1" applyNumberForma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165" xfId="0" applyAlignment="1" applyBorder="1" applyFont="1" applyNumberFormat="1">
      <alignment horizontal="right" shrinkToFit="0" vertical="center" wrapText="1"/>
    </xf>
    <xf borderId="4" fillId="0" fontId="4" numFmtId="164" xfId="0" applyAlignment="1" applyBorder="1" applyFont="1" applyNumberFormat="1">
      <alignment horizontal="right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165" xfId="0" applyAlignment="1" applyBorder="1" applyFont="1" applyNumberFormat="1">
      <alignment shrinkToFit="0" vertical="center" wrapText="1"/>
    </xf>
    <xf borderId="4" fillId="0" fontId="4" numFmtId="164" xfId="0" applyAlignment="1" applyBorder="1" applyFont="1" applyNumberFormat="1">
      <alignment shrinkToFit="0" vertical="center" wrapText="1"/>
    </xf>
    <xf borderId="4" fillId="0" fontId="7" numFmtId="164" xfId="0" applyAlignment="1" applyBorder="1" applyFont="1" applyNumberFormat="1">
      <alignment horizontal="right"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0" fontId="8" numFmtId="165" xfId="0" applyAlignment="1" applyBorder="1" applyFont="1" applyNumberFormat="1">
      <alignment horizontal="right"/>
    </xf>
    <xf borderId="4" fillId="0" fontId="8" numFmtId="165" xfId="0" applyAlignment="1" applyBorder="1" applyFont="1" applyNumberFormat="1">
      <alignment horizontal="right"/>
    </xf>
    <xf borderId="4" fillId="0" fontId="8" numFmtId="165" xfId="0" applyAlignment="1" applyBorder="1" applyFont="1" applyNumberFormat="1">
      <alignment horizontal="center" shrinkToFit="0" wrapText="1"/>
    </xf>
    <xf borderId="4" fillId="0" fontId="9" numFmtId="165" xfId="0" applyAlignment="1" applyBorder="1" applyFont="1" applyNumberFormat="1">
      <alignment horizontal="center" shrinkToFit="0" wrapText="1"/>
    </xf>
    <xf borderId="4" fillId="0" fontId="9" numFmtId="165" xfId="0" applyAlignment="1" applyBorder="1" applyFont="1" applyNumberFormat="1">
      <alignment horizontal="right"/>
    </xf>
    <xf borderId="4" fillId="0" fontId="9" numFmtId="165" xfId="0" applyAlignment="1" applyBorder="1" applyFont="1" applyNumberFormat="1">
      <alignment horizontal="right" shrinkToFit="0" wrapText="1"/>
    </xf>
    <xf borderId="4" fillId="0" fontId="8" numFmtId="165" xfId="0" applyAlignment="1" applyBorder="1" applyFont="1" applyNumberFormat="1">
      <alignment horizontal="right" shrinkToFit="0" wrapText="1"/>
    </xf>
    <xf borderId="4" fillId="0" fontId="8" numFmtId="165" xfId="0" applyAlignment="1" applyBorder="1" applyFont="1" applyNumberFormat="1">
      <alignment horizontal="center"/>
    </xf>
    <xf borderId="4" fillId="3" fontId="8" numFmtId="165" xfId="0" applyAlignment="1" applyBorder="1" applyFill="1" applyFont="1" applyNumberFormat="1">
      <alignment horizontal="center" shrinkToFit="0" wrapText="1"/>
    </xf>
    <xf borderId="4" fillId="0" fontId="3" numFmtId="166" xfId="0" applyAlignment="1" applyBorder="1" applyFont="1" applyNumberFormat="1">
      <alignment horizontal="center" shrinkToFit="0" vertical="center" wrapText="1"/>
    </xf>
    <xf borderId="4" fillId="0" fontId="5" numFmtId="165" xfId="0" applyAlignment="1" applyBorder="1" applyFont="1" applyNumberFormat="1">
      <alignment shrinkToFit="0" vertical="center" wrapText="1"/>
    </xf>
    <xf borderId="4" fillId="0" fontId="10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0.25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3"/>
      <c r="L1" s="4" t="s">
        <v>2</v>
      </c>
      <c r="M1" s="3"/>
      <c r="N1" s="4" t="s">
        <v>3</v>
      </c>
      <c r="O1" s="3"/>
    </row>
    <row r="2">
      <c r="A2" s="5" t="s">
        <v>4</v>
      </c>
      <c r="B2" s="5" t="s">
        <v>5</v>
      </c>
      <c r="C2" s="6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7" t="s">
        <v>11</v>
      </c>
      <c r="I2" s="8" t="s">
        <v>12</v>
      </c>
      <c r="J2" s="9" t="s">
        <v>13</v>
      </c>
      <c r="K2" s="9" t="s">
        <v>14</v>
      </c>
      <c r="L2" s="9" t="s">
        <v>15</v>
      </c>
      <c r="M2" s="9" t="s">
        <v>16</v>
      </c>
      <c r="N2" s="9" t="s">
        <v>17</v>
      </c>
      <c r="O2" s="9" t="s">
        <v>18</v>
      </c>
    </row>
    <row r="3">
      <c r="A3" s="10" t="s">
        <v>19</v>
      </c>
      <c r="B3" s="11" t="s">
        <v>20</v>
      </c>
      <c r="C3" s="11"/>
      <c r="D3" s="12" t="s">
        <v>21</v>
      </c>
      <c r="E3" s="13" t="s">
        <v>22</v>
      </c>
      <c r="F3" s="13" t="s">
        <v>23</v>
      </c>
      <c r="G3" s="13" t="s">
        <v>24</v>
      </c>
      <c r="H3" s="14"/>
      <c r="I3" s="15">
        <v>5400.0</v>
      </c>
      <c r="J3" s="16">
        <f t="shared" ref="J3:J478" si="1">I3*1.5</f>
        <v>8100</v>
      </c>
      <c r="K3" s="16">
        <f t="shared" ref="K3:K478" si="2">I3*1.3</f>
        <v>7020</v>
      </c>
      <c r="L3" s="16">
        <f t="shared" ref="L3:L478" si="3">I3*1.3</f>
        <v>7020</v>
      </c>
      <c r="M3" s="16">
        <f t="shared" ref="M3:M478" si="4">I3*1.2</f>
        <v>6480</v>
      </c>
      <c r="N3" s="16">
        <f t="shared" ref="N3:N478" si="5">I3*1.15</f>
        <v>6210</v>
      </c>
      <c r="O3" s="16">
        <f t="shared" ref="O3:O478" si="6">I3*1.1</f>
        <v>5940</v>
      </c>
    </row>
    <row r="4">
      <c r="A4" s="13" t="s">
        <v>19</v>
      </c>
      <c r="B4" s="11" t="s">
        <v>20</v>
      </c>
      <c r="C4" s="11"/>
      <c r="D4" s="13"/>
      <c r="E4" s="13" t="s">
        <v>25</v>
      </c>
      <c r="F4" s="13" t="s">
        <v>26</v>
      </c>
      <c r="G4" s="13" t="s">
        <v>27</v>
      </c>
      <c r="H4" s="14"/>
      <c r="I4" s="15">
        <v>6100.0</v>
      </c>
      <c r="J4" s="16">
        <f t="shared" si="1"/>
        <v>9150</v>
      </c>
      <c r="K4" s="16">
        <f t="shared" si="2"/>
        <v>7930</v>
      </c>
      <c r="L4" s="16">
        <f t="shared" si="3"/>
        <v>7930</v>
      </c>
      <c r="M4" s="16">
        <f t="shared" si="4"/>
        <v>7320</v>
      </c>
      <c r="N4" s="16">
        <f t="shared" si="5"/>
        <v>7015</v>
      </c>
      <c r="O4" s="16">
        <f t="shared" si="6"/>
        <v>6710</v>
      </c>
    </row>
    <row r="5">
      <c r="A5" s="13" t="s">
        <v>19</v>
      </c>
      <c r="B5" s="11" t="s">
        <v>20</v>
      </c>
      <c r="C5" s="11"/>
      <c r="D5" s="13"/>
      <c r="E5" s="13" t="s">
        <v>28</v>
      </c>
      <c r="F5" s="13" t="s">
        <v>29</v>
      </c>
      <c r="G5" s="13" t="s">
        <v>30</v>
      </c>
      <c r="H5" s="14"/>
      <c r="I5" s="15">
        <v>8550.0</v>
      </c>
      <c r="J5" s="16">
        <f t="shared" si="1"/>
        <v>12825</v>
      </c>
      <c r="K5" s="16">
        <f t="shared" si="2"/>
        <v>11115</v>
      </c>
      <c r="L5" s="16">
        <f t="shared" si="3"/>
        <v>11115</v>
      </c>
      <c r="M5" s="16">
        <f t="shared" si="4"/>
        <v>10260</v>
      </c>
      <c r="N5" s="16">
        <f t="shared" si="5"/>
        <v>9832.5</v>
      </c>
      <c r="O5" s="16">
        <f t="shared" si="6"/>
        <v>9405</v>
      </c>
    </row>
    <row r="6">
      <c r="A6" s="13" t="s">
        <v>19</v>
      </c>
      <c r="B6" s="11" t="s">
        <v>20</v>
      </c>
      <c r="C6" s="11"/>
      <c r="D6" s="13"/>
      <c r="E6" s="13" t="s">
        <v>31</v>
      </c>
      <c r="F6" s="13" t="s">
        <v>32</v>
      </c>
      <c r="G6" s="13" t="s">
        <v>33</v>
      </c>
      <c r="H6" s="14"/>
      <c r="I6" s="15">
        <v>4750.0</v>
      </c>
      <c r="J6" s="16">
        <f t="shared" si="1"/>
        <v>7125</v>
      </c>
      <c r="K6" s="16">
        <f t="shared" si="2"/>
        <v>6175</v>
      </c>
      <c r="L6" s="16">
        <f t="shared" si="3"/>
        <v>6175</v>
      </c>
      <c r="M6" s="16">
        <f t="shared" si="4"/>
        <v>5700</v>
      </c>
      <c r="N6" s="16">
        <f t="shared" si="5"/>
        <v>5462.5</v>
      </c>
      <c r="O6" s="16">
        <f t="shared" si="6"/>
        <v>5225</v>
      </c>
    </row>
    <row r="7">
      <c r="A7" s="13" t="s">
        <v>19</v>
      </c>
      <c r="B7" s="11" t="s">
        <v>20</v>
      </c>
      <c r="C7" s="11"/>
      <c r="D7" s="13"/>
      <c r="E7" s="13" t="s">
        <v>34</v>
      </c>
      <c r="F7" s="13" t="s">
        <v>35</v>
      </c>
      <c r="G7" s="13" t="s">
        <v>36</v>
      </c>
      <c r="H7" s="17"/>
      <c r="I7" s="18">
        <v>2670.0</v>
      </c>
      <c r="J7" s="16">
        <f t="shared" si="1"/>
        <v>4005</v>
      </c>
      <c r="K7" s="16">
        <f t="shared" si="2"/>
        <v>3471</v>
      </c>
      <c r="L7" s="16">
        <f t="shared" si="3"/>
        <v>3471</v>
      </c>
      <c r="M7" s="16">
        <f t="shared" si="4"/>
        <v>3204</v>
      </c>
      <c r="N7" s="16">
        <f t="shared" si="5"/>
        <v>3070.5</v>
      </c>
      <c r="O7" s="16">
        <f t="shared" si="6"/>
        <v>2937</v>
      </c>
    </row>
    <row r="8">
      <c r="A8" s="13" t="s">
        <v>19</v>
      </c>
      <c r="B8" s="11" t="s">
        <v>20</v>
      </c>
      <c r="C8" s="11"/>
      <c r="D8" s="13"/>
      <c r="E8" s="13" t="s">
        <v>37</v>
      </c>
      <c r="F8" s="13" t="s">
        <v>38</v>
      </c>
      <c r="G8" s="13" t="s">
        <v>39</v>
      </c>
      <c r="H8" s="17"/>
      <c r="I8" s="18">
        <v>935.0</v>
      </c>
      <c r="J8" s="16">
        <f t="shared" si="1"/>
        <v>1402.5</v>
      </c>
      <c r="K8" s="16">
        <f t="shared" si="2"/>
        <v>1215.5</v>
      </c>
      <c r="L8" s="16">
        <f t="shared" si="3"/>
        <v>1215.5</v>
      </c>
      <c r="M8" s="16">
        <f t="shared" si="4"/>
        <v>1122</v>
      </c>
      <c r="N8" s="16">
        <f t="shared" si="5"/>
        <v>1075.25</v>
      </c>
      <c r="O8" s="16">
        <f t="shared" si="6"/>
        <v>1028.5</v>
      </c>
    </row>
    <row r="9">
      <c r="A9" s="13" t="s">
        <v>19</v>
      </c>
      <c r="B9" s="11" t="s">
        <v>20</v>
      </c>
      <c r="C9" s="11"/>
      <c r="D9" s="13"/>
      <c r="E9" s="13" t="s">
        <v>40</v>
      </c>
      <c r="F9" s="13" t="s">
        <v>41</v>
      </c>
      <c r="G9" s="13" t="s">
        <v>42</v>
      </c>
      <c r="H9" s="17"/>
      <c r="I9" s="18">
        <v>3100.0</v>
      </c>
      <c r="J9" s="16">
        <f t="shared" si="1"/>
        <v>4650</v>
      </c>
      <c r="K9" s="16">
        <f t="shared" si="2"/>
        <v>4030</v>
      </c>
      <c r="L9" s="16">
        <f t="shared" si="3"/>
        <v>4030</v>
      </c>
      <c r="M9" s="16">
        <f t="shared" si="4"/>
        <v>3720</v>
      </c>
      <c r="N9" s="16">
        <f t="shared" si="5"/>
        <v>3565</v>
      </c>
      <c r="O9" s="16">
        <f t="shared" si="6"/>
        <v>3410</v>
      </c>
    </row>
    <row r="10">
      <c r="A10" s="13" t="s">
        <v>19</v>
      </c>
      <c r="B10" s="11" t="s">
        <v>20</v>
      </c>
      <c r="C10" s="11"/>
      <c r="D10" s="13"/>
      <c r="E10" s="13" t="s">
        <v>43</v>
      </c>
      <c r="F10" s="13" t="s">
        <v>44</v>
      </c>
      <c r="G10" s="13" t="s">
        <v>45</v>
      </c>
      <c r="H10" s="17"/>
      <c r="I10" s="18">
        <v>8850.0</v>
      </c>
      <c r="J10" s="16">
        <f t="shared" si="1"/>
        <v>13275</v>
      </c>
      <c r="K10" s="16">
        <f t="shared" si="2"/>
        <v>11505</v>
      </c>
      <c r="L10" s="16">
        <f t="shared" si="3"/>
        <v>11505</v>
      </c>
      <c r="M10" s="16">
        <f t="shared" si="4"/>
        <v>10620</v>
      </c>
      <c r="N10" s="16">
        <f t="shared" si="5"/>
        <v>10177.5</v>
      </c>
      <c r="O10" s="16">
        <f t="shared" si="6"/>
        <v>9735</v>
      </c>
    </row>
    <row r="11">
      <c r="A11" s="13" t="s">
        <v>19</v>
      </c>
      <c r="B11" s="11" t="s">
        <v>20</v>
      </c>
      <c r="C11" s="11"/>
      <c r="D11" s="13"/>
      <c r="E11" s="13" t="s">
        <v>46</v>
      </c>
      <c r="F11" s="13" t="s">
        <v>47</v>
      </c>
      <c r="G11" s="13" t="s">
        <v>48</v>
      </c>
      <c r="H11" s="17"/>
      <c r="I11" s="18">
        <v>3450.0</v>
      </c>
      <c r="J11" s="16">
        <f t="shared" si="1"/>
        <v>5175</v>
      </c>
      <c r="K11" s="16">
        <f t="shared" si="2"/>
        <v>4485</v>
      </c>
      <c r="L11" s="16">
        <f t="shared" si="3"/>
        <v>4485</v>
      </c>
      <c r="M11" s="16">
        <f t="shared" si="4"/>
        <v>4140</v>
      </c>
      <c r="N11" s="16">
        <f t="shared" si="5"/>
        <v>3967.5</v>
      </c>
      <c r="O11" s="16">
        <f t="shared" si="6"/>
        <v>3795</v>
      </c>
    </row>
    <row r="12">
      <c r="A12" s="13" t="s">
        <v>19</v>
      </c>
      <c r="B12" s="11" t="s">
        <v>20</v>
      </c>
      <c r="C12" s="11"/>
      <c r="D12" s="13"/>
      <c r="E12" s="13" t="s">
        <v>49</v>
      </c>
      <c r="F12" s="13" t="s">
        <v>50</v>
      </c>
      <c r="G12" s="13" t="s">
        <v>51</v>
      </c>
      <c r="H12" s="17"/>
      <c r="I12" s="18">
        <v>2000.0</v>
      </c>
      <c r="J12" s="16">
        <f t="shared" si="1"/>
        <v>3000</v>
      </c>
      <c r="K12" s="16">
        <f t="shared" si="2"/>
        <v>2600</v>
      </c>
      <c r="L12" s="16">
        <f t="shared" si="3"/>
        <v>2600</v>
      </c>
      <c r="M12" s="16">
        <f t="shared" si="4"/>
        <v>2400</v>
      </c>
      <c r="N12" s="16">
        <f t="shared" si="5"/>
        <v>2300</v>
      </c>
      <c r="O12" s="16">
        <f t="shared" si="6"/>
        <v>2200</v>
      </c>
    </row>
    <row r="13">
      <c r="A13" s="13" t="s">
        <v>19</v>
      </c>
      <c r="B13" s="11" t="s">
        <v>20</v>
      </c>
      <c r="C13" s="11"/>
      <c r="D13" s="13"/>
      <c r="E13" s="13" t="s">
        <v>52</v>
      </c>
      <c r="F13" s="13" t="s">
        <v>53</v>
      </c>
      <c r="G13" s="13" t="s">
        <v>54</v>
      </c>
      <c r="H13" s="17"/>
      <c r="I13" s="18">
        <v>1350.0</v>
      </c>
      <c r="J13" s="16">
        <f t="shared" si="1"/>
        <v>2025</v>
      </c>
      <c r="K13" s="16">
        <f t="shared" si="2"/>
        <v>1755</v>
      </c>
      <c r="L13" s="16">
        <f t="shared" si="3"/>
        <v>1755</v>
      </c>
      <c r="M13" s="16">
        <f t="shared" si="4"/>
        <v>1620</v>
      </c>
      <c r="N13" s="16">
        <f t="shared" si="5"/>
        <v>1552.5</v>
      </c>
      <c r="O13" s="16">
        <f t="shared" si="6"/>
        <v>1485</v>
      </c>
    </row>
    <row r="14">
      <c r="A14" s="13" t="s">
        <v>19</v>
      </c>
      <c r="B14" s="11" t="s">
        <v>20</v>
      </c>
      <c r="C14" s="11"/>
      <c r="D14" s="13"/>
      <c r="E14" s="13" t="s">
        <v>55</v>
      </c>
      <c r="F14" s="13" t="s">
        <v>56</v>
      </c>
      <c r="G14" s="13" t="s">
        <v>57</v>
      </c>
      <c r="H14" s="19"/>
      <c r="I14" s="20"/>
      <c r="J14" s="16">
        <f t="shared" si="1"/>
        <v>0</v>
      </c>
      <c r="K14" s="16">
        <f t="shared" si="2"/>
        <v>0</v>
      </c>
      <c r="L14" s="16">
        <f t="shared" si="3"/>
        <v>0</v>
      </c>
      <c r="M14" s="16">
        <f t="shared" si="4"/>
        <v>0</v>
      </c>
      <c r="N14" s="16">
        <f t="shared" si="5"/>
        <v>0</v>
      </c>
      <c r="O14" s="16">
        <f t="shared" si="6"/>
        <v>0</v>
      </c>
    </row>
    <row r="15">
      <c r="A15" s="13" t="s">
        <v>19</v>
      </c>
      <c r="B15" s="11" t="s">
        <v>20</v>
      </c>
      <c r="C15" s="11"/>
      <c r="D15" s="13"/>
      <c r="E15" s="13" t="s">
        <v>58</v>
      </c>
      <c r="F15" s="13" t="s">
        <v>59</v>
      </c>
      <c r="G15" s="13" t="s">
        <v>60</v>
      </c>
      <c r="H15" s="17"/>
      <c r="I15" s="18">
        <v>90800.0</v>
      </c>
      <c r="J15" s="16">
        <f t="shared" si="1"/>
        <v>136200</v>
      </c>
      <c r="K15" s="16">
        <f t="shared" si="2"/>
        <v>118040</v>
      </c>
      <c r="L15" s="16">
        <f t="shared" si="3"/>
        <v>118040</v>
      </c>
      <c r="M15" s="16">
        <f t="shared" si="4"/>
        <v>108960</v>
      </c>
      <c r="N15" s="16">
        <f t="shared" si="5"/>
        <v>104420</v>
      </c>
      <c r="O15" s="16">
        <f t="shared" si="6"/>
        <v>99880</v>
      </c>
    </row>
    <row r="16">
      <c r="A16" s="13" t="s">
        <v>61</v>
      </c>
      <c r="B16" s="11" t="s">
        <v>20</v>
      </c>
      <c r="C16" s="11"/>
      <c r="D16" s="13"/>
      <c r="E16" s="13" t="s">
        <v>62</v>
      </c>
      <c r="F16" s="13" t="s">
        <v>63</v>
      </c>
      <c r="G16" s="13" t="s">
        <v>64</v>
      </c>
      <c r="H16" s="17"/>
      <c r="I16" s="18">
        <v>6300.0</v>
      </c>
      <c r="J16" s="16">
        <f t="shared" si="1"/>
        <v>9450</v>
      </c>
      <c r="K16" s="16">
        <f t="shared" si="2"/>
        <v>8190</v>
      </c>
      <c r="L16" s="16">
        <f t="shared" si="3"/>
        <v>8190</v>
      </c>
      <c r="M16" s="16">
        <f t="shared" si="4"/>
        <v>7560</v>
      </c>
      <c r="N16" s="16">
        <f t="shared" si="5"/>
        <v>7245</v>
      </c>
      <c r="O16" s="16">
        <f t="shared" si="6"/>
        <v>6930</v>
      </c>
    </row>
    <row r="17">
      <c r="A17" s="13" t="s">
        <v>61</v>
      </c>
      <c r="B17" s="11" t="s">
        <v>20</v>
      </c>
      <c r="C17" s="11"/>
      <c r="D17" s="13"/>
      <c r="E17" s="13" t="s">
        <v>65</v>
      </c>
      <c r="F17" s="13" t="s">
        <v>66</v>
      </c>
      <c r="G17" s="13" t="s">
        <v>67</v>
      </c>
      <c r="H17" s="17"/>
      <c r="I17" s="18">
        <v>28000.0</v>
      </c>
      <c r="J17" s="16">
        <f t="shared" si="1"/>
        <v>42000</v>
      </c>
      <c r="K17" s="16">
        <f t="shared" si="2"/>
        <v>36400</v>
      </c>
      <c r="L17" s="16">
        <f t="shared" si="3"/>
        <v>36400</v>
      </c>
      <c r="M17" s="16">
        <f t="shared" si="4"/>
        <v>33600</v>
      </c>
      <c r="N17" s="16">
        <f t="shared" si="5"/>
        <v>32200</v>
      </c>
      <c r="O17" s="16">
        <f t="shared" si="6"/>
        <v>30800</v>
      </c>
    </row>
    <row r="18">
      <c r="A18" s="13" t="s">
        <v>61</v>
      </c>
      <c r="B18" s="11" t="s">
        <v>20</v>
      </c>
      <c r="C18" s="11"/>
      <c r="D18" s="13"/>
      <c r="E18" s="13" t="s">
        <v>68</v>
      </c>
      <c r="F18" s="13" t="s">
        <v>69</v>
      </c>
      <c r="G18" s="13" t="s">
        <v>70</v>
      </c>
      <c r="H18" s="17"/>
      <c r="I18" s="18">
        <v>2250.0</v>
      </c>
      <c r="J18" s="16">
        <f t="shared" si="1"/>
        <v>3375</v>
      </c>
      <c r="K18" s="16">
        <f t="shared" si="2"/>
        <v>2925</v>
      </c>
      <c r="L18" s="16">
        <f t="shared" si="3"/>
        <v>2925</v>
      </c>
      <c r="M18" s="16">
        <f t="shared" si="4"/>
        <v>2700</v>
      </c>
      <c r="N18" s="16">
        <f t="shared" si="5"/>
        <v>2587.5</v>
      </c>
      <c r="O18" s="16">
        <f t="shared" si="6"/>
        <v>2475</v>
      </c>
    </row>
    <row r="19">
      <c r="A19" s="13" t="s">
        <v>61</v>
      </c>
      <c r="B19" s="11" t="s">
        <v>20</v>
      </c>
      <c r="C19" s="11"/>
      <c r="D19" s="13"/>
      <c r="E19" s="13" t="s">
        <v>71</v>
      </c>
      <c r="F19" s="13" t="s">
        <v>72</v>
      </c>
      <c r="G19" s="13" t="s">
        <v>73</v>
      </c>
      <c r="H19" s="17"/>
      <c r="I19" s="18">
        <v>3700.0</v>
      </c>
      <c r="J19" s="16">
        <f t="shared" si="1"/>
        <v>5550</v>
      </c>
      <c r="K19" s="16">
        <f t="shared" si="2"/>
        <v>4810</v>
      </c>
      <c r="L19" s="16">
        <f t="shared" si="3"/>
        <v>4810</v>
      </c>
      <c r="M19" s="16">
        <f t="shared" si="4"/>
        <v>4440</v>
      </c>
      <c r="N19" s="16">
        <f t="shared" si="5"/>
        <v>4255</v>
      </c>
      <c r="O19" s="16">
        <f t="shared" si="6"/>
        <v>4070</v>
      </c>
    </row>
    <row r="20">
      <c r="A20" s="13" t="s">
        <v>19</v>
      </c>
      <c r="B20" s="11" t="s">
        <v>20</v>
      </c>
      <c r="C20" s="11"/>
      <c r="D20" s="13"/>
      <c r="E20" s="13" t="s">
        <v>74</v>
      </c>
      <c r="F20" s="13" t="s">
        <v>75</v>
      </c>
      <c r="G20" s="13" t="s">
        <v>75</v>
      </c>
      <c r="H20" s="17"/>
      <c r="I20" s="18">
        <v>4320.0</v>
      </c>
      <c r="J20" s="16">
        <f t="shared" si="1"/>
        <v>6480</v>
      </c>
      <c r="K20" s="16">
        <f t="shared" si="2"/>
        <v>5616</v>
      </c>
      <c r="L20" s="16">
        <f t="shared" si="3"/>
        <v>5616</v>
      </c>
      <c r="M20" s="16">
        <f t="shared" si="4"/>
        <v>5184</v>
      </c>
      <c r="N20" s="16">
        <f t="shared" si="5"/>
        <v>4968</v>
      </c>
      <c r="O20" s="16">
        <f t="shared" si="6"/>
        <v>4752</v>
      </c>
    </row>
    <row r="21">
      <c r="A21" s="13" t="s">
        <v>61</v>
      </c>
      <c r="B21" s="11" t="s">
        <v>20</v>
      </c>
      <c r="C21" s="11"/>
      <c r="D21" s="13"/>
      <c r="E21" s="13" t="s">
        <v>76</v>
      </c>
      <c r="F21" s="13" t="s">
        <v>77</v>
      </c>
      <c r="G21" s="13" t="s">
        <v>77</v>
      </c>
      <c r="H21" s="17"/>
      <c r="I21" s="18">
        <v>3250.0</v>
      </c>
      <c r="J21" s="16">
        <f t="shared" si="1"/>
        <v>4875</v>
      </c>
      <c r="K21" s="16">
        <f t="shared" si="2"/>
        <v>4225</v>
      </c>
      <c r="L21" s="16">
        <f t="shared" si="3"/>
        <v>4225</v>
      </c>
      <c r="M21" s="16">
        <f t="shared" si="4"/>
        <v>3900</v>
      </c>
      <c r="N21" s="16">
        <f t="shared" si="5"/>
        <v>3737.5</v>
      </c>
      <c r="O21" s="16">
        <f t="shared" si="6"/>
        <v>3575</v>
      </c>
    </row>
    <row r="22">
      <c r="A22" s="13" t="s">
        <v>61</v>
      </c>
      <c r="B22" s="11" t="s">
        <v>20</v>
      </c>
      <c r="C22" s="11"/>
      <c r="D22" s="13"/>
      <c r="E22" s="13" t="s">
        <v>78</v>
      </c>
      <c r="F22" s="13" t="s">
        <v>79</v>
      </c>
      <c r="G22" s="13" t="s">
        <v>79</v>
      </c>
      <c r="H22" s="17"/>
      <c r="I22" s="18">
        <v>30000.0</v>
      </c>
      <c r="J22" s="16">
        <f t="shared" si="1"/>
        <v>45000</v>
      </c>
      <c r="K22" s="16">
        <f t="shared" si="2"/>
        <v>39000</v>
      </c>
      <c r="L22" s="16">
        <f t="shared" si="3"/>
        <v>39000</v>
      </c>
      <c r="M22" s="16">
        <f t="shared" si="4"/>
        <v>36000</v>
      </c>
      <c r="N22" s="16">
        <f t="shared" si="5"/>
        <v>34500</v>
      </c>
      <c r="O22" s="16">
        <f t="shared" si="6"/>
        <v>33000</v>
      </c>
    </row>
    <row r="23">
      <c r="A23" s="13" t="s">
        <v>61</v>
      </c>
      <c r="B23" s="11" t="s">
        <v>20</v>
      </c>
      <c r="C23" s="11"/>
      <c r="D23" s="13"/>
      <c r="E23" s="13" t="s">
        <v>80</v>
      </c>
      <c r="F23" s="13" t="s">
        <v>81</v>
      </c>
      <c r="G23" s="13" t="s">
        <v>82</v>
      </c>
      <c r="H23" s="17"/>
      <c r="I23" s="18">
        <v>3300.0</v>
      </c>
      <c r="J23" s="16">
        <f t="shared" si="1"/>
        <v>4950</v>
      </c>
      <c r="K23" s="16">
        <f t="shared" si="2"/>
        <v>4290</v>
      </c>
      <c r="L23" s="16">
        <f t="shared" si="3"/>
        <v>4290</v>
      </c>
      <c r="M23" s="16">
        <f t="shared" si="4"/>
        <v>3960</v>
      </c>
      <c r="N23" s="16">
        <f t="shared" si="5"/>
        <v>3795</v>
      </c>
      <c r="O23" s="16">
        <f t="shared" si="6"/>
        <v>3630</v>
      </c>
    </row>
    <row r="24">
      <c r="A24" s="13" t="s">
        <v>61</v>
      </c>
      <c r="B24" s="11" t="s">
        <v>20</v>
      </c>
      <c r="C24" s="11"/>
      <c r="D24" s="13"/>
      <c r="E24" s="13" t="s">
        <v>83</v>
      </c>
      <c r="F24" s="13" t="s">
        <v>84</v>
      </c>
      <c r="G24" s="13" t="s">
        <v>84</v>
      </c>
      <c r="H24" s="17"/>
      <c r="I24" s="18">
        <v>3400.0</v>
      </c>
      <c r="J24" s="16">
        <f t="shared" si="1"/>
        <v>5100</v>
      </c>
      <c r="K24" s="16">
        <f t="shared" si="2"/>
        <v>4420</v>
      </c>
      <c r="L24" s="16">
        <f t="shared" si="3"/>
        <v>4420</v>
      </c>
      <c r="M24" s="16">
        <f t="shared" si="4"/>
        <v>4080</v>
      </c>
      <c r="N24" s="16">
        <f t="shared" si="5"/>
        <v>3910</v>
      </c>
      <c r="O24" s="16">
        <f t="shared" si="6"/>
        <v>3740</v>
      </c>
    </row>
    <row r="25">
      <c r="A25" s="13" t="s">
        <v>19</v>
      </c>
      <c r="B25" s="11" t="s">
        <v>20</v>
      </c>
      <c r="C25" s="11"/>
      <c r="D25" s="13"/>
      <c r="E25" s="13" t="s">
        <v>85</v>
      </c>
      <c r="F25" s="13" t="s">
        <v>86</v>
      </c>
      <c r="G25" s="13" t="s">
        <v>86</v>
      </c>
      <c r="H25" s="17"/>
      <c r="I25" s="18">
        <v>22000.0</v>
      </c>
      <c r="J25" s="16">
        <f t="shared" si="1"/>
        <v>33000</v>
      </c>
      <c r="K25" s="16">
        <f t="shared" si="2"/>
        <v>28600</v>
      </c>
      <c r="L25" s="16">
        <f t="shared" si="3"/>
        <v>28600</v>
      </c>
      <c r="M25" s="16">
        <f t="shared" si="4"/>
        <v>26400</v>
      </c>
      <c r="N25" s="16">
        <f t="shared" si="5"/>
        <v>25300</v>
      </c>
      <c r="O25" s="16">
        <f t="shared" si="6"/>
        <v>24200</v>
      </c>
    </row>
    <row r="26">
      <c r="A26" s="13" t="s">
        <v>61</v>
      </c>
      <c r="B26" s="11" t="s">
        <v>20</v>
      </c>
      <c r="C26" s="11"/>
      <c r="D26" s="13"/>
      <c r="E26" s="13" t="s">
        <v>87</v>
      </c>
      <c r="F26" s="13" t="s">
        <v>88</v>
      </c>
      <c r="G26" s="13" t="s">
        <v>88</v>
      </c>
      <c r="H26" s="17"/>
      <c r="I26" s="18">
        <v>8500.0</v>
      </c>
      <c r="J26" s="16">
        <f t="shared" si="1"/>
        <v>12750</v>
      </c>
      <c r="K26" s="16">
        <f t="shared" si="2"/>
        <v>11050</v>
      </c>
      <c r="L26" s="16">
        <f t="shared" si="3"/>
        <v>11050</v>
      </c>
      <c r="M26" s="16">
        <f t="shared" si="4"/>
        <v>10200</v>
      </c>
      <c r="N26" s="16">
        <f t="shared" si="5"/>
        <v>9775</v>
      </c>
      <c r="O26" s="16">
        <f t="shared" si="6"/>
        <v>9350</v>
      </c>
    </row>
    <row r="27">
      <c r="A27" s="13" t="s">
        <v>61</v>
      </c>
      <c r="B27" s="11" t="s">
        <v>20</v>
      </c>
      <c r="C27" s="11"/>
      <c r="D27" s="13"/>
      <c r="E27" s="13" t="s">
        <v>89</v>
      </c>
      <c r="F27" s="13" t="s">
        <v>90</v>
      </c>
      <c r="G27" s="13" t="s">
        <v>90</v>
      </c>
      <c r="H27" s="17"/>
      <c r="I27" s="18">
        <v>28800.0</v>
      </c>
      <c r="J27" s="16">
        <f t="shared" si="1"/>
        <v>43200</v>
      </c>
      <c r="K27" s="16">
        <f t="shared" si="2"/>
        <v>37440</v>
      </c>
      <c r="L27" s="16">
        <f t="shared" si="3"/>
        <v>37440</v>
      </c>
      <c r="M27" s="16">
        <f t="shared" si="4"/>
        <v>34560</v>
      </c>
      <c r="N27" s="16">
        <f t="shared" si="5"/>
        <v>33120</v>
      </c>
      <c r="O27" s="16">
        <f t="shared" si="6"/>
        <v>31680</v>
      </c>
    </row>
    <row r="28">
      <c r="A28" s="13" t="s">
        <v>61</v>
      </c>
      <c r="B28" s="11" t="s">
        <v>20</v>
      </c>
      <c r="C28" s="11"/>
      <c r="D28" s="12" t="s">
        <v>91</v>
      </c>
      <c r="E28" s="13" t="s">
        <v>92</v>
      </c>
      <c r="F28" s="13" t="s">
        <v>93</v>
      </c>
      <c r="G28" s="13"/>
      <c r="H28" s="17"/>
      <c r="I28" s="18">
        <v>37300.0</v>
      </c>
      <c r="J28" s="16">
        <f t="shared" si="1"/>
        <v>55950</v>
      </c>
      <c r="K28" s="16">
        <f t="shared" si="2"/>
        <v>48490</v>
      </c>
      <c r="L28" s="16">
        <f t="shared" si="3"/>
        <v>48490</v>
      </c>
      <c r="M28" s="16">
        <f t="shared" si="4"/>
        <v>44760</v>
      </c>
      <c r="N28" s="16">
        <f t="shared" si="5"/>
        <v>42895</v>
      </c>
      <c r="O28" s="16">
        <f t="shared" si="6"/>
        <v>41030</v>
      </c>
    </row>
    <row r="29">
      <c r="A29" s="13" t="s">
        <v>61</v>
      </c>
      <c r="B29" s="11" t="s">
        <v>20</v>
      </c>
      <c r="C29" s="11"/>
      <c r="D29" s="13"/>
      <c r="E29" s="13" t="s">
        <v>94</v>
      </c>
      <c r="F29" s="13" t="s">
        <v>95</v>
      </c>
      <c r="G29" s="13"/>
      <c r="H29" s="17"/>
      <c r="I29" s="18">
        <v>5600.0</v>
      </c>
      <c r="J29" s="16">
        <f t="shared" si="1"/>
        <v>8400</v>
      </c>
      <c r="K29" s="16">
        <f t="shared" si="2"/>
        <v>7280</v>
      </c>
      <c r="L29" s="16">
        <f t="shared" si="3"/>
        <v>7280</v>
      </c>
      <c r="M29" s="16">
        <f t="shared" si="4"/>
        <v>6720</v>
      </c>
      <c r="N29" s="16">
        <f t="shared" si="5"/>
        <v>6440</v>
      </c>
      <c r="O29" s="16">
        <f t="shared" si="6"/>
        <v>6160</v>
      </c>
    </row>
    <row r="30">
      <c r="A30" s="13" t="s">
        <v>61</v>
      </c>
      <c r="B30" s="11" t="s">
        <v>20</v>
      </c>
      <c r="C30" s="11"/>
      <c r="D30" s="13"/>
      <c r="E30" s="13" t="s">
        <v>96</v>
      </c>
      <c r="F30" s="13" t="s">
        <v>97</v>
      </c>
      <c r="G30" s="13"/>
      <c r="H30" s="17"/>
      <c r="I30" s="18">
        <v>3950.0</v>
      </c>
      <c r="J30" s="16">
        <f t="shared" si="1"/>
        <v>5925</v>
      </c>
      <c r="K30" s="16">
        <f t="shared" si="2"/>
        <v>5135</v>
      </c>
      <c r="L30" s="16">
        <f t="shared" si="3"/>
        <v>5135</v>
      </c>
      <c r="M30" s="16">
        <f t="shared" si="4"/>
        <v>4740</v>
      </c>
      <c r="N30" s="16">
        <f t="shared" si="5"/>
        <v>4542.5</v>
      </c>
      <c r="O30" s="16">
        <f t="shared" si="6"/>
        <v>4345</v>
      </c>
    </row>
    <row r="31">
      <c r="A31" s="13" t="s">
        <v>61</v>
      </c>
      <c r="B31" s="11" t="s">
        <v>20</v>
      </c>
      <c r="C31" s="11"/>
      <c r="D31" s="13"/>
      <c r="E31" s="13" t="s">
        <v>98</v>
      </c>
      <c r="F31" s="13"/>
      <c r="G31" s="13"/>
      <c r="H31" s="14">
        <v>431.0</v>
      </c>
      <c r="I31" s="21">
        <f t="shared" ref="I31:I457" si="7">H31*62+H31</f>
        <v>27153</v>
      </c>
      <c r="J31" s="16">
        <f t="shared" si="1"/>
        <v>40729.5</v>
      </c>
      <c r="K31" s="16">
        <f t="shared" si="2"/>
        <v>35298.9</v>
      </c>
      <c r="L31" s="16">
        <f t="shared" si="3"/>
        <v>35298.9</v>
      </c>
      <c r="M31" s="16">
        <f t="shared" si="4"/>
        <v>32583.6</v>
      </c>
      <c r="N31" s="16">
        <f t="shared" si="5"/>
        <v>31225.95</v>
      </c>
      <c r="O31" s="16">
        <f t="shared" si="6"/>
        <v>29868.3</v>
      </c>
    </row>
    <row r="32">
      <c r="A32" s="11" t="s">
        <v>99</v>
      </c>
      <c r="B32" s="11" t="s">
        <v>20</v>
      </c>
      <c r="C32" s="11" t="s">
        <v>100</v>
      </c>
      <c r="D32" s="11" t="s">
        <v>101</v>
      </c>
      <c r="E32" s="11" t="s">
        <v>102</v>
      </c>
      <c r="F32" s="11" t="s">
        <v>103</v>
      </c>
      <c r="G32" s="22"/>
      <c r="H32" s="23">
        <v>431.0</v>
      </c>
      <c r="I32" s="21">
        <f t="shared" si="7"/>
        <v>27153</v>
      </c>
      <c r="J32" s="16">
        <f t="shared" si="1"/>
        <v>40729.5</v>
      </c>
      <c r="K32" s="16">
        <f t="shared" si="2"/>
        <v>35298.9</v>
      </c>
      <c r="L32" s="16">
        <f t="shared" si="3"/>
        <v>35298.9</v>
      </c>
      <c r="M32" s="16">
        <f t="shared" si="4"/>
        <v>32583.6</v>
      </c>
      <c r="N32" s="16">
        <f t="shared" si="5"/>
        <v>31225.95</v>
      </c>
      <c r="O32" s="16">
        <f t="shared" si="6"/>
        <v>29868.3</v>
      </c>
    </row>
    <row r="33">
      <c r="A33" s="11" t="s">
        <v>99</v>
      </c>
      <c r="B33" s="11" t="s">
        <v>20</v>
      </c>
      <c r="C33" s="11" t="s">
        <v>100</v>
      </c>
      <c r="D33" s="11" t="s">
        <v>101</v>
      </c>
      <c r="E33" s="11" t="s">
        <v>104</v>
      </c>
      <c r="F33" s="11" t="s">
        <v>105</v>
      </c>
      <c r="G33" s="22"/>
      <c r="H33" s="24">
        <v>215.0</v>
      </c>
      <c r="I33" s="21">
        <f t="shared" si="7"/>
        <v>13545</v>
      </c>
      <c r="J33" s="16">
        <f t="shared" si="1"/>
        <v>20317.5</v>
      </c>
      <c r="K33" s="16">
        <f t="shared" si="2"/>
        <v>17608.5</v>
      </c>
      <c r="L33" s="16">
        <f t="shared" si="3"/>
        <v>17608.5</v>
      </c>
      <c r="M33" s="16">
        <f t="shared" si="4"/>
        <v>16254</v>
      </c>
      <c r="N33" s="16">
        <f t="shared" si="5"/>
        <v>15576.75</v>
      </c>
      <c r="O33" s="16">
        <f t="shared" si="6"/>
        <v>14899.5</v>
      </c>
    </row>
    <row r="34">
      <c r="A34" s="11" t="s">
        <v>99</v>
      </c>
      <c r="B34" s="11" t="s">
        <v>20</v>
      </c>
      <c r="C34" s="11" t="s">
        <v>100</v>
      </c>
      <c r="D34" s="11" t="s">
        <v>101</v>
      </c>
      <c r="E34" s="11" t="s">
        <v>106</v>
      </c>
      <c r="F34" s="11" t="s">
        <v>107</v>
      </c>
      <c r="G34" s="22"/>
      <c r="H34" s="24">
        <v>845.5</v>
      </c>
      <c r="I34" s="21">
        <f t="shared" si="7"/>
        <v>53266.5</v>
      </c>
      <c r="J34" s="16">
        <f t="shared" si="1"/>
        <v>79899.75</v>
      </c>
      <c r="K34" s="16">
        <f t="shared" si="2"/>
        <v>69246.45</v>
      </c>
      <c r="L34" s="16">
        <f t="shared" si="3"/>
        <v>69246.45</v>
      </c>
      <c r="M34" s="16">
        <f t="shared" si="4"/>
        <v>63919.8</v>
      </c>
      <c r="N34" s="16">
        <f t="shared" si="5"/>
        <v>61256.475</v>
      </c>
      <c r="O34" s="16">
        <f t="shared" si="6"/>
        <v>58593.15</v>
      </c>
    </row>
    <row r="35">
      <c r="A35" s="11" t="s">
        <v>99</v>
      </c>
      <c r="B35" s="11" t="s">
        <v>20</v>
      </c>
      <c r="C35" s="11" t="s">
        <v>100</v>
      </c>
      <c r="D35" s="11" t="s">
        <v>101</v>
      </c>
      <c r="E35" s="11" t="s">
        <v>108</v>
      </c>
      <c r="F35" s="11" t="s">
        <v>109</v>
      </c>
      <c r="G35" s="22"/>
      <c r="H35" s="24">
        <v>1129.0</v>
      </c>
      <c r="I35" s="21">
        <f t="shared" si="7"/>
        <v>71127</v>
      </c>
      <c r="J35" s="16">
        <f t="shared" si="1"/>
        <v>106690.5</v>
      </c>
      <c r="K35" s="16">
        <f t="shared" si="2"/>
        <v>92465.1</v>
      </c>
      <c r="L35" s="16">
        <f t="shared" si="3"/>
        <v>92465.1</v>
      </c>
      <c r="M35" s="16">
        <f t="shared" si="4"/>
        <v>85352.4</v>
      </c>
      <c r="N35" s="16">
        <f t="shared" si="5"/>
        <v>81796.05</v>
      </c>
      <c r="O35" s="16">
        <f t="shared" si="6"/>
        <v>78239.7</v>
      </c>
    </row>
    <row r="36">
      <c r="A36" s="11" t="s">
        <v>99</v>
      </c>
      <c r="B36" s="11" t="s">
        <v>20</v>
      </c>
      <c r="C36" s="11" t="s">
        <v>110</v>
      </c>
      <c r="D36" s="11" t="s">
        <v>101</v>
      </c>
      <c r="E36" s="11" t="s">
        <v>111</v>
      </c>
      <c r="F36" s="11" t="s">
        <v>112</v>
      </c>
      <c r="G36" s="22"/>
      <c r="H36" s="25">
        <v>436.0</v>
      </c>
      <c r="I36" s="21">
        <f t="shared" si="7"/>
        <v>27468</v>
      </c>
      <c r="J36" s="16">
        <f t="shared" si="1"/>
        <v>41202</v>
      </c>
      <c r="K36" s="16">
        <f t="shared" si="2"/>
        <v>35708.4</v>
      </c>
      <c r="L36" s="16">
        <f t="shared" si="3"/>
        <v>35708.4</v>
      </c>
      <c r="M36" s="16">
        <f t="shared" si="4"/>
        <v>32961.6</v>
      </c>
      <c r="N36" s="16">
        <f t="shared" si="5"/>
        <v>31588.2</v>
      </c>
      <c r="O36" s="16">
        <f t="shared" si="6"/>
        <v>30214.8</v>
      </c>
    </row>
    <row r="37">
      <c r="A37" s="11" t="s">
        <v>99</v>
      </c>
      <c r="B37" s="11" t="s">
        <v>20</v>
      </c>
      <c r="C37" s="11" t="s">
        <v>110</v>
      </c>
      <c r="D37" s="11" t="s">
        <v>101</v>
      </c>
      <c r="E37" s="11" t="s">
        <v>113</v>
      </c>
      <c r="F37" s="11" t="s">
        <v>114</v>
      </c>
      <c r="G37" s="22"/>
      <c r="H37" s="25">
        <v>436.0</v>
      </c>
      <c r="I37" s="21">
        <f t="shared" si="7"/>
        <v>27468</v>
      </c>
      <c r="J37" s="16">
        <f t="shared" si="1"/>
        <v>41202</v>
      </c>
      <c r="K37" s="16">
        <f t="shared" si="2"/>
        <v>35708.4</v>
      </c>
      <c r="L37" s="16">
        <f t="shared" si="3"/>
        <v>35708.4</v>
      </c>
      <c r="M37" s="16">
        <f t="shared" si="4"/>
        <v>32961.6</v>
      </c>
      <c r="N37" s="16">
        <f t="shared" si="5"/>
        <v>31588.2</v>
      </c>
      <c r="O37" s="16">
        <f t="shared" si="6"/>
        <v>30214.8</v>
      </c>
    </row>
    <row r="38">
      <c r="A38" s="11" t="s">
        <v>99</v>
      </c>
      <c r="B38" s="11" t="s">
        <v>20</v>
      </c>
      <c r="C38" s="11" t="s">
        <v>110</v>
      </c>
      <c r="D38" s="11" t="s">
        <v>101</v>
      </c>
      <c r="E38" s="11" t="s">
        <v>115</v>
      </c>
      <c r="F38" s="11" t="s">
        <v>116</v>
      </c>
      <c r="G38" s="22"/>
      <c r="H38" s="25">
        <v>274.0</v>
      </c>
      <c r="I38" s="21">
        <f t="shared" si="7"/>
        <v>17262</v>
      </c>
      <c r="J38" s="16">
        <f t="shared" si="1"/>
        <v>25893</v>
      </c>
      <c r="K38" s="16">
        <f t="shared" si="2"/>
        <v>22440.6</v>
      </c>
      <c r="L38" s="16">
        <f t="shared" si="3"/>
        <v>22440.6</v>
      </c>
      <c r="M38" s="16">
        <f t="shared" si="4"/>
        <v>20714.4</v>
      </c>
      <c r="N38" s="16">
        <f t="shared" si="5"/>
        <v>19851.3</v>
      </c>
      <c r="O38" s="16">
        <f t="shared" si="6"/>
        <v>18988.2</v>
      </c>
    </row>
    <row r="39">
      <c r="A39" s="11" t="s">
        <v>99</v>
      </c>
      <c r="B39" s="11" t="s">
        <v>20</v>
      </c>
      <c r="C39" s="11" t="s">
        <v>110</v>
      </c>
      <c r="D39" s="11" t="s">
        <v>101</v>
      </c>
      <c r="E39" s="11" t="s">
        <v>117</v>
      </c>
      <c r="F39" s="11" t="s">
        <v>118</v>
      </c>
      <c r="G39" s="22"/>
      <c r="H39" s="25">
        <v>122.5</v>
      </c>
      <c r="I39" s="21">
        <f t="shared" si="7"/>
        <v>7717.5</v>
      </c>
      <c r="J39" s="16">
        <f t="shared" si="1"/>
        <v>11576.25</v>
      </c>
      <c r="K39" s="16">
        <f t="shared" si="2"/>
        <v>10032.75</v>
      </c>
      <c r="L39" s="16">
        <f t="shared" si="3"/>
        <v>10032.75</v>
      </c>
      <c r="M39" s="16">
        <f t="shared" si="4"/>
        <v>9261</v>
      </c>
      <c r="N39" s="16">
        <f t="shared" si="5"/>
        <v>8875.125</v>
      </c>
      <c r="O39" s="16">
        <f t="shared" si="6"/>
        <v>8489.25</v>
      </c>
    </row>
    <row r="40">
      <c r="A40" s="11" t="s">
        <v>99</v>
      </c>
      <c r="B40" s="11" t="s">
        <v>20</v>
      </c>
      <c r="C40" s="11" t="s">
        <v>110</v>
      </c>
      <c r="D40" s="11" t="s">
        <v>101</v>
      </c>
      <c r="E40" s="11" t="s">
        <v>119</v>
      </c>
      <c r="F40" s="11" t="s">
        <v>120</v>
      </c>
      <c r="G40" s="22"/>
      <c r="H40" s="25">
        <v>589.0</v>
      </c>
      <c r="I40" s="21">
        <f t="shared" si="7"/>
        <v>37107</v>
      </c>
      <c r="J40" s="16">
        <f t="shared" si="1"/>
        <v>55660.5</v>
      </c>
      <c r="K40" s="16">
        <f t="shared" si="2"/>
        <v>48239.1</v>
      </c>
      <c r="L40" s="16">
        <f t="shared" si="3"/>
        <v>48239.1</v>
      </c>
      <c r="M40" s="16">
        <f t="shared" si="4"/>
        <v>44528.4</v>
      </c>
      <c r="N40" s="16">
        <f t="shared" si="5"/>
        <v>42673.05</v>
      </c>
      <c r="O40" s="16">
        <f t="shared" si="6"/>
        <v>40817.7</v>
      </c>
    </row>
    <row r="41">
      <c r="A41" s="11" t="s">
        <v>99</v>
      </c>
      <c r="B41" s="11" t="s">
        <v>20</v>
      </c>
      <c r="C41" s="11" t="s">
        <v>110</v>
      </c>
      <c r="D41" s="11" t="s">
        <v>101</v>
      </c>
      <c r="E41" s="11" t="s">
        <v>121</v>
      </c>
      <c r="F41" s="11" t="s">
        <v>122</v>
      </c>
      <c r="G41" s="22"/>
      <c r="H41" s="25">
        <v>829.0</v>
      </c>
      <c r="I41" s="21">
        <f t="shared" si="7"/>
        <v>52227</v>
      </c>
      <c r="J41" s="16">
        <f t="shared" si="1"/>
        <v>78340.5</v>
      </c>
      <c r="K41" s="16">
        <f t="shared" si="2"/>
        <v>67895.1</v>
      </c>
      <c r="L41" s="16">
        <f t="shared" si="3"/>
        <v>67895.1</v>
      </c>
      <c r="M41" s="16">
        <f t="shared" si="4"/>
        <v>62672.4</v>
      </c>
      <c r="N41" s="16">
        <f t="shared" si="5"/>
        <v>60061.05</v>
      </c>
      <c r="O41" s="16">
        <f t="shared" si="6"/>
        <v>57449.7</v>
      </c>
    </row>
    <row r="42">
      <c r="A42" s="11" t="s">
        <v>99</v>
      </c>
      <c r="B42" s="11" t="s">
        <v>20</v>
      </c>
      <c r="C42" s="11" t="s">
        <v>110</v>
      </c>
      <c r="D42" s="11" t="s">
        <v>101</v>
      </c>
      <c r="E42" s="11" t="s">
        <v>123</v>
      </c>
      <c r="F42" s="11" t="s">
        <v>124</v>
      </c>
      <c r="G42" s="22"/>
      <c r="H42" s="25">
        <v>723.0</v>
      </c>
      <c r="I42" s="21">
        <f t="shared" si="7"/>
        <v>45549</v>
      </c>
      <c r="J42" s="16">
        <f t="shared" si="1"/>
        <v>68323.5</v>
      </c>
      <c r="K42" s="16">
        <f t="shared" si="2"/>
        <v>59213.7</v>
      </c>
      <c r="L42" s="16">
        <f t="shared" si="3"/>
        <v>59213.7</v>
      </c>
      <c r="M42" s="16">
        <f t="shared" si="4"/>
        <v>54658.8</v>
      </c>
      <c r="N42" s="16">
        <f t="shared" si="5"/>
        <v>52381.35</v>
      </c>
      <c r="O42" s="16">
        <f t="shared" si="6"/>
        <v>50103.9</v>
      </c>
    </row>
    <row r="43">
      <c r="A43" s="11" t="s">
        <v>99</v>
      </c>
      <c r="B43" s="11" t="s">
        <v>20</v>
      </c>
      <c r="C43" s="11" t="s">
        <v>110</v>
      </c>
      <c r="D43" s="11" t="s">
        <v>101</v>
      </c>
      <c r="E43" s="11" t="s">
        <v>125</v>
      </c>
      <c r="F43" s="11" t="s">
        <v>126</v>
      </c>
      <c r="G43" s="22"/>
      <c r="H43" s="25">
        <v>999.0</v>
      </c>
      <c r="I43" s="21">
        <f t="shared" si="7"/>
        <v>62937</v>
      </c>
      <c r="J43" s="16">
        <f t="shared" si="1"/>
        <v>94405.5</v>
      </c>
      <c r="K43" s="16">
        <f t="shared" si="2"/>
        <v>81818.1</v>
      </c>
      <c r="L43" s="16">
        <f t="shared" si="3"/>
        <v>81818.1</v>
      </c>
      <c r="M43" s="16">
        <f t="shared" si="4"/>
        <v>75524.4</v>
      </c>
      <c r="N43" s="16">
        <f t="shared" si="5"/>
        <v>72377.55</v>
      </c>
      <c r="O43" s="16">
        <f t="shared" si="6"/>
        <v>69230.7</v>
      </c>
    </row>
    <row r="44">
      <c r="A44" s="11" t="s">
        <v>99</v>
      </c>
      <c r="B44" s="11" t="s">
        <v>20</v>
      </c>
      <c r="C44" s="11" t="s">
        <v>127</v>
      </c>
      <c r="D44" s="11" t="s">
        <v>101</v>
      </c>
      <c r="E44" s="11" t="s">
        <v>128</v>
      </c>
      <c r="F44" s="11" t="s">
        <v>129</v>
      </c>
      <c r="G44" s="22"/>
      <c r="H44" s="25">
        <v>283.0</v>
      </c>
      <c r="I44" s="21">
        <f t="shared" si="7"/>
        <v>17829</v>
      </c>
      <c r="J44" s="16">
        <f t="shared" si="1"/>
        <v>26743.5</v>
      </c>
      <c r="K44" s="16">
        <f t="shared" si="2"/>
        <v>23177.7</v>
      </c>
      <c r="L44" s="16">
        <f t="shared" si="3"/>
        <v>23177.7</v>
      </c>
      <c r="M44" s="16">
        <f t="shared" si="4"/>
        <v>21394.8</v>
      </c>
      <c r="N44" s="16">
        <f t="shared" si="5"/>
        <v>20503.35</v>
      </c>
      <c r="O44" s="16">
        <f t="shared" si="6"/>
        <v>19611.9</v>
      </c>
    </row>
    <row r="45">
      <c r="A45" s="11" t="s">
        <v>99</v>
      </c>
      <c r="B45" s="11" t="s">
        <v>20</v>
      </c>
      <c r="C45" s="11" t="s">
        <v>130</v>
      </c>
      <c r="D45" s="11" t="s">
        <v>101</v>
      </c>
      <c r="E45" s="11" t="s">
        <v>131</v>
      </c>
      <c r="F45" s="11" t="s">
        <v>132</v>
      </c>
      <c r="G45" s="22"/>
      <c r="H45" s="25">
        <v>226.0</v>
      </c>
      <c r="I45" s="21">
        <f t="shared" si="7"/>
        <v>14238</v>
      </c>
      <c r="J45" s="16">
        <f t="shared" si="1"/>
        <v>21357</v>
      </c>
      <c r="K45" s="16">
        <f t="shared" si="2"/>
        <v>18509.4</v>
      </c>
      <c r="L45" s="16">
        <f t="shared" si="3"/>
        <v>18509.4</v>
      </c>
      <c r="M45" s="16">
        <f t="shared" si="4"/>
        <v>17085.6</v>
      </c>
      <c r="N45" s="16">
        <f t="shared" si="5"/>
        <v>16373.7</v>
      </c>
      <c r="O45" s="16">
        <f t="shared" si="6"/>
        <v>15661.8</v>
      </c>
    </row>
    <row r="46">
      <c r="A46" s="11" t="s">
        <v>99</v>
      </c>
      <c r="B46" s="11" t="s">
        <v>20</v>
      </c>
      <c r="C46" s="11" t="s">
        <v>130</v>
      </c>
      <c r="D46" s="11" t="s">
        <v>101</v>
      </c>
      <c r="E46" s="11" t="s">
        <v>133</v>
      </c>
      <c r="F46" s="11" t="s">
        <v>132</v>
      </c>
      <c r="G46" s="22"/>
      <c r="H46" s="25">
        <v>143.0</v>
      </c>
      <c r="I46" s="21">
        <f t="shared" si="7"/>
        <v>9009</v>
      </c>
      <c r="J46" s="16">
        <f t="shared" si="1"/>
        <v>13513.5</v>
      </c>
      <c r="K46" s="16">
        <f t="shared" si="2"/>
        <v>11711.7</v>
      </c>
      <c r="L46" s="16">
        <f t="shared" si="3"/>
        <v>11711.7</v>
      </c>
      <c r="M46" s="16">
        <f t="shared" si="4"/>
        <v>10810.8</v>
      </c>
      <c r="N46" s="16">
        <f t="shared" si="5"/>
        <v>10360.35</v>
      </c>
      <c r="O46" s="16">
        <f t="shared" si="6"/>
        <v>9909.9</v>
      </c>
    </row>
    <row r="47">
      <c r="A47" s="11" t="s">
        <v>99</v>
      </c>
      <c r="B47" s="11" t="s">
        <v>20</v>
      </c>
      <c r="C47" s="11" t="s">
        <v>130</v>
      </c>
      <c r="D47" s="11" t="s">
        <v>101</v>
      </c>
      <c r="E47" s="11" t="s">
        <v>134</v>
      </c>
      <c r="F47" s="11" t="s">
        <v>135</v>
      </c>
      <c r="G47" s="22"/>
      <c r="H47" s="25">
        <v>100.5</v>
      </c>
      <c r="I47" s="21">
        <f t="shared" si="7"/>
        <v>6331.5</v>
      </c>
      <c r="J47" s="16">
        <f t="shared" si="1"/>
        <v>9497.25</v>
      </c>
      <c r="K47" s="16">
        <f t="shared" si="2"/>
        <v>8230.95</v>
      </c>
      <c r="L47" s="16">
        <f t="shared" si="3"/>
        <v>8230.95</v>
      </c>
      <c r="M47" s="16">
        <f t="shared" si="4"/>
        <v>7597.8</v>
      </c>
      <c r="N47" s="16">
        <f t="shared" si="5"/>
        <v>7281.225</v>
      </c>
      <c r="O47" s="16">
        <f t="shared" si="6"/>
        <v>6964.65</v>
      </c>
    </row>
    <row r="48">
      <c r="A48" s="11" t="s">
        <v>99</v>
      </c>
      <c r="B48" s="11" t="s">
        <v>20</v>
      </c>
      <c r="C48" s="11" t="s">
        <v>130</v>
      </c>
      <c r="D48" s="11" t="s">
        <v>101</v>
      </c>
      <c r="E48" s="11" t="s">
        <v>136</v>
      </c>
      <c r="F48" s="11" t="s">
        <v>135</v>
      </c>
      <c r="G48" s="22"/>
      <c r="H48" s="25">
        <v>52.0</v>
      </c>
      <c r="I48" s="21">
        <f t="shared" si="7"/>
        <v>3276</v>
      </c>
      <c r="J48" s="16">
        <f t="shared" si="1"/>
        <v>4914</v>
      </c>
      <c r="K48" s="16">
        <f t="shared" si="2"/>
        <v>4258.8</v>
      </c>
      <c r="L48" s="16">
        <f t="shared" si="3"/>
        <v>4258.8</v>
      </c>
      <c r="M48" s="16">
        <f t="shared" si="4"/>
        <v>3931.2</v>
      </c>
      <c r="N48" s="16">
        <f t="shared" si="5"/>
        <v>3767.4</v>
      </c>
      <c r="O48" s="16">
        <f t="shared" si="6"/>
        <v>3603.6</v>
      </c>
    </row>
    <row r="49">
      <c r="A49" s="11" t="s">
        <v>99</v>
      </c>
      <c r="B49" s="11" t="s">
        <v>20</v>
      </c>
      <c r="C49" s="11" t="s">
        <v>130</v>
      </c>
      <c r="D49" s="11" t="s">
        <v>101</v>
      </c>
      <c r="E49" s="11" t="s">
        <v>137</v>
      </c>
      <c r="F49" s="11" t="s">
        <v>138</v>
      </c>
      <c r="G49" s="22"/>
      <c r="H49" s="25">
        <v>85.0</v>
      </c>
      <c r="I49" s="21">
        <f t="shared" si="7"/>
        <v>5355</v>
      </c>
      <c r="J49" s="16">
        <f t="shared" si="1"/>
        <v>8032.5</v>
      </c>
      <c r="K49" s="16">
        <f t="shared" si="2"/>
        <v>6961.5</v>
      </c>
      <c r="L49" s="16">
        <f t="shared" si="3"/>
        <v>6961.5</v>
      </c>
      <c r="M49" s="16">
        <f t="shared" si="4"/>
        <v>6426</v>
      </c>
      <c r="N49" s="16">
        <f t="shared" si="5"/>
        <v>6158.25</v>
      </c>
      <c r="O49" s="16">
        <f t="shared" si="6"/>
        <v>5890.5</v>
      </c>
    </row>
    <row r="50">
      <c r="A50" s="11" t="s">
        <v>99</v>
      </c>
      <c r="B50" s="11" t="s">
        <v>20</v>
      </c>
      <c r="C50" s="11" t="s">
        <v>130</v>
      </c>
      <c r="D50" s="11" t="s">
        <v>101</v>
      </c>
      <c r="E50" s="11" t="s">
        <v>139</v>
      </c>
      <c r="F50" s="11" t="s">
        <v>138</v>
      </c>
      <c r="G50" s="22"/>
      <c r="H50" s="25">
        <v>93.0</v>
      </c>
      <c r="I50" s="21">
        <f t="shared" si="7"/>
        <v>5859</v>
      </c>
      <c r="J50" s="16">
        <f t="shared" si="1"/>
        <v>8788.5</v>
      </c>
      <c r="K50" s="16">
        <f t="shared" si="2"/>
        <v>7616.7</v>
      </c>
      <c r="L50" s="16">
        <f t="shared" si="3"/>
        <v>7616.7</v>
      </c>
      <c r="M50" s="16">
        <f t="shared" si="4"/>
        <v>7030.8</v>
      </c>
      <c r="N50" s="16">
        <f t="shared" si="5"/>
        <v>6737.85</v>
      </c>
      <c r="O50" s="16">
        <f t="shared" si="6"/>
        <v>6444.9</v>
      </c>
    </row>
    <row r="51">
      <c r="A51" s="11" t="s">
        <v>99</v>
      </c>
      <c r="B51" s="11" t="s">
        <v>20</v>
      </c>
      <c r="C51" s="11" t="s">
        <v>130</v>
      </c>
      <c r="D51" s="11" t="s">
        <v>101</v>
      </c>
      <c r="E51" s="11" t="s">
        <v>140</v>
      </c>
      <c r="F51" s="11" t="s">
        <v>141</v>
      </c>
      <c r="G51" s="22"/>
      <c r="H51" s="25">
        <v>122.5</v>
      </c>
      <c r="I51" s="21">
        <f t="shared" si="7"/>
        <v>7717.5</v>
      </c>
      <c r="J51" s="16">
        <f t="shared" si="1"/>
        <v>11576.25</v>
      </c>
      <c r="K51" s="16">
        <f t="shared" si="2"/>
        <v>10032.75</v>
      </c>
      <c r="L51" s="16">
        <f t="shared" si="3"/>
        <v>10032.75</v>
      </c>
      <c r="M51" s="16">
        <f t="shared" si="4"/>
        <v>9261</v>
      </c>
      <c r="N51" s="16">
        <f t="shared" si="5"/>
        <v>8875.125</v>
      </c>
      <c r="O51" s="16">
        <f t="shared" si="6"/>
        <v>8489.25</v>
      </c>
    </row>
    <row r="52">
      <c r="A52" s="11" t="s">
        <v>99</v>
      </c>
      <c r="B52" s="11" t="s">
        <v>20</v>
      </c>
      <c r="C52" s="11" t="s">
        <v>130</v>
      </c>
      <c r="D52" s="11" t="s">
        <v>101</v>
      </c>
      <c r="E52" s="11" t="s">
        <v>142</v>
      </c>
      <c r="F52" s="11" t="s">
        <v>143</v>
      </c>
      <c r="G52" s="22"/>
      <c r="H52" s="25">
        <v>77.5</v>
      </c>
      <c r="I52" s="21">
        <f t="shared" si="7"/>
        <v>4882.5</v>
      </c>
      <c r="J52" s="16">
        <f t="shared" si="1"/>
        <v>7323.75</v>
      </c>
      <c r="K52" s="16">
        <f t="shared" si="2"/>
        <v>6347.25</v>
      </c>
      <c r="L52" s="16">
        <f t="shared" si="3"/>
        <v>6347.25</v>
      </c>
      <c r="M52" s="16">
        <f t="shared" si="4"/>
        <v>5859</v>
      </c>
      <c r="N52" s="16">
        <f t="shared" si="5"/>
        <v>5614.875</v>
      </c>
      <c r="O52" s="16">
        <f t="shared" si="6"/>
        <v>5370.75</v>
      </c>
    </row>
    <row r="53">
      <c r="A53" s="11" t="s">
        <v>99</v>
      </c>
      <c r="B53" s="11" t="s">
        <v>20</v>
      </c>
      <c r="C53" s="11" t="s">
        <v>130</v>
      </c>
      <c r="D53" s="11" t="s">
        <v>101</v>
      </c>
      <c r="E53" s="11" t="s">
        <v>144</v>
      </c>
      <c r="F53" s="11" t="s">
        <v>145</v>
      </c>
      <c r="G53" s="22"/>
      <c r="H53" s="25">
        <v>10.0</v>
      </c>
      <c r="I53" s="21">
        <f t="shared" si="7"/>
        <v>630</v>
      </c>
      <c r="J53" s="16">
        <f t="shared" si="1"/>
        <v>945</v>
      </c>
      <c r="K53" s="16">
        <f t="shared" si="2"/>
        <v>819</v>
      </c>
      <c r="L53" s="16">
        <f t="shared" si="3"/>
        <v>819</v>
      </c>
      <c r="M53" s="16">
        <f t="shared" si="4"/>
        <v>756</v>
      </c>
      <c r="N53" s="16">
        <f t="shared" si="5"/>
        <v>724.5</v>
      </c>
      <c r="O53" s="16">
        <f t="shared" si="6"/>
        <v>693</v>
      </c>
    </row>
    <row r="54">
      <c r="A54" s="11" t="s">
        <v>99</v>
      </c>
      <c r="B54" s="11" t="s">
        <v>20</v>
      </c>
      <c r="C54" s="11" t="s">
        <v>130</v>
      </c>
      <c r="D54" s="11" t="s">
        <v>101</v>
      </c>
      <c r="E54" s="11" t="s">
        <v>146</v>
      </c>
      <c r="F54" s="11" t="s">
        <v>147</v>
      </c>
      <c r="G54" s="22"/>
      <c r="H54" s="25">
        <v>10.0</v>
      </c>
      <c r="I54" s="21">
        <f t="shared" si="7"/>
        <v>630</v>
      </c>
      <c r="J54" s="16">
        <f t="shared" si="1"/>
        <v>945</v>
      </c>
      <c r="K54" s="16">
        <f t="shared" si="2"/>
        <v>819</v>
      </c>
      <c r="L54" s="16">
        <f t="shared" si="3"/>
        <v>819</v>
      </c>
      <c r="M54" s="16">
        <f t="shared" si="4"/>
        <v>756</v>
      </c>
      <c r="N54" s="16">
        <f t="shared" si="5"/>
        <v>724.5</v>
      </c>
      <c r="O54" s="16">
        <f t="shared" si="6"/>
        <v>693</v>
      </c>
    </row>
    <row r="55">
      <c r="A55" s="11" t="s">
        <v>99</v>
      </c>
      <c r="B55" s="11" t="s">
        <v>20</v>
      </c>
      <c r="C55" s="11" t="s">
        <v>130</v>
      </c>
      <c r="D55" s="11" t="s">
        <v>101</v>
      </c>
      <c r="E55" s="11" t="s">
        <v>148</v>
      </c>
      <c r="F55" s="11" t="s">
        <v>149</v>
      </c>
      <c r="G55" s="22"/>
      <c r="H55" s="25">
        <v>10.0</v>
      </c>
      <c r="I55" s="21">
        <f t="shared" si="7"/>
        <v>630</v>
      </c>
      <c r="J55" s="16">
        <f t="shared" si="1"/>
        <v>945</v>
      </c>
      <c r="K55" s="16">
        <f t="shared" si="2"/>
        <v>819</v>
      </c>
      <c r="L55" s="16">
        <f t="shared" si="3"/>
        <v>819</v>
      </c>
      <c r="M55" s="16">
        <f t="shared" si="4"/>
        <v>756</v>
      </c>
      <c r="N55" s="16">
        <f t="shared" si="5"/>
        <v>724.5</v>
      </c>
      <c r="O55" s="16">
        <f t="shared" si="6"/>
        <v>693</v>
      </c>
    </row>
    <row r="56">
      <c r="A56" s="11" t="s">
        <v>99</v>
      </c>
      <c r="B56" s="11" t="s">
        <v>20</v>
      </c>
      <c r="C56" s="11" t="s">
        <v>130</v>
      </c>
      <c r="D56" s="11" t="s">
        <v>101</v>
      </c>
      <c r="E56" s="11" t="s">
        <v>150</v>
      </c>
      <c r="F56" s="11" t="s">
        <v>151</v>
      </c>
      <c r="G56" s="22"/>
      <c r="H56" s="25">
        <v>541.0</v>
      </c>
      <c r="I56" s="21">
        <f t="shared" si="7"/>
        <v>34083</v>
      </c>
      <c r="J56" s="16">
        <f t="shared" si="1"/>
        <v>51124.5</v>
      </c>
      <c r="K56" s="16">
        <f t="shared" si="2"/>
        <v>44307.9</v>
      </c>
      <c r="L56" s="16">
        <f t="shared" si="3"/>
        <v>44307.9</v>
      </c>
      <c r="M56" s="16">
        <f t="shared" si="4"/>
        <v>40899.6</v>
      </c>
      <c r="N56" s="16">
        <f t="shared" si="5"/>
        <v>39195.45</v>
      </c>
      <c r="O56" s="16">
        <f t="shared" si="6"/>
        <v>37491.3</v>
      </c>
    </row>
    <row r="57">
      <c r="A57" s="11" t="s">
        <v>99</v>
      </c>
      <c r="B57" s="11" t="s">
        <v>20</v>
      </c>
      <c r="C57" s="11" t="s">
        <v>130</v>
      </c>
      <c r="D57" s="11" t="s">
        <v>101</v>
      </c>
      <c r="E57" s="11" t="s">
        <v>152</v>
      </c>
      <c r="F57" s="11" t="s">
        <v>153</v>
      </c>
      <c r="G57" s="22"/>
      <c r="H57" s="25">
        <v>749.0</v>
      </c>
      <c r="I57" s="21">
        <f t="shared" si="7"/>
        <v>47187</v>
      </c>
      <c r="J57" s="16">
        <f t="shared" si="1"/>
        <v>70780.5</v>
      </c>
      <c r="K57" s="16">
        <f t="shared" si="2"/>
        <v>61343.1</v>
      </c>
      <c r="L57" s="16">
        <f t="shared" si="3"/>
        <v>61343.1</v>
      </c>
      <c r="M57" s="16">
        <f t="shared" si="4"/>
        <v>56624.4</v>
      </c>
      <c r="N57" s="16">
        <f t="shared" si="5"/>
        <v>54265.05</v>
      </c>
      <c r="O57" s="16">
        <f t="shared" si="6"/>
        <v>51905.7</v>
      </c>
    </row>
    <row r="58">
      <c r="A58" s="11" t="s">
        <v>99</v>
      </c>
      <c r="B58" s="11" t="s">
        <v>20</v>
      </c>
      <c r="C58" s="11" t="s">
        <v>130</v>
      </c>
      <c r="D58" s="11" t="s">
        <v>101</v>
      </c>
      <c r="E58" s="11" t="s">
        <v>154</v>
      </c>
      <c r="F58" s="11" t="s">
        <v>155</v>
      </c>
      <c r="G58" s="22"/>
      <c r="H58" s="25">
        <v>329.0</v>
      </c>
      <c r="I58" s="21">
        <f t="shared" si="7"/>
        <v>20727</v>
      </c>
      <c r="J58" s="16">
        <f t="shared" si="1"/>
        <v>31090.5</v>
      </c>
      <c r="K58" s="16">
        <f t="shared" si="2"/>
        <v>26945.1</v>
      </c>
      <c r="L58" s="16">
        <f t="shared" si="3"/>
        <v>26945.1</v>
      </c>
      <c r="M58" s="16">
        <f t="shared" si="4"/>
        <v>24872.4</v>
      </c>
      <c r="N58" s="16">
        <f t="shared" si="5"/>
        <v>23836.05</v>
      </c>
      <c r="O58" s="16">
        <f t="shared" si="6"/>
        <v>22799.7</v>
      </c>
    </row>
    <row r="59">
      <c r="A59" s="11" t="s">
        <v>99</v>
      </c>
      <c r="B59" s="11" t="s">
        <v>20</v>
      </c>
      <c r="C59" s="11" t="s">
        <v>130</v>
      </c>
      <c r="D59" s="11" t="s">
        <v>101</v>
      </c>
      <c r="E59" s="11" t="s">
        <v>156</v>
      </c>
      <c r="F59" s="11" t="s">
        <v>157</v>
      </c>
      <c r="G59" s="22"/>
      <c r="H59" s="25">
        <v>375.0</v>
      </c>
      <c r="I59" s="21">
        <f t="shared" si="7"/>
        <v>23625</v>
      </c>
      <c r="J59" s="16">
        <f t="shared" si="1"/>
        <v>35437.5</v>
      </c>
      <c r="K59" s="16">
        <f t="shared" si="2"/>
        <v>30712.5</v>
      </c>
      <c r="L59" s="16">
        <f t="shared" si="3"/>
        <v>30712.5</v>
      </c>
      <c r="M59" s="16">
        <f t="shared" si="4"/>
        <v>28350</v>
      </c>
      <c r="N59" s="16">
        <f t="shared" si="5"/>
        <v>27168.75</v>
      </c>
      <c r="O59" s="16">
        <f t="shared" si="6"/>
        <v>25987.5</v>
      </c>
    </row>
    <row r="60">
      <c r="A60" s="11" t="s">
        <v>99</v>
      </c>
      <c r="B60" s="11" t="s">
        <v>20</v>
      </c>
      <c r="C60" s="11" t="s">
        <v>158</v>
      </c>
      <c r="D60" s="11" t="s">
        <v>159</v>
      </c>
      <c r="E60" s="11" t="s">
        <v>160</v>
      </c>
      <c r="F60" s="11" t="s">
        <v>161</v>
      </c>
      <c r="G60" s="22"/>
      <c r="H60" s="25">
        <v>1295.0</v>
      </c>
      <c r="I60" s="21">
        <f t="shared" si="7"/>
        <v>81585</v>
      </c>
      <c r="J60" s="16">
        <f t="shared" si="1"/>
        <v>122377.5</v>
      </c>
      <c r="K60" s="16">
        <f t="shared" si="2"/>
        <v>106060.5</v>
      </c>
      <c r="L60" s="16">
        <f t="shared" si="3"/>
        <v>106060.5</v>
      </c>
      <c r="M60" s="16">
        <f t="shared" si="4"/>
        <v>97902</v>
      </c>
      <c r="N60" s="16">
        <f t="shared" si="5"/>
        <v>93822.75</v>
      </c>
      <c r="O60" s="16">
        <f t="shared" si="6"/>
        <v>89743.5</v>
      </c>
    </row>
    <row r="61">
      <c r="A61" s="11" t="s">
        <v>99</v>
      </c>
      <c r="B61" s="11" t="s">
        <v>20</v>
      </c>
      <c r="C61" s="11" t="s">
        <v>158</v>
      </c>
      <c r="D61" s="11" t="s">
        <v>159</v>
      </c>
      <c r="E61" s="11" t="s">
        <v>162</v>
      </c>
      <c r="F61" s="11" t="s">
        <v>163</v>
      </c>
      <c r="G61" s="22"/>
      <c r="H61" s="25">
        <v>124.5</v>
      </c>
      <c r="I61" s="21">
        <f t="shared" si="7"/>
        <v>7843.5</v>
      </c>
      <c r="J61" s="16">
        <f t="shared" si="1"/>
        <v>11765.25</v>
      </c>
      <c r="K61" s="16">
        <f t="shared" si="2"/>
        <v>10196.55</v>
      </c>
      <c r="L61" s="16">
        <f t="shared" si="3"/>
        <v>10196.55</v>
      </c>
      <c r="M61" s="16">
        <f t="shared" si="4"/>
        <v>9412.2</v>
      </c>
      <c r="N61" s="16">
        <f t="shared" si="5"/>
        <v>9020.025</v>
      </c>
      <c r="O61" s="16">
        <f t="shared" si="6"/>
        <v>8627.85</v>
      </c>
    </row>
    <row r="62">
      <c r="A62" s="11" t="s">
        <v>99</v>
      </c>
      <c r="B62" s="11" t="s">
        <v>20</v>
      </c>
      <c r="C62" s="11" t="s">
        <v>164</v>
      </c>
      <c r="D62" s="11" t="s">
        <v>159</v>
      </c>
      <c r="E62" s="11" t="s">
        <v>165</v>
      </c>
      <c r="F62" s="11" t="s">
        <v>166</v>
      </c>
      <c r="G62" s="22"/>
      <c r="H62" s="25">
        <v>713.0</v>
      </c>
      <c r="I62" s="21">
        <f t="shared" si="7"/>
        <v>44919</v>
      </c>
      <c r="J62" s="16">
        <f t="shared" si="1"/>
        <v>67378.5</v>
      </c>
      <c r="K62" s="16">
        <f t="shared" si="2"/>
        <v>58394.7</v>
      </c>
      <c r="L62" s="16">
        <f t="shared" si="3"/>
        <v>58394.7</v>
      </c>
      <c r="M62" s="16">
        <f t="shared" si="4"/>
        <v>53902.8</v>
      </c>
      <c r="N62" s="16">
        <f t="shared" si="5"/>
        <v>51656.85</v>
      </c>
      <c r="O62" s="16">
        <f t="shared" si="6"/>
        <v>49410.9</v>
      </c>
    </row>
    <row r="63">
      <c r="A63" s="11" t="s">
        <v>99</v>
      </c>
      <c r="B63" s="11" t="s">
        <v>20</v>
      </c>
      <c r="C63" s="11" t="s">
        <v>164</v>
      </c>
      <c r="D63" s="11" t="s">
        <v>159</v>
      </c>
      <c r="E63" s="11" t="s">
        <v>167</v>
      </c>
      <c r="F63" s="11" t="s">
        <v>168</v>
      </c>
      <c r="G63" s="22"/>
      <c r="H63" s="25">
        <v>713.0</v>
      </c>
      <c r="I63" s="21">
        <f t="shared" si="7"/>
        <v>44919</v>
      </c>
      <c r="J63" s="16">
        <f t="shared" si="1"/>
        <v>67378.5</v>
      </c>
      <c r="K63" s="16">
        <f t="shared" si="2"/>
        <v>58394.7</v>
      </c>
      <c r="L63" s="16">
        <f t="shared" si="3"/>
        <v>58394.7</v>
      </c>
      <c r="M63" s="16">
        <f t="shared" si="4"/>
        <v>53902.8</v>
      </c>
      <c r="N63" s="16">
        <f t="shared" si="5"/>
        <v>51656.85</v>
      </c>
      <c r="O63" s="16">
        <f t="shared" si="6"/>
        <v>49410.9</v>
      </c>
    </row>
    <row r="64">
      <c r="A64" s="11" t="s">
        <v>99</v>
      </c>
      <c r="B64" s="11" t="s">
        <v>20</v>
      </c>
      <c r="C64" s="11" t="s">
        <v>164</v>
      </c>
      <c r="D64" s="11" t="s">
        <v>159</v>
      </c>
      <c r="E64" s="11" t="s">
        <v>169</v>
      </c>
      <c r="F64" s="11" t="s">
        <v>170</v>
      </c>
      <c r="G64" s="22"/>
      <c r="H64" s="25">
        <v>629.5</v>
      </c>
      <c r="I64" s="21">
        <f t="shared" si="7"/>
        <v>39658.5</v>
      </c>
      <c r="J64" s="16">
        <f t="shared" si="1"/>
        <v>59487.75</v>
      </c>
      <c r="K64" s="16">
        <f t="shared" si="2"/>
        <v>51556.05</v>
      </c>
      <c r="L64" s="16">
        <f t="shared" si="3"/>
        <v>51556.05</v>
      </c>
      <c r="M64" s="16">
        <f t="shared" si="4"/>
        <v>47590.2</v>
      </c>
      <c r="N64" s="16">
        <f t="shared" si="5"/>
        <v>45607.275</v>
      </c>
      <c r="O64" s="16">
        <f t="shared" si="6"/>
        <v>43624.35</v>
      </c>
    </row>
    <row r="65">
      <c r="A65" s="11" t="s">
        <v>99</v>
      </c>
      <c r="B65" s="11" t="s">
        <v>20</v>
      </c>
      <c r="C65" s="11" t="s">
        <v>164</v>
      </c>
      <c r="D65" s="11" t="s">
        <v>159</v>
      </c>
      <c r="E65" s="11" t="s">
        <v>171</v>
      </c>
      <c r="F65" s="11" t="s">
        <v>172</v>
      </c>
      <c r="G65" s="22"/>
      <c r="H65" s="25">
        <v>629.5</v>
      </c>
      <c r="I65" s="21">
        <f t="shared" si="7"/>
        <v>39658.5</v>
      </c>
      <c r="J65" s="16">
        <f t="shared" si="1"/>
        <v>59487.75</v>
      </c>
      <c r="K65" s="16">
        <f t="shared" si="2"/>
        <v>51556.05</v>
      </c>
      <c r="L65" s="16">
        <f t="shared" si="3"/>
        <v>51556.05</v>
      </c>
      <c r="M65" s="16">
        <f t="shared" si="4"/>
        <v>47590.2</v>
      </c>
      <c r="N65" s="16">
        <f t="shared" si="5"/>
        <v>45607.275</v>
      </c>
      <c r="O65" s="16">
        <f t="shared" si="6"/>
        <v>43624.35</v>
      </c>
    </row>
    <row r="66">
      <c r="A66" s="11" t="s">
        <v>99</v>
      </c>
      <c r="B66" s="11" t="s">
        <v>20</v>
      </c>
      <c r="C66" s="11" t="s">
        <v>164</v>
      </c>
      <c r="D66" s="11" t="s">
        <v>159</v>
      </c>
      <c r="E66" s="11" t="s">
        <v>173</v>
      </c>
      <c r="F66" s="11" t="s">
        <v>174</v>
      </c>
      <c r="G66" s="22"/>
      <c r="H66" s="25">
        <v>211.0</v>
      </c>
      <c r="I66" s="21">
        <f t="shared" si="7"/>
        <v>13293</v>
      </c>
      <c r="J66" s="16">
        <f t="shared" si="1"/>
        <v>19939.5</v>
      </c>
      <c r="K66" s="16">
        <f t="shared" si="2"/>
        <v>17280.9</v>
      </c>
      <c r="L66" s="16">
        <f t="shared" si="3"/>
        <v>17280.9</v>
      </c>
      <c r="M66" s="16">
        <f t="shared" si="4"/>
        <v>15951.6</v>
      </c>
      <c r="N66" s="16">
        <f t="shared" si="5"/>
        <v>15286.95</v>
      </c>
      <c r="O66" s="16">
        <f t="shared" si="6"/>
        <v>14622.3</v>
      </c>
    </row>
    <row r="67">
      <c r="A67" s="11" t="s">
        <v>99</v>
      </c>
      <c r="B67" s="11" t="s">
        <v>20</v>
      </c>
      <c r="C67" s="11" t="s">
        <v>164</v>
      </c>
      <c r="D67" s="11" t="s">
        <v>159</v>
      </c>
      <c r="E67" s="11" t="s">
        <v>175</v>
      </c>
      <c r="F67" s="11" t="s">
        <v>176</v>
      </c>
      <c r="G67" s="22"/>
      <c r="H67" s="25">
        <v>107.0</v>
      </c>
      <c r="I67" s="21">
        <f t="shared" si="7"/>
        <v>6741</v>
      </c>
      <c r="J67" s="16">
        <f t="shared" si="1"/>
        <v>10111.5</v>
      </c>
      <c r="K67" s="16">
        <f t="shared" si="2"/>
        <v>8763.3</v>
      </c>
      <c r="L67" s="16">
        <f t="shared" si="3"/>
        <v>8763.3</v>
      </c>
      <c r="M67" s="16">
        <f t="shared" si="4"/>
        <v>8089.2</v>
      </c>
      <c r="N67" s="16">
        <f t="shared" si="5"/>
        <v>7752.15</v>
      </c>
      <c r="O67" s="16">
        <f t="shared" si="6"/>
        <v>7415.1</v>
      </c>
    </row>
    <row r="68">
      <c r="A68" s="11" t="s">
        <v>99</v>
      </c>
      <c r="B68" s="11" t="s">
        <v>20</v>
      </c>
      <c r="C68" s="11" t="s">
        <v>164</v>
      </c>
      <c r="D68" s="11" t="s">
        <v>159</v>
      </c>
      <c r="E68" s="11" t="s">
        <v>177</v>
      </c>
      <c r="F68" s="11" t="s">
        <v>178</v>
      </c>
      <c r="G68" s="22"/>
      <c r="H68" s="25">
        <v>63.5</v>
      </c>
      <c r="I68" s="21">
        <f t="shared" si="7"/>
        <v>4000.5</v>
      </c>
      <c r="J68" s="16">
        <f t="shared" si="1"/>
        <v>6000.75</v>
      </c>
      <c r="K68" s="16">
        <f t="shared" si="2"/>
        <v>5200.65</v>
      </c>
      <c r="L68" s="16">
        <f t="shared" si="3"/>
        <v>5200.65</v>
      </c>
      <c r="M68" s="16">
        <f t="shared" si="4"/>
        <v>4800.6</v>
      </c>
      <c r="N68" s="16">
        <f t="shared" si="5"/>
        <v>4600.575</v>
      </c>
      <c r="O68" s="16">
        <f t="shared" si="6"/>
        <v>4400.55</v>
      </c>
    </row>
    <row r="69">
      <c r="A69" s="11" t="s">
        <v>99</v>
      </c>
      <c r="B69" s="11" t="s">
        <v>20</v>
      </c>
      <c r="C69" s="11" t="s">
        <v>179</v>
      </c>
      <c r="D69" s="11" t="s">
        <v>159</v>
      </c>
      <c r="E69" s="11" t="s">
        <v>180</v>
      </c>
      <c r="F69" s="11" t="s">
        <v>181</v>
      </c>
      <c r="G69" s="22"/>
      <c r="H69" s="25">
        <v>254.0</v>
      </c>
      <c r="I69" s="21">
        <f t="shared" si="7"/>
        <v>16002</v>
      </c>
      <c r="J69" s="16">
        <f t="shared" si="1"/>
        <v>24003</v>
      </c>
      <c r="K69" s="16">
        <f t="shared" si="2"/>
        <v>20802.6</v>
      </c>
      <c r="L69" s="16">
        <f t="shared" si="3"/>
        <v>20802.6</v>
      </c>
      <c r="M69" s="16">
        <f t="shared" si="4"/>
        <v>19202.4</v>
      </c>
      <c r="N69" s="16">
        <f t="shared" si="5"/>
        <v>18402.3</v>
      </c>
      <c r="O69" s="16">
        <f t="shared" si="6"/>
        <v>17602.2</v>
      </c>
    </row>
    <row r="70">
      <c r="A70" s="11" t="s">
        <v>99</v>
      </c>
      <c r="B70" s="11" t="s">
        <v>20</v>
      </c>
      <c r="C70" s="11" t="s">
        <v>179</v>
      </c>
      <c r="D70" s="11" t="s">
        <v>159</v>
      </c>
      <c r="E70" s="11" t="s">
        <v>182</v>
      </c>
      <c r="F70" s="11" t="s">
        <v>183</v>
      </c>
      <c r="G70" s="22"/>
      <c r="H70" s="25">
        <v>368.5</v>
      </c>
      <c r="I70" s="21">
        <f t="shared" si="7"/>
        <v>23215.5</v>
      </c>
      <c r="J70" s="16">
        <f t="shared" si="1"/>
        <v>34823.25</v>
      </c>
      <c r="K70" s="16">
        <f t="shared" si="2"/>
        <v>30180.15</v>
      </c>
      <c r="L70" s="16">
        <f t="shared" si="3"/>
        <v>30180.15</v>
      </c>
      <c r="M70" s="16">
        <f t="shared" si="4"/>
        <v>27858.6</v>
      </c>
      <c r="N70" s="16">
        <f t="shared" si="5"/>
        <v>26697.825</v>
      </c>
      <c r="O70" s="16">
        <f t="shared" si="6"/>
        <v>25537.05</v>
      </c>
    </row>
    <row r="71">
      <c r="A71" s="11" t="s">
        <v>99</v>
      </c>
      <c r="B71" s="11" t="s">
        <v>20</v>
      </c>
      <c r="C71" s="11" t="s">
        <v>179</v>
      </c>
      <c r="D71" s="11" t="s">
        <v>159</v>
      </c>
      <c r="E71" s="11" t="s">
        <v>184</v>
      </c>
      <c r="F71" s="11" t="s">
        <v>185</v>
      </c>
      <c r="G71" s="22"/>
      <c r="H71" s="25">
        <v>96.5</v>
      </c>
      <c r="I71" s="21">
        <f t="shared" si="7"/>
        <v>6079.5</v>
      </c>
      <c r="J71" s="16">
        <f t="shared" si="1"/>
        <v>9119.25</v>
      </c>
      <c r="K71" s="16">
        <f t="shared" si="2"/>
        <v>7903.35</v>
      </c>
      <c r="L71" s="16">
        <f t="shared" si="3"/>
        <v>7903.35</v>
      </c>
      <c r="M71" s="16">
        <f t="shared" si="4"/>
        <v>7295.4</v>
      </c>
      <c r="N71" s="16">
        <f t="shared" si="5"/>
        <v>6991.425</v>
      </c>
      <c r="O71" s="16">
        <f t="shared" si="6"/>
        <v>6687.45</v>
      </c>
    </row>
    <row r="72">
      <c r="A72" s="11" t="s">
        <v>99</v>
      </c>
      <c r="B72" s="11" t="s">
        <v>20</v>
      </c>
      <c r="C72" s="11" t="s">
        <v>179</v>
      </c>
      <c r="D72" s="11" t="s">
        <v>159</v>
      </c>
      <c r="E72" s="11" t="s">
        <v>186</v>
      </c>
      <c r="F72" s="11" t="s">
        <v>187</v>
      </c>
      <c r="G72" s="22"/>
      <c r="H72" s="25">
        <v>345.0</v>
      </c>
      <c r="I72" s="21">
        <f t="shared" si="7"/>
        <v>21735</v>
      </c>
      <c r="J72" s="16">
        <f t="shared" si="1"/>
        <v>32602.5</v>
      </c>
      <c r="K72" s="16">
        <f t="shared" si="2"/>
        <v>28255.5</v>
      </c>
      <c r="L72" s="16">
        <f t="shared" si="3"/>
        <v>28255.5</v>
      </c>
      <c r="M72" s="16">
        <f t="shared" si="4"/>
        <v>26082</v>
      </c>
      <c r="N72" s="16">
        <f t="shared" si="5"/>
        <v>24995.25</v>
      </c>
      <c r="O72" s="16">
        <f t="shared" si="6"/>
        <v>23908.5</v>
      </c>
    </row>
    <row r="73">
      <c r="A73" s="11" t="s">
        <v>99</v>
      </c>
      <c r="B73" s="11" t="s">
        <v>20</v>
      </c>
      <c r="C73" s="11" t="s">
        <v>179</v>
      </c>
      <c r="D73" s="11" t="s">
        <v>159</v>
      </c>
      <c r="E73" s="11" t="s">
        <v>188</v>
      </c>
      <c r="F73" s="11" t="s">
        <v>189</v>
      </c>
      <c r="G73" s="22"/>
      <c r="H73" s="25">
        <v>265.0</v>
      </c>
      <c r="I73" s="21">
        <f t="shared" si="7"/>
        <v>16695</v>
      </c>
      <c r="J73" s="16">
        <f t="shared" si="1"/>
        <v>25042.5</v>
      </c>
      <c r="K73" s="16">
        <f t="shared" si="2"/>
        <v>21703.5</v>
      </c>
      <c r="L73" s="16">
        <f t="shared" si="3"/>
        <v>21703.5</v>
      </c>
      <c r="M73" s="16">
        <f t="shared" si="4"/>
        <v>20034</v>
      </c>
      <c r="N73" s="16">
        <f t="shared" si="5"/>
        <v>19199.25</v>
      </c>
      <c r="O73" s="16">
        <f t="shared" si="6"/>
        <v>18364.5</v>
      </c>
    </row>
    <row r="74">
      <c r="A74" s="11" t="s">
        <v>99</v>
      </c>
      <c r="B74" s="11" t="s">
        <v>20</v>
      </c>
      <c r="C74" s="11" t="s">
        <v>179</v>
      </c>
      <c r="D74" s="11" t="s">
        <v>159</v>
      </c>
      <c r="E74" s="11" t="s">
        <v>190</v>
      </c>
      <c r="F74" s="11" t="s">
        <v>191</v>
      </c>
      <c r="G74" s="22"/>
      <c r="H74" s="25">
        <v>226.0</v>
      </c>
      <c r="I74" s="21">
        <f t="shared" si="7"/>
        <v>14238</v>
      </c>
      <c r="J74" s="16">
        <f t="shared" si="1"/>
        <v>21357</v>
      </c>
      <c r="K74" s="16">
        <f t="shared" si="2"/>
        <v>18509.4</v>
      </c>
      <c r="L74" s="16">
        <f t="shared" si="3"/>
        <v>18509.4</v>
      </c>
      <c r="M74" s="16">
        <f t="shared" si="4"/>
        <v>17085.6</v>
      </c>
      <c r="N74" s="16">
        <f t="shared" si="5"/>
        <v>16373.7</v>
      </c>
      <c r="O74" s="16">
        <f t="shared" si="6"/>
        <v>15661.8</v>
      </c>
    </row>
    <row r="75">
      <c r="A75" s="11" t="s">
        <v>99</v>
      </c>
      <c r="B75" s="11" t="s">
        <v>20</v>
      </c>
      <c r="C75" s="11" t="s">
        <v>179</v>
      </c>
      <c r="D75" s="11" t="s">
        <v>159</v>
      </c>
      <c r="E75" s="11" t="s">
        <v>192</v>
      </c>
      <c r="F75" s="11" t="s">
        <v>193</v>
      </c>
      <c r="G75" s="22"/>
      <c r="H75" s="25">
        <v>85.5</v>
      </c>
      <c r="I75" s="21">
        <f t="shared" si="7"/>
        <v>5386.5</v>
      </c>
      <c r="J75" s="16">
        <f t="shared" si="1"/>
        <v>8079.75</v>
      </c>
      <c r="K75" s="16">
        <f t="shared" si="2"/>
        <v>7002.45</v>
      </c>
      <c r="L75" s="16">
        <f t="shared" si="3"/>
        <v>7002.45</v>
      </c>
      <c r="M75" s="16">
        <f t="shared" si="4"/>
        <v>6463.8</v>
      </c>
      <c r="N75" s="16">
        <f t="shared" si="5"/>
        <v>6194.475</v>
      </c>
      <c r="O75" s="16">
        <f t="shared" si="6"/>
        <v>5925.15</v>
      </c>
    </row>
    <row r="76">
      <c r="A76" s="11" t="s">
        <v>99</v>
      </c>
      <c r="B76" s="11" t="s">
        <v>20</v>
      </c>
      <c r="C76" s="11" t="s">
        <v>179</v>
      </c>
      <c r="D76" s="11" t="s">
        <v>159</v>
      </c>
      <c r="E76" s="11" t="s">
        <v>194</v>
      </c>
      <c r="F76" s="11" t="s">
        <v>195</v>
      </c>
      <c r="G76" s="22"/>
      <c r="H76" s="25">
        <v>32.0</v>
      </c>
      <c r="I76" s="21">
        <f t="shared" si="7"/>
        <v>2016</v>
      </c>
      <c r="J76" s="16">
        <f t="shared" si="1"/>
        <v>3024</v>
      </c>
      <c r="K76" s="16">
        <f t="shared" si="2"/>
        <v>2620.8</v>
      </c>
      <c r="L76" s="16">
        <f t="shared" si="3"/>
        <v>2620.8</v>
      </c>
      <c r="M76" s="16">
        <f t="shared" si="4"/>
        <v>2419.2</v>
      </c>
      <c r="N76" s="16">
        <f t="shared" si="5"/>
        <v>2318.4</v>
      </c>
      <c r="O76" s="16">
        <f t="shared" si="6"/>
        <v>2217.6</v>
      </c>
    </row>
    <row r="77">
      <c r="A77" s="11" t="s">
        <v>99</v>
      </c>
      <c r="B77" s="11" t="s">
        <v>20</v>
      </c>
      <c r="C77" s="11" t="s">
        <v>179</v>
      </c>
      <c r="D77" s="11" t="s">
        <v>159</v>
      </c>
      <c r="E77" s="11" t="s">
        <v>196</v>
      </c>
      <c r="F77" s="11" t="s">
        <v>197</v>
      </c>
      <c r="G77" s="22"/>
      <c r="H77" s="25">
        <v>6.5</v>
      </c>
      <c r="I77" s="21">
        <f t="shared" si="7"/>
        <v>409.5</v>
      </c>
      <c r="J77" s="16">
        <f t="shared" si="1"/>
        <v>614.25</v>
      </c>
      <c r="K77" s="16">
        <f t="shared" si="2"/>
        <v>532.35</v>
      </c>
      <c r="L77" s="16">
        <f t="shared" si="3"/>
        <v>532.35</v>
      </c>
      <c r="M77" s="16">
        <f t="shared" si="4"/>
        <v>491.4</v>
      </c>
      <c r="N77" s="16">
        <f t="shared" si="5"/>
        <v>470.925</v>
      </c>
      <c r="O77" s="16">
        <f t="shared" si="6"/>
        <v>450.45</v>
      </c>
    </row>
    <row r="78">
      <c r="A78" s="11" t="s">
        <v>99</v>
      </c>
      <c r="B78" s="11" t="s">
        <v>20</v>
      </c>
      <c r="C78" s="11" t="s">
        <v>179</v>
      </c>
      <c r="D78" s="11" t="s">
        <v>159</v>
      </c>
      <c r="E78" s="11" t="s">
        <v>198</v>
      </c>
      <c r="F78" s="11" t="s">
        <v>199</v>
      </c>
      <c r="G78" s="22"/>
      <c r="H78" s="25">
        <v>9.0</v>
      </c>
      <c r="I78" s="21">
        <f t="shared" si="7"/>
        <v>567</v>
      </c>
      <c r="J78" s="16">
        <f t="shared" si="1"/>
        <v>850.5</v>
      </c>
      <c r="K78" s="16">
        <f t="shared" si="2"/>
        <v>737.1</v>
      </c>
      <c r="L78" s="16">
        <f t="shared" si="3"/>
        <v>737.1</v>
      </c>
      <c r="M78" s="16">
        <f t="shared" si="4"/>
        <v>680.4</v>
      </c>
      <c r="N78" s="16">
        <f t="shared" si="5"/>
        <v>652.05</v>
      </c>
      <c r="O78" s="16">
        <f t="shared" si="6"/>
        <v>623.7</v>
      </c>
    </row>
    <row r="79">
      <c r="A79" s="11" t="s">
        <v>99</v>
      </c>
      <c r="B79" s="11" t="s">
        <v>20</v>
      </c>
      <c r="C79" s="11" t="s">
        <v>179</v>
      </c>
      <c r="D79" s="11" t="s">
        <v>159</v>
      </c>
      <c r="E79" s="11" t="s">
        <v>200</v>
      </c>
      <c r="F79" s="11" t="s">
        <v>201</v>
      </c>
      <c r="G79" s="22"/>
      <c r="H79" s="25">
        <v>49.0</v>
      </c>
      <c r="I79" s="21">
        <f t="shared" si="7"/>
        <v>3087</v>
      </c>
      <c r="J79" s="16">
        <f t="shared" si="1"/>
        <v>4630.5</v>
      </c>
      <c r="K79" s="16">
        <f t="shared" si="2"/>
        <v>4013.1</v>
      </c>
      <c r="L79" s="16">
        <f t="shared" si="3"/>
        <v>4013.1</v>
      </c>
      <c r="M79" s="16">
        <f t="shared" si="4"/>
        <v>3704.4</v>
      </c>
      <c r="N79" s="16">
        <f t="shared" si="5"/>
        <v>3550.05</v>
      </c>
      <c r="O79" s="16">
        <f t="shared" si="6"/>
        <v>3395.7</v>
      </c>
    </row>
    <row r="80">
      <c r="A80" s="11" t="s">
        <v>99</v>
      </c>
      <c r="B80" s="11" t="s">
        <v>20</v>
      </c>
      <c r="C80" s="11" t="s">
        <v>179</v>
      </c>
      <c r="D80" s="11" t="s">
        <v>159</v>
      </c>
      <c r="E80" s="11" t="s">
        <v>202</v>
      </c>
      <c r="F80" s="11" t="s">
        <v>203</v>
      </c>
      <c r="G80" s="22"/>
      <c r="H80" s="25">
        <v>51.0</v>
      </c>
      <c r="I80" s="21">
        <f t="shared" si="7"/>
        <v>3213</v>
      </c>
      <c r="J80" s="16">
        <f t="shared" si="1"/>
        <v>4819.5</v>
      </c>
      <c r="K80" s="16">
        <f t="shared" si="2"/>
        <v>4176.9</v>
      </c>
      <c r="L80" s="16">
        <f t="shared" si="3"/>
        <v>4176.9</v>
      </c>
      <c r="M80" s="16">
        <f t="shared" si="4"/>
        <v>3855.6</v>
      </c>
      <c r="N80" s="16">
        <f t="shared" si="5"/>
        <v>3694.95</v>
      </c>
      <c r="O80" s="16">
        <f t="shared" si="6"/>
        <v>3534.3</v>
      </c>
    </row>
    <row r="81">
      <c r="A81" s="11" t="s">
        <v>99</v>
      </c>
      <c r="B81" s="11" t="s">
        <v>20</v>
      </c>
      <c r="C81" s="11" t="s">
        <v>179</v>
      </c>
      <c r="D81" s="11" t="s">
        <v>159</v>
      </c>
      <c r="E81" s="11" t="s">
        <v>204</v>
      </c>
      <c r="F81" s="11" t="s">
        <v>205</v>
      </c>
      <c r="G81" s="22"/>
      <c r="H81" s="25">
        <v>56.0</v>
      </c>
      <c r="I81" s="21">
        <f t="shared" si="7"/>
        <v>3528</v>
      </c>
      <c r="J81" s="16">
        <f t="shared" si="1"/>
        <v>5292</v>
      </c>
      <c r="K81" s="16">
        <f t="shared" si="2"/>
        <v>4586.4</v>
      </c>
      <c r="L81" s="16">
        <f t="shared" si="3"/>
        <v>4586.4</v>
      </c>
      <c r="M81" s="16">
        <f t="shared" si="4"/>
        <v>4233.6</v>
      </c>
      <c r="N81" s="16">
        <f t="shared" si="5"/>
        <v>4057.2</v>
      </c>
      <c r="O81" s="16">
        <f t="shared" si="6"/>
        <v>3880.8</v>
      </c>
    </row>
    <row r="82">
      <c r="A82" s="11" t="s">
        <v>99</v>
      </c>
      <c r="B82" s="11" t="s">
        <v>20</v>
      </c>
      <c r="C82" s="11" t="s">
        <v>179</v>
      </c>
      <c r="D82" s="11" t="s">
        <v>159</v>
      </c>
      <c r="E82" s="11" t="s">
        <v>206</v>
      </c>
      <c r="F82" s="11" t="s">
        <v>207</v>
      </c>
      <c r="G82" s="22"/>
      <c r="H82" s="25">
        <v>31.5</v>
      </c>
      <c r="I82" s="21">
        <f t="shared" si="7"/>
        <v>1984.5</v>
      </c>
      <c r="J82" s="16">
        <f t="shared" si="1"/>
        <v>2976.75</v>
      </c>
      <c r="K82" s="16">
        <f t="shared" si="2"/>
        <v>2579.85</v>
      </c>
      <c r="L82" s="16">
        <f t="shared" si="3"/>
        <v>2579.85</v>
      </c>
      <c r="M82" s="16">
        <f t="shared" si="4"/>
        <v>2381.4</v>
      </c>
      <c r="N82" s="16">
        <f t="shared" si="5"/>
        <v>2282.175</v>
      </c>
      <c r="O82" s="16">
        <f t="shared" si="6"/>
        <v>2182.95</v>
      </c>
    </row>
    <row r="83">
      <c r="A83" s="11" t="s">
        <v>99</v>
      </c>
      <c r="B83" s="11" t="s">
        <v>20</v>
      </c>
      <c r="C83" s="11" t="s">
        <v>179</v>
      </c>
      <c r="D83" s="11" t="s">
        <v>159</v>
      </c>
      <c r="E83" s="11" t="s">
        <v>208</v>
      </c>
      <c r="F83" s="11" t="s">
        <v>209</v>
      </c>
      <c r="G83" s="22"/>
      <c r="H83" s="25">
        <v>35.0</v>
      </c>
      <c r="I83" s="21">
        <f t="shared" si="7"/>
        <v>2205</v>
      </c>
      <c r="J83" s="16">
        <f t="shared" si="1"/>
        <v>3307.5</v>
      </c>
      <c r="K83" s="16">
        <f t="shared" si="2"/>
        <v>2866.5</v>
      </c>
      <c r="L83" s="16">
        <f t="shared" si="3"/>
        <v>2866.5</v>
      </c>
      <c r="M83" s="16">
        <f t="shared" si="4"/>
        <v>2646</v>
      </c>
      <c r="N83" s="16">
        <f t="shared" si="5"/>
        <v>2535.75</v>
      </c>
      <c r="O83" s="16">
        <f t="shared" si="6"/>
        <v>2425.5</v>
      </c>
    </row>
    <row r="84">
      <c r="A84" s="11" t="s">
        <v>99</v>
      </c>
      <c r="B84" s="11" t="s">
        <v>20</v>
      </c>
      <c r="C84" s="11" t="s">
        <v>179</v>
      </c>
      <c r="D84" s="11" t="s">
        <v>159</v>
      </c>
      <c r="E84" s="11" t="s">
        <v>210</v>
      </c>
      <c r="F84" s="11" t="s">
        <v>211</v>
      </c>
      <c r="G84" s="22"/>
      <c r="H84" s="25">
        <v>38.0</v>
      </c>
      <c r="I84" s="21">
        <f t="shared" si="7"/>
        <v>2394</v>
      </c>
      <c r="J84" s="16">
        <f t="shared" si="1"/>
        <v>3591</v>
      </c>
      <c r="K84" s="16">
        <f t="shared" si="2"/>
        <v>3112.2</v>
      </c>
      <c r="L84" s="16">
        <f t="shared" si="3"/>
        <v>3112.2</v>
      </c>
      <c r="M84" s="16">
        <f t="shared" si="4"/>
        <v>2872.8</v>
      </c>
      <c r="N84" s="16">
        <f t="shared" si="5"/>
        <v>2753.1</v>
      </c>
      <c r="O84" s="16">
        <f t="shared" si="6"/>
        <v>2633.4</v>
      </c>
    </row>
    <row r="85">
      <c r="A85" s="11" t="s">
        <v>99</v>
      </c>
      <c r="B85" s="11" t="s">
        <v>20</v>
      </c>
      <c r="C85" s="11" t="s">
        <v>179</v>
      </c>
      <c r="D85" s="11" t="s">
        <v>159</v>
      </c>
      <c r="E85" s="11" t="s">
        <v>212</v>
      </c>
      <c r="F85" s="11" t="s">
        <v>213</v>
      </c>
      <c r="G85" s="22"/>
      <c r="H85" s="25">
        <v>9.5</v>
      </c>
      <c r="I85" s="21">
        <f t="shared" si="7"/>
        <v>598.5</v>
      </c>
      <c r="J85" s="16">
        <f t="shared" si="1"/>
        <v>897.75</v>
      </c>
      <c r="K85" s="16">
        <f t="shared" si="2"/>
        <v>778.05</v>
      </c>
      <c r="L85" s="16">
        <f t="shared" si="3"/>
        <v>778.05</v>
      </c>
      <c r="M85" s="16">
        <f t="shared" si="4"/>
        <v>718.2</v>
      </c>
      <c r="N85" s="16">
        <f t="shared" si="5"/>
        <v>688.275</v>
      </c>
      <c r="O85" s="16">
        <f t="shared" si="6"/>
        <v>658.35</v>
      </c>
    </row>
    <row r="86">
      <c r="A86" s="11" t="s">
        <v>99</v>
      </c>
      <c r="B86" s="11" t="s">
        <v>20</v>
      </c>
      <c r="C86" s="11" t="s">
        <v>179</v>
      </c>
      <c r="D86" s="11" t="s">
        <v>159</v>
      </c>
      <c r="E86" s="11" t="s">
        <v>214</v>
      </c>
      <c r="F86" s="11" t="s">
        <v>215</v>
      </c>
      <c r="G86" s="22"/>
      <c r="H86" s="25">
        <v>16.0</v>
      </c>
      <c r="I86" s="21">
        <f t="shared" si="7"/>
        <v>1008</v>
      </c>
      <c r="J86" s="16">
        <f t="shared" si="1"/>
        <v>1512</v>
      </c>
      <c r="K86" s="16">
        <f t="shared" si="2"/>
        <v>1310.4</v>
      </c>
      <c r="L86" s="16">
        <f t="shared" si="3"/>
        <v>1310.4</v>
      </c>
      <c r="M86" s="16">
        <f t="shared" si="4"/>
        <v>1209.6</v>
      </c>
      <c r="N86" s="16">
        <f t="shared" si="5"/>
        <v>1159.2</v>
      </c>
      <c r="O86" s="16">
        <f t="shared" si="6"/>
        <v>1108.8</v>
      </c>
    </row>
    <row r="87">
      <c r="A87" s="11" t="s">
        <v>99</v>
      </c>
      <c r="B87" s="11" t="s">
        <v>20</v>
      </c>
      <c r="C87" s="11" t="s">
        <v>179</v>
      </c>
      <c r="D87" s="11" t="s">
        <v>159</v>
      </c>
      <c r="E87" s="11" t="s">
        <v>216</v>
      </c>
      <c r="F87" s="11" t="s">
        <v>215</v>
      </c>
      <c r="G87" s="22"/>
      <c r="H87" s="25">
        <v>17.5</v>
      </c>
      <c r="I87" s="21">
        <f t="shared" si="7"/>
        <v>1102.5</v>
      </c>
      <c r="J87" s="16">
        <f t="shared" si="1"/>
        <v>1653.75</v>
      </c>
      <c r="K87" s="16">
        <f t="shared" si="2"/>
        <v>1433.25</v>
      </c>
      <c r="L87" s="16">
        <f t="shared" si="3"/>
        <v>1433.25</v>
      </c>
      <c r="M87" s="16">
        <f t="shared" si="4"/>
        <v>1323</v>
      </c>
      <c r="N87" s="16">
        <f t="shared" si="5"/>
        <v>1267.875</v>
      </c>
      <c r="O87" s="16">
        <f t="shared" si="6"/>
        <v>1212.75</v>
      </c>
    </row>
    <row r="88">
      <c r="A88" s="11" t="s">
        <v>99</v>
      </c>
      <c r="B88" s="11" t="s">
        <v>20</v>
      </c>
      <c r="C88" s="11" t="s">
        <v>179</v>
      </c>
      <c r="D88" s="11" t="s">
        <v>159</v>
      </c>
      <c r="E88" s="11" t="s">
        <v>217</v>
      </c>
      <c r="F88" s="11" t="s">
        <v>218</v>
      </c>
      <c r="G88" s="22"/>
      <c r="H88" s="25">
        <v>11.5</v>
      </c>
      <c r="I88" s="21">
        <f t="shared" si="7"/>
        <v>724.5</v>
      </c>
      <c r="J88" s="16">
        <f t="shared" si="1"/>
        <v>1086.75</v>
      </c>
      <c r="K88" s="16">
        <f t="shared" si="2"/>
        <v>941.85</v>
      </c>
      <c r="L88" s="16">
        <f t="shared" si="3"/>
        <v>941.85</v>
      </c>
      <c r="M88" s="16">
        <f t="shared" si="4"/>
        <v>869.4</v>
      </c>
      <c r="N88" s="16">
        <f t="shared" si="5"/>
        <v>833.175</v>
      </c>
      <c r="O88" s="16">
        <f t="shared" si="6"/>
        <v>796.95</v>
      </c>
    </row>
    <row r="89">
      <c r="A89" s="11" t="s">
        <v>99</v>
      </c>
      <c r="B89" s="11" t="s">
        <v>20</v>
      </c>
      <c r="C89" s="11" t="s">
        <v>179</v>
      </c>
      <c r="D89" s="11" t="s">
        <v>159</v>
      </c>
      <c r="E89" s="11" t="s">
        <v>219</v>
      </c>
      <c r="F89" s="11" t="s">
        <v>220</v>
      </c>
      <c r="G89" s="22"/>
      <c r="H89" s="25">
        <v>96.5</v>
      </c>
      <c r="I89" s="21">
        <f t="shared" si="7"/>
        <v>6079.5</v>
      </c>
      <c r="J89" s="16">
        <f t="shared" si="1"/>
        <v>9119.25</v>
      </c>
      <c r="K89" s="16">
        <f t="shared" si="2"/>
        <v>7903.35</v>
      </c>
      <c r="L89" s="16">
        <f t="shared" si="3"/>
        <v>7903.35</v>
      </c>
      <c r="M89" s="16">
        <f t="shared" si="4"/>
        <v>7295.4</v>
      </c>
      <c r="N89" s="16">
        <f t="shared" si="5"/>
        <v>6991.425</v>
      </c>
      <c r="O89" s="16">
        <f t="shared" si="6"/>
        <v>6687.45</v>
      </c>
    </row>
    <row r="90">
      <c r="A90" s="11" t="s">
        <v>99</v>
      </c>
      <c r="B90" s="11" t="s">
        <v>20</v>
      </c>
      <c r="C90" s="11" t="s">
        <v>179</v>
      </c>
      <c r="D90" s="11" t="s">
        <v>159</v>
      </c>
      <c r="E90" s="11" t="s">
        <v>221</v>
      </c>
      <c r="F90" s="11" t="s">
        <v>222</v>
      </c>
      <c r="G90" s="22"/>
      <c r="H90" s="25">
        <v>124.5</v>
      </c>
      <c r="I90" s="21">
        <f t="shared" si="7"/>
        <v>7843.5</v>
      </c>
      <c r="J90" s="16">
        <f t="shared" si="1"/>
        <v>11765.25</v>
      </c>
      <c r="K90" s="16">
        <f t="shared" si="2"/>
        <v>10196.55</v>
      </c>
      <c r="L90" s="16">
        <f t="shared" si="3"/>
        <v>10196.55</v>
      </c>
      <c r="M90" s="16">
        <f t="shared" si="4"/>
        <v>9412.2</v>
      </c>
      <c r="N90" s="16">
        <f t="shared" si="5"/>
        <v>9020.025</v>
      </c>
      <c r="O90" s="16">
        <f t="shared" si="6"/>
        <v>8627.85</v>
      </c>
    </row>
    <row r="91">
      <c r="A91" s="11" t="s">
        <v>99</v>
      </c>
      <c r="B91" s="11" t="s">
        <v>20</v>
      </c>
      <c r="C91" s="11" t="s">
        <v>179</v>
      </c>
      <c r="D91" s="11" t="s">
        <v>159</v>
      </c>
      <c r="E91" s="11" t="s">
        <v>223</v>
      </c>
      <c r="F91" s="11" t="s">
        <v>224</v>
      </c>
      <c r="G91" s="22"/>
      <c r="H91" s="25">
        <v>150.5</v>
      </c>
      <c r="I91" s="21">
        <f t="shared" si="7"/>
        <v>9481.5</v>
      </c>
      <c r="J91" s="16">
        <f t="shared" si="1"/>
        <v>14222.25</v>
      </c>
      <c r="K91" s="16">
        <f t="shared" si="2"/>
        <v>12325.95</v>
      </c>
      <c r="L91" s="16">
        <f t="shared" si="3"/>
        <v>12325.95</v>
      </c>
      <c r="M91" s="16">
        <f t="shared" si="4"/>
        <v>11377.8</v>
      </c>
      <c r="N91" s="16">
        <f t="shared" si="5"/>
        <v>10903.725</v>
      </c>
      <c r="O91" s="16">
        <f t="shared" si="6"/>
        <v>10429.65</v>
      </c>
    </row>
    <row r="92">
      <c r="A92" s="11" t="s">
        <v>99</v>
      </c>
      <c r="B92" s="11" t="s">
        <v>20</v>
      </c>
      <c r="C92" s="11" t="s">
        <v>179</v>
      </c>
      <c r="D92" s="11" t="s">
        <v>159</v>
      </c>
      <c r="E92" s="11" t="s">
        <v>225</v>
      </c>
      <c r="F92" s="11" t="s">
        <v>226</v>
      </c>
      <c r="G92" s="22"/>
      <c r="H92" s="25">
        <v>167.5</v>
      </c>
      <c r="I92" s="21">
        <f t="shared" si="7"/>
        <v>10552.5</v>
      </c>
      <c r="J92" s="16">
        <f t="shared" si="1"/>
        <v>15828.75</v>
      </c>
      <c r="K92" s="16">
        <f t="shared" si="2"/>
        <v>13718.25</v>
      </c>
      <c r="L92" s="16">
        <f t="shared" si="3"/>
        <v>13718.25</v>
      </c>
      <c r="M92" s="16">
        <f t="shared" si="4"/>
        <v>12663</v>
      </c>
      <c r="N92" s="16">
        <f t="shared" si="5"/>
        <v>12135.375</v>
      </c>
      <c r="O92" s="16">
        <f t="shared" si="6"/>
        <v>11607.75</v>
      </c>
    </row>
    <row r="93">
      <c r="A93" s="11" t="s">
        <v>99</v>
      </c>
      <c r="B93" s="11" t="s">
        <v>20</v>
      </c>
      <c r="C93" s="11" t="s">
        <v>179</v>
      </c>
      <c r="D93" s="11" t="s">
        <v>159</v>
      </c>
      <c r="E93" s="11" t="s">
        <v>227</v>
      </c>
      <c r="F93" s="11" t="s">
        <v>228</v>
      </c>
      <c r="G93" s="22"/>
      <c r="H93" s="25">
        <v>237.0</v>
      </c>
      <c r="I93" s="21">
        <f t="shared" si="7"/>
        <v>14931</v>
      </c>
      <c r="J93" s="16">
        <f t="shared" si="1"/>
        <v>22396.5</v>
      </c>
      <c r="K93" s="16">
        <f t="shared" si="2"/>
        <v>19410.3</v>
      </c>
      <c r="L93" s="16">
        <f t="shared" si="3"/>
        <v>19410.3</v>
      </c>
      <c r="M93" s="16">
        <f t="shared" si="4"/>
        <v>17917.2</v>
      </c>
      <c r="N93" s="16">
        <f t="shared" si="5"/>
        <v>17170.65</v>
      </c>
      <c r="O93" s="16">
        <f t="shared" si="6"/>
        <v>16424.1</v>
      </c>
    </row>
    <row r="94">
      <c r="A94" s="11" t="s">
        <v>99</v>
      </c>
      <c r="B94" s="11" t="s">
        <v>20</v>
      </c>
      <c r="C94" s="11" t="s">
        <v>179</v>
      </c>
      <c r="D94" s="11" t="s">
        <v>159</v>
      </c>
      <c r="E94" s="11" t="s">
        <v>229</v>
      </c>
      <c r="F94" s="11" t="s">
        <v>230</v>
      </c>
      <c r="G94" s="22"/>
      <c r="H94" s="25">
        <v>96.5</v>
      </c>
      <c r="I94" s="21">
        <f t="shared" si="7"/>
        <v>6079.5</v>
      </c>
      <c r="J94" s="16">
        <f t="shared" si="1"/>
        <v>9119.25</v>
      </c>
      <c r="K94" s="16">
        <f t="shared" si="2"/>
        <v>7903.35</v>
      </c>
      <c r="L94" s="16">
        <f t="shared" si="3"/>
        <v>7903.35</v>
      </c>
      <c r="M94" s="16">
        <f t="shared" si="4"/>
        <v>7295.4</v>
      </c>
      <c r="N94" s="16">
        <f t="shared" si="5"/>
        <v>6991.425</v>
      </c>
      <c r="O94" s="16">
        <f t="shared" si="6"/>
        <v>6687.45</v>
      </c>
    </row>
    <row r="95">
      <c r="A95" s="11" t="s">
        <v>99</v>
      </c>
      <c r="B95" s="11" t="s">
        <v>20</v>
      </c>
      <c r="C95" s="11" t="s">
        <v>179</v>
      </c>
      <c r="D95" s="11" t="s">
        <v>159</v>
      </c>
      <c r="E95" s="11" t="s">
        <v>231</v>
      </c>
      <c r="F95" s="11" t="s">
        <v>232</v>
      </c>
      <c r="G95" s="22"/>
      <c r="H95" s="25">
        <v>105.0</v>
      </c>
      <c r="I95" s="21">
        <f t="shared" si="7"/>
        <v>6615</v>
      </c>
      <c r="J95" s="16">
        <f t="shared" si="1"/>
        <v>9922.5</v>
      </c>
      <c r="K95" s="16">
        <f t="shared" si="2"/>
        <v>8599.5</v>
      </c>
      <c r="L95" s="16">
        <f t="shared" si="3"/>
        <v>8599.5</v>
      </c>
      <c r="M95" s="16">
        <f t="shared" si="4"/>
        <v>7938</v>
      </c>
      <c r="N95" s="16">
        <f t="shared" si="5"/>
        <v>7607.25</v>
      </c>
      <c r="O95" s="16">
        <f t="shared" si="6"/>
        <v>7276.5</v>
      </c>
    </row>
    <row r="96">
      <c r="A96" s="11" t="s">
        <v>99</v>
      </c>
      <c r="B96" s="11" t="s">
        <v>20</v>
      </c>
      <c r="C96" s="11" t="s">
        <v>179</v>
      </c>
      <c r="D96" s="11" t="s">
        <v>159</v>
      </c>
      <c r="E96" s="11" t="s">
        <v>233</v>
      </c>
      <c r="F96" s="11" t="s">
        <v>234</v>
      </c>
      <c r="G96" s="22"/>
      <c r="H96" s="25">
        <v>109.5</v>
      </c>
      <c r="I96" s="21">
        <f t="shared" si="7"/>
        <v>6898.5</v>
      </c>
      <c r="J96" s="16">
        <f t="shared" si="1"/>
        <v>10347.75</v>
      </c>
      <c r="K96" s="16">
        <f t="shared" si="2"/>
        <v>8968.05</v>
      </c>
      <c r="L96" s="16">
        <f t="shared" si="3"/>
        <v>8968.05</v>
      </c>
      <c r="M96" s="16">
        <f t="shared" si="4"/>
        <v>8278.2</v>
      </c>
      <c r="N96" s="16">
        <f t="shared" si="5"/>
        <v>7933.275</v>
      </c>
      <c r="O96" s="16">
        <f t="shared" si="6"/>
        <v>7588.35</v>
      </c>
    </row>
    <row r="97">
      <c r="A97" s="11" t="s">
        <v>99</v>
      </c>
      <c r="B97" s="11" t="s">
        <v>20</v>
      </c>
      <c r="C97" s="11" t="s">
        <v>179</v>
      </c>
      <c r="D97" s="11" t="s">
        <v>159</v>
      </c>
      <c r="E97" s="11" t="s">
        <v>235</v>
      </c>
      <c r="F97" s="11" t="s">
        <v>236</v>
      </c>
      <c r="G97" s="22"/>
      <c r="H97" s="25">
        <v>92.0</v>
      </c>
      <c r="I97" s="21">
        <f t="shared" si="7"/>
        <v>5796</v>
      </c>
      <c r="J97" s="16">
        <f t="shared" si="1"/>
        <v>8694</v>
      </c>
      <c r="K97" s="16">
        <f t="shared" si="2"/>
        <v>7534.8</v>
      </c>
      <c r="L97" s="16">
        <f t="shared" si="3"/>
        <v>7534.8</v>
      </c>
      <c r="M97" s="16">
        <f t="shared" si="4"/>
        <v>6955.2</v>
      </c>
      <c r="N97" s="16">
        <f t="shared" si="5"/>
        <v>6665.4</v>
      </c>
      <c r="O97" s="16">
        <f t="shared" si="6"/>
        <v>6375.6</v>
      </c>
    </row>
    <row r="98">
      <c r="A98" s="11" t="s">
        <v>99</v>
      </c>
      <c r="B98" s="11" t="s">
        <v>20</v>
      </c>
      <c r="C98" s="11" t="s">
        <v>179</v>
      </c>
      <c r="D98" s="11" t="s">
        <v>159</v>
      </c>
      <c r="E98" s="11" t="s">
        <v>162</v>
      </c>
      <c r="F98" s="11" t="s">
        <v>163</v>
      </c>
      <c r="G98" s="22"/>
      <c r="H98" s="25">
        <v>124.5</v>
      </c>
      <c r="I98" s="21">
        <f t="shared" si="7"/>
        <v>7843.5</v>
      </c>
      <c r="J98" s="16">
        <f t="shared" si="1"/>
        <v>11765.25</v>
      </c>
      <c r="K98" s="16">
        <f t="shared" si="2"/>
        <v>10196.55</v>
      </c>
      <c r="L98" s="16">
        <f t="shared" si="3"/>
        <v>10196.55</v>
      </c>
      <c r="M98" s="16">
        <f t="shared" si="4"/>
        <v>9412.2</v>
      </c>
      <c r="N98" s="16">
        <f t="shared" si="5"/>
        <v>9020.025</v>
      </c>
      <c r="O98" s="16">
        <f t="shared" si="6"/>
        <v>8627.85</v>
      </c>
    </row>
    <row r="99">
      <c r="A99" s="11" t="s">
        <v>99</v>
      </c>
      <c r="B99" s="11" t="s">
        <v>20</v>
      </c>
      <c r="C99" s="11" t="s">
        <v>179</v>
      </c>
      <c r="D99" s="11" t="s">
        <v>159</v>
      </c>
      <c r="E99" s="11" t="s">
        <v>237</v>
      </c>
      <c r="F99" s="11" t="s">
        <v>238</v>
      </c>
      <c r="G99" s="22"/>
      <c r="H99" s="25">
        <v>355.5</v>
      </c>
      <c r="I99" s="21">
        <f t="shared" si="7"/>
        <v>22396.5</v>
      </c>
      <c r="J99" s="16">
        <f t="shared" si="1"/>
        <v>33594.75</v>
      </c>
      <c r="K99" s="16">
        <f t="shared" si="2"/>
        <v>29115.45</v>
      </c>
      <c r="L99" s="16">
        <f t="shared" si="3"/>
        <v>29115.45</v>
      </c>
      <c r="M99" s="16">
        <f t="shared" si="4"/>
        <v>26875.8</v>
      </c>
      <c r="N99" s="16">
        <f t="shared" si="5"/>
        <v>25755.975</v>
      </c>
      <c r="O99" s="16">
        <f t="shared" si="6"/>
        <v>24636.15</v>
      </c>
    </row>
    <row r="100">
      <c r="A100" s="11" t="s">
        <v>99</v>
      </c>
      <c r="B100" s="11" t="s">
        <v>20</v>
      </c>
      <c r="C100" s="11" t="s">
        <v>179</v>
      </c>
      <c r="D100" s="11" t="s">
        <v>159</v>
      </c>
      <c r="E100" s="11" t="s">
        <v>239</v>
      </c>
      <c r="F100" s="11" t="s">
        <v>240</v>
      </c>
      <c r="G100" s="22"/>
      <c r="H100" s="25">
        <v>445.0</v>
      </c>
      <c r="I100" s="21">
        <f t="shared" si="7"/>
        <v>28035</v>
      </c>
      <c r="J100" s="16">
        <f t="shared" si="1"/>
        <v>42052.5</v>
      </c>
      <c r="K100" s="16">
        <f t="shared" si="2"/>
        <v>36445.5</v>
      </c>
      <c r="L100" s="16">
        <f t="shared" si="3"/>
        <v>36445.5</v>
      </c>
      <c r="M100" s="16">
        <f t="shared" si="4"/>
        <v>33642</v>
      </c>
      <c r="N100" s="16">
        <f t="shared" si="5"/>
        <v>32240.25</v>
      </c>
      <c r="O100" s="16">
        <f t="shared" si="6"/>
        <v>30838.5</v>
      </c>
    </row>
    <row r="101">
      <c r="A101" s="11" t="s">
        <v>99</v>
      </c>
      <c r="B101" s="11" t="s">
        <v>20</v>
      </c>
      <c r="C101" s="11" t="s">
        <v>241</v>
      </c>
      <c r="D101" s="11" t="s">
        <v>159</v>
      </c>
      <c r="E101" s="11" t="s">
        <v>242</v>
      </c>
      <c r="F101" s="11" t="s">
        <v>243</v>
      </c>
      <c r="G101" s="22"/>
      <c r="H101" s="25">
        <v>291.0</v>
      </c>
      <c r="I101" s="21">
        <f t="shared" si="7"/>
        <v>18333</v>
      </c>
      <c r="J101" s="16">
        <f t="shared" si="1"/>
        <v>27499.5</v>
      </c>
      <c r="K101" s="16">
        <f t="shared" si="2"/>
        <v>23832.9</v>
      </c>
      <c r="L101" s="16">
        <f t="shared" si="3"/>
        <v>23832.9</v>
      </c>
      <c r="M101" s="16">
        <f t="shared" si="4"/>
        <v>21999.6</v>
      </c>
      <c r="N101" s="16">
        <f t="shared" si="5"/>
        <v>21082.95</v>
      </c>
      <c r="O101" s="16">
        <f t="shared" si="6"/>
        <v>20166.3</v>
      </c>
    </row>
    <row r="102">
      <c r="A102" s="11" t="s">
        <v>99</v>
      </c>
      <c r="B102" s="11" t="s">
        <v>20</v>
      </c>
      <c r="C102" s="11" t="s">
        <v>241</v>
      </c>
      <c r="D102" s="11" t="s">
        <v>159</v>
      </c>
      <c r="E102" s="11" t="s">
        <v>244</v>
      </c>
      <c r="F102" s="11" t="s">
        <v>245</v>
      </c>
      <c r="G102" s="22"/>
      <c r="H102" s="25">
        <v>197.0</v>
      </c>
      <c r="I102" s="21">
        <f t="shared" si="7"/>
        <v>12411</v>
      </c>
      <c r="J102" s="16">
        <f t="shared" si="1"/>
        <v>18616.5</v>
      </c>
      <c r="K102" s="16">
        <f t="shared" si="2"/>
        <v>16134.3</v>
      </c>
      <c r="L102" s="16">
        <f t="shared" si="3"/>
        <v>16134.3</v>
      </c>
      <c r="M102" s="16">
        <f t="shared" si="4"/>
        <v>14893.2</v>
      </c>
      <c r="N102" s="16">
        <f t="shared" si="5"/>
        <v>14272.65</v>
      </c>
      <c r="O102" s="16">
        <f t="shared" si="6"/>
        <v>13652.1</v>
      </c>
    </row>
    <row r="103">
      <c r="A103" s="11" t="s">
        <v>99</v>
      </c>
      <c r="B103" s="11" t="s">
        <v>20</v>
      </c>
      <c r="C103" s="11" t="s">
        <v>241</v>
      </c>
      <c r="D103" s="11" t="s">
        <v>159</v>
      </c>
      <c r="E103" s="11" t="s">
        <v>246</v>
      </c>
      <c r="F103" s="11" t="s">
        <v>247</v>
      </c>
      <c r="G103" s="22"/>
      <c r="H103" s="25">
        <v>76.0</v>
      </c>
      <c r="I103" s="21">
        <f t="shared" si="7"/>
        <v>4788</v>
      </c>
      <c r="J103" s="16">
        <f t="shared" si="1"/>
        <v>7182</v>
      </c>
      <c r="K103" s="16">
        <f t="shared" si="2"/>
        <v>6224.4</v>
      </c>
      <c r="L103" s="16">
        <f t="shared" si="3"/>
        <v>6224.4</v>
      </c>
      <c r="M103" s="16">
        <f t="shared" si="4"/>
        <v>5745.6</v>
      </c>
      <c r="N103" s="16">
        <f t="shared" si="5"/>
        <v>5506.2</v>
      </c>
      <c r="O103" s="16">
        <f t="shared" si="6"/>
        <v>5266.8</v>
      </c>
    </row>
    <row r="104">
      <c r="A104" s="11" t="s">
        <v>99</v>
      </c>
      <c r="B104" s="11" t="s">
        <v>20</v>
      </c>
      <c r="C104" s="11" t="s">
        <v>241</v>
      </c>
      <c r="D104" s="11" t="s">
        <v>159</v>
      </c>
      <c r="E104" s="11" t="s">
        <v>248</v>
      </c>
      <c r="F104" s="11" t="s">
        <v>249</v>
      </c>
      <c r="G104" s="22"/>
      <c r="H104" s="25">
        <v>3.0</v>
      </c>
      <c r="I104" s="21">
        <f t="shared" si="7"/>
        <v>189</v>
      </c>
      <c r="J104" s="16">
        <f t="shared" si="1"/>
        <v>283.5</v>
      </c>
      <c r="K104" s="16">
        <f t="shared" si="2"/>
        <v>245.7</v>
      </c>
      <c r="L104" s="16">
        <f t="shared" si="3"/>
        <v>245.7</v>
      </c>
      <c r="M104" s="16">
        <f t="shared" si="4"/>
        <v>226.8</v>
      </c>
      <c r="N104" s="16">
        <f t="shared" si="5"/>
        <v>217.35</v>
      </c>
      <c r="O104" s="16">
        <f t="shared" si="6"/>
        <v>207.9</v>
      </c>
    </row>
    <row r="105">
      <c r="A105" s="11" t="s">
        <v>99</v>
      </c>
      <c r="B105" s="11" t="s">
        <v>20</v>
      </c>
      <c r="C105" s="11" t="s">
        <v>241</v>
      </c>
      <c r="D105" s="11" t="s">
        <v>159</v>
      </c>
      <c r="E105" s="11" t="s">
        <v>250</v>
      </c>
      <c r="F105" s="11" t="s">
        <v>251</v>
      </c>
      <c r="G105" s="22"/>
      <c r="H105" s="25">
        <v>11.5</v>
      </c>
      <c r="I105" s="21">
        <f t="shared" si="7"/>
        <v>724.5</v>
      </c>
      <c r="J105" s="16">
        <f t="shared" si="1"/>
        <v>1086.75</v>
      </c>
      <c r="K105" s="16">
        <f t="shared" si="2"/>
        <v>941.85</v>
      </c>
      <c r="L105" s="16">
        <f t="shared" si="3"/>
        <v>941.85</v>
      </c>
      <c r="M105" s="16">
        <f t="shared" si="4"/>
        <v>869.4</v>
      </c>
      <c r="N105" s="16">
        <f t="shared" si="5"/>
        <v>833.175</v>
      </c>
      <c r="O105" s="16">
        <f t="shared" si="6"/>
        <v>796.95</v>
      </c>
    </row>
    <row r="106">
      <c r="A106" s="11" t="s">
        <v>99</v>
      </c>
      <c r="B106" s="11" t="s">
        <v>20</v>
      </c>
      <c r="C106" s="11" t="s">
        <v>241</v>
      </c>
      <c r="D106" s="11" t="s">
        <v>159</v>
      </c>
      <c r="E106" s="11" t="s">
        <v>252</v>
      </c>
      <c r="F106" s="11" t="s">
        <v>253</v>
      </c>
      <c r="G106" s="22"/>
      <c r="H106" s="25">
        <v>243.0</v>
      </c>
      <c r="I106" s="21">
        <f t="shared" si="7"/>
        <v>15309</v>
      </c>
      <c r="J106" s="16">
        <f t="shared" si="1"/>
        <v>22963.5</v>
      </c>
      <c r="K106" s="16">
        <f t="shared" si="2"/>
        <v>19901.7</v>
      </c>
      <c r="L106" s="16">
        <f t="shared" si="3"/>
        <v>19901.7</v>
      </c>
      <c r="M106" s="16">
        <f t="shared" si="4"/>
        <v>18370.8</v>
      </c>
      <c r="N106" s="16">
        <f t="shared" si="5"/>
        <v>17605.35</v>
      </c>
      <c r="O106" s="16">
        <f t="shared" si="6"/>
        <v>16839.9</v>
      </c>
    </row>
    <row r="107">
      <c r="A107" s="11" t="s">
        <v>99</v>
      </c>
      <c r="B107" s="11" t="s">
        <v>20</v>
      </c>
      <c r="C107" s="11" t="s">
        <v>241</v>
      </c>
      <c r="D107" s="11" t="s">
        <v>159</v>
      </c>
      <c r="E107" s="11" t="s">
        <v>254</v>
      </c>
      <c r="F107" s="11" t="s">
        <v>255</v>
      </c>
      <c r="G107" s="22"/>
      <c r="H107" s="25">
        <v>186.0</v>
      </c>
      <c r="I107" s="21">
        <f t="shared" si="7"/>
        <v>11718</v>
      </c>
      <c r="J107" s="16">
        <f t="shared" si="1"/>
        <v>17577</v>
      </c>
      <c r="K107" s="16">
        <f t="shared" si="2"/>
        <v>15233.4</v>
      </c>
      <c r="L107" s="16">
        <f t="shared" si="3"/>
        <v>15233.4</v>
      </c>
      <c r="M107" s="16">
        <f t="shared" si="4"/>
        <v>14061.6</v>
      </c>
      <c r="N107" s="16">
        <f t="shared" si="5"/>
        <v>13475.7</v>
      </c>
      <c r="O107" s="16">
        <f t="shared" si="6"/>
        <v>12889.8</v>
      </c>
    </row>
    <row r="108">
      <c r="A108" s="11" t="s">
        <v>99</v>
      </c>
      <c r="B108" s="11" t="s">
        <v>20</v>
      </c>
      <c r="C108" s="11" t="s">
        <v>241</v>
      </c>
      <c r="D108" s="11" t="s">
        <v>159</v>
      </c>
      <c r="E108" s="11" t="s">
        <v>256</v>
      </c>
      <c r="F108" s="11" t="s">
        <v>257</v>
      </c>
      <c r="G108" s="22"/>
      <c r="H108" s="25">
        <v>166.0</v>
      </c>
      <c r="I108" s="21">
        <f t="shared" si="7"/>
        <v>10458</v>
      </c>
      <c r="J108" s="16">
        <f t="shared" si="1"/>
        <v>15687</v>
      </c>
      <c r="K108" s="16">
        <f t="shared" si="2"/>
        <v>13595.4</v>
      </c>
      <c r="L108" s="16">
        <f t="shared" si="3"/>
        <v>13595.4</v>
      </c>
      <c r="M108" s="16">
        <f t="shared" si="4"/>
        <v>12549.6</v>
      </c>
      <c r="N108" s="16">
        <f t="shared" si="5"/>
        <v>12026.7</v>
      </c>
      <c r="O108" s="16">
        <f t="shared" si="6"/>
        <v>11503.8</v>
      </c>
    </row>
    <row r="109">
      <c r="A109" s="11" t="s">
        <v>99</v>
      </c>
      <c r="B109" s="11" t="s">
        <v>20</v>
      </c>
      <c r="C109" s="11" t="s">
        <v>241</v>
      </c>
      <c r="D109" s="11" t="s">
        <v>159</v>
      </c>
      <c r="E109" s="11" t="s">
        <v>258</v>
      </c>
      <c r="F109" s="11" t="s">
        <v>259</v>
      </c>
      <c r="G109" s="22"/>
      <c r="H109" s="25">
        <v>55.5</v>
      </c>
      <c r="I109" s="21">
        <f t="shared" si="7"/>
        <v>3496.5</v>
      </c>
      <c r="J109" s="16">
        <f t="shared" si="1"/>
        <v>5244.75</v>
      </c>
      <c r="K109" s="16">
        <f t="shared" si="2"/>
        <v>4545.45</v>
      </c>
      <c r="L109" s="16">
        <f t="shared" si="3"/>
        <v>4545.45</v>
      </c>
      <c r="M109" s="16">
        <f t="shared" si="4"/>
        <v>4195.8</v>
      </c>
      <c r="N109" s="16">
        <f t="shared" si="5"/>
        <v>4020.975</v>
      </c>
      <c r="O109" s="16">
        <f t="shared" si="6"/>
        <v>3846.15</v>
      </c>
    </row>
    <row r="110">
      <c r="A110" s="11" t="s">
        <v>99</v>
      </c>
      <c r="B110" s="11" t="s">
        <v>20</v>
      </c>
      <c r="C110" s="11" t="s">
        <v>260</v>
      </c>
      <c r="D110" s="11" t="s">
        <v>159</v>
      </c>
      <c r="E110" s="11" t="s">
        <v>261</v>
      </c>
      <c r="F110" s="11" t="s">
        <v>262</v>
      </c>
      <c r="G110" s="22"/>
      <c r="H110" s="25">
        <v>291.0</v>
      </c>
      <c r="I110" s="21">
        <f t="shared" si="7"/>
        <v>18333</v>
      </c>
      <c r="J110" s="16">
        <f t="shared" si="1"/>
        <v>27499.5</v>
      </c>
      <c r="K110" s="16">
        <f t="shared" si="2"/>
        <v>23832.9</v>
      </c>
      <c r="L110" s="16">
        <f t="shared" si="3"/>
        <v>23832.9</v>
      </c>
      <c r="M110" s="16">
        <f t="shared" si="4"/>
        <v>21999.6</v>
      </c>
      <c r="N110" s="16">
        <f t="shared" si="5"/>
        <v>21082.95</v>
      </c>
      <c r="O110" s="16">
        <f t="shared" si="6"/>
        <v>20166.3</v>
      </c>
    </row>
    <row r="111">
      <c r="A111" s="11" t="s">
        <v>99</v>
      </c>
      <c r="B111" s="11" t="s">
        <v>20</v>
      </c>
      <c r="C111" s="11" t="s">
        <v>260</v>
      </c>
      <c r="D111" s="11" t="s">
        <v>159</v>
      </c>
      <c r="E111" s="11" t="s">
        <v>263</v>
      </c>
      <c r="F111" s="11" t="s">
        <v>264</v>
      </c>
      <c r="G111" s="22"/>
      <c r="H111" s="25">
        <v>197.0</v>
      </c>
      <c r="I111" s="21">
        <f t="shared" si="7"/>
        <v>12411</v>
      </c>
      <c r="J111" s="16">
        <f t="shared" si="1"/>
        <v>18616.5</v>
      </c>
      <c r="K111" s="16">
        <f t="shared" si="2"/>
        <v>16134.3</v>
      </c>
      <c r="L111" s="16">
        <f t="shared" si="3"/>
        <v>16134.3</v>
      </c>
      <c r="M111" s="16">
        <f t="shared" si="4"/>
        <v>14893.2</v>
      </c>
      <c r="N111" s="16">
        <f t="shared" si="5"/>
        <v>14272.65</v>
      </c>
      <c r="O111" s="16">
        <f t="shared" si="6"/>
        <v>13652.1</v>
      </c>
    </row>
    <row r="112">
      <c r="A112" s="11" t="s">
        <v>99</v>
      </c>
      <c r="B112" s="11" t="s">
        <v>20</v>
      </c>
      <c r="C112" s="11" t="s">
        <v>260</v>
      </c>
      <c r="D112" s="11" t="s">
        <v>159</v>
      </c>
      <c r="E112" s="11" t="s">
        <v>265</v>
      </c>
      <c r="F112" s="11" t="s">
        <v>266</v>
      </c>
      <c r="G112" s="22"/>
      <c r="H112" s="25">
        <v>76.0</v>
      </c>
      <c r="I112" s="21">
        <f t="shared" si="7"/>
        <v>4788</v>
      </c>
      <c r="J112" s="16">
        <f t="shared" si="1"/>
        <v>7182</v>
      </c>
      <c r="K112" s="16">
        <f t="shared" si="2"/>
        <v>6224.4</v>
      </c>
      <c r="L112" s="16">
        <f t="shared" si="3"/>
        <v>6224.4</v>
      </c>
      <c r="M112" s="16">
        <f t="shared" si="4"/>
        <v>5745.6</v>
      </c>
      <c r="N112" s="16">
        <f t="shared" si="5"/>
        <v>5506.2</v>
      </c>
      <c r="O112" s="16">
        <f t="shared" si="6"/>
        <v>5266.8</v>
      </c>
    </row>
    <row r="113">
      <c r="A113" s="11" t="s">
        <v>99</v>
      </c>
      <c r="B113" s="11" t="s">
        <v>20</v>
      </c>
      <c r="C113" s="11" t="s">
        <v>260</v>
      </c>
      <c r="D113" s="11" t="s">
        <v>159</v>
      </c>
      <c r="E113" s="11" t="s">
        <v>267</v>
      </c>
      <c r="F113" s="11" t="s">
        <v>268</v>
      </c>
      <c r="G113" s="22"/>
      <c r="H113" s="25">
        <v>3.0</v>
      </c>
      <c r="I113" s="21">
        <f t="shared" si="7"/>
        <v>189</v>
      </c>
      <c r="J113" s="16">
        <f t="shared" si="1"/>
        <v>283.5</v>
      </c>
      <c r="K113" s="16">
        <f t="shared" si="2"/>
        <v>245.7</v>
      </c>
      <c r="L113" s="16">
        <f t="shared" si="3"/>
        <v>245.7</v>
      </c>
      <c r="M113" s="16">
        <f t="shared" si="4"/>
        <v>226.8</v>
      </c>
      <c r="N113" s="16">
        <f t="shared" si="5"/>
        <v>217.35</v>
      </c>
      <c r="O113" s="16">
        <f t="shared" si="6"/>
        <v>207.9</v>
      </c>
    </row>
    <row r="114">
      <c r="A114" s="11" t="s">
        <v>99</v>
      </c>
      <c r="B114" s="11" t="s">
        <v>20</v>
      </c>
      <c r="C114" s="11" t="s">
        <v>260</v>
      </c>
      <c r="D114" s="11" t="s">
        <v>159</v>
      </c>
      <c r="E114" s="11" t="s">
        <v>269</v>
      </c>
      <c r="F114" s="11" t="s">
        <v>270</v>
      </c>
      <c r="G114" s="22"/>
      <c r="H114" s="25">
        <v>11.5</v>
      </c>
      <c r="I114" s="21">
        <f t="shared" si="7"/>
        <v>724.5</v>
      </c>
      <c r="J114" s="16">
        <f t="shared" si="1"/>
        <v>1086.75</v>
      </c>
      <c r="K114" s="16">
        <f t="shared" si="2"/>
        <v>941.85</v>
      </c>
      <c r="L114" s="16">
        <f t="shared" si="3"/>
        <v>941.85</v>
      </c>
      <c r="M114" s="16">
        <f t="shared" si="4"/>
        <v>869.4</v>
      </c>
      <c r="N114" s="16">
        <f t="shared" si="5"/>
        <v>833.175</v>
      </c>
      <c r="O114" s="16">
        <f t="shared" si="6"/>
        <v>796.95</v>
      </c>
    </row>
    <row r="115">
      <c r="A115" s="11" t="s">
        <v>99</v>
      </c>
      <c r="B115" s="11" t="s">
        <v>20</v>
      </c>
      <c r="C115" s="11" t="s">
        <v>260</v>
      </c>
      <c r="D115" s="11" t="s">
        <v>159</v>
      </c>
      <c r="E115" s="11" t="s">
        <v>256</v>
      </c>
      <c r="F115" s="11" t="s">
        <v>257</v>
      </c>
      <c r="G115" s="22"/>
      <c r="H115" s="25">
        <v>166.0</v>
      </c>
      <c r="I115" s="21">
        <f t="shared" si="7"/>
        <v>10458</v>
      </c>
      <c r="J115" s="16">
        <f t="shared" si="1"/>
        <v>15687</v>
      </c>
      <c r="K115" s="16">
        <f t="shared" si="2"/>
        <v>13595.4</v>
      </c>
      <c r="L115" s="16">
        <f t="shared" si="3"/>
        <v>13595.4</v>
      </c>
      <c r="M115" s="16">
        <f t="shared" si="4"/>
        <v>12549.6</v>
      </c>
      <c r="N115" s="16">
        <f t="shared" si="5"/>
        <v>12026.7</v>
      </c>
      <c r="O115" s="16">
        <f t="shared" si="6"/>
        <v>11503.8</v>
      </c>
    </row>
    <row r="116">
      <c r="A116" s="11" t="s">
        <v>99</v>
      </c>
      <c r="B116" s="11" t="s">
        <v>20</v>
      </c>
      <c r="C116" s="11" t="s">
        <v>260</v>
      </c>
      <c r="D116" s="11" t="s">
        <v>159</v>
      </c>
      <c r="E116" s="11" t="s">
        <v>258</v>
      </c>
      <c r="F116" s="11" t="s">
        <v>259</v>
      </c>
      <c r="G116" s="22"/>
      <c r="H116" s="26">
        <v>55.5</v>
      </c>
      <c r="I116" s="21">
        <f t="shared" si="7"/>
        <v>3496.5</v>
      </c>
      <c r="J116" s="16">
        <f t="shared" si="1"/>
        <v>5244.75</v>
      </c>
      <c r="K116" s="16">
        <f t="shared" si="2"/>
        <v>4545.45</v>
      </c>
      <c r="L116" s="16">
        <f t="shared" si="3"/>
        <v>4545.45</v>
      </c>
      <c r="M116" s="16">
        <f t="shared" si="4"/>
        <v>4195.8</v>
      </c>
      <c r="N116" s="16">
        <f t="shared" si="5"/>
        <v>4020.975</v>
      </c>
      <c r="O116" s="16">
        <f t="shared" si="6"/>
        <v>3846.15</v>
      </c>
    </row>
    <row r="117">
      <c r="A117" s="11" t="s">
        <v>99</v>
      </c>
      <c r="B117" s="11" t="s">
        <v>20</v>
      </c>
      <c r="C117" s="11" t="s">
        <v>271</v>
      </c>
      <c r="D117" s="11" t="s">
        <v>159</v>
      </c>
      <c r="E117" s="11" t="s">
        <v>272</v>
      </c>
      <c r="F117" s="11" t="s">
        <v>273</v>
      </c>
      <c r="G117" s="22"/>
      <c r="H117" s="26">
        <v>291.0</v>
      </c>
      <c r="I117" s="21">
        <f t="shared" si="7"/>
        <v>18333</v>
      </c>
      <c r="J117" s="16">
        <f t="shared" si="1"/>
        <v>27499.5</v>
      </c>
      <c r="K117" s="16">
        <f t="shared" si="2"/>
        <v>23832.9</v>
      </c>
      <c r="L117" s="16">
        <f t="shared" si="3"/>
        <v>23832.9</v>
      </c>
      <c r="M117" s="16">
        <f t="shared" si="4"/>
        <v>21999.6</v>
      </c>
      <c r="N117" s="16">
        <f t="shared" si="5"/>
        <v>21082.95</v>
      </c>
      <c r="O117" s="16">
        <f t="shared" si="6"/>
        <v>20166.3</v>
      </c>
    </row>
    <row r="118">
      <c r="A118" s="11" t="s">
        <v>99</v>
      </c>
      <c r="B118" s="11" t="s">
        <v>20</v>
      </c>
      <c r="C118" s="11" t="s">
        <v>271</v>
      </c>
      <c r="D118" s="11" t="s">
        <v>159</v>
      </c>
      <c r="E118" s="11" t="s">
        <v>274</v>
      </c>
      <c r="F118" s="11" t="s">
        <v>275</v>
      </c>
      <c r="G118" s="22"/>
      <c r="H118" s="26">
        <v>173.0</v>
      </c>
      <c r="I118" s="21">
        <f t="shared" si="7"/>
        <v>10899</v>
      </c>
      <c r="J118" s="16">
        <f t="shared" si="1"/>
        <v>16348.5</v>
      </c>
      <c r="K118" s="16">
        <f t="shared" si="2"/>
        <v>14168.7</v>
      </c>
      <c r="L118" s="16">
        <f t="shared" si="3"/>
        <v>14168.7</v>
      </c>
      <c r="M118" s="16">
        <f t="shared" si="4"/>
        <v>13078.8</v>
      </c>
      <c r="N118" s="16">
        <f t="shared" si="5"/>
        <v>12533.85</v>
      </c>
      <c r="O118" s="16">
        <f t="shared" si="6"/>
        <v>11988.9</v>
      </c>
    </row>
    <row r="119">
      <c r="A119" s="11" t="s">
        <v>99</v>
      </c>
      <c r="B119" s="11" t="s">
        <v>20</v>
      </c>
      <c r="C119" s="11" t="s">
        <v>271</v>
      </c>
      <c r="D119" s="11" t="s">
        <v>159</v>
      </c>
      <c r="E119" s="11" t="s">
        <v>276</v>
      </c>
      <c r="F119" s="11" t="s">
        <v>277</v>
      </c>
      <c r="G119" s="22"/>
      <c r="H119" s="26">
        <v>204.5</v>
      </c>
      <c r="I119" s="21">
        <f t="shared" si="7"/>
        <v>12883.5</v>
      </c>
      <c r="J119" s="16">
        <f t="shared" si="1"/>
        <v>19325.25</v>
      </c>
      <c r="K119" s="16">
        <f t="shared" si="2"/>
        <v>16748.55</v>
      </c>
      <c r="L119" s="16">
        <f t="shared" si="3"/>
        <v>16748.55</v>
      </c>
      <c r="M119" s="16">
        <f t="shared" si="4"/>
        <v>15460.2</v>
      </c>
      <c r="N119" s="16">
        <f t="shared" si="5"/>
        <v>14816.025</v>
      </c>
      <c r="O119" s="16">
        <f t="shared" si="6"/>
        <v>14171.85</v>
      </c>
    </row>
    <row r="120">
      <c r="A120" s="11" t="s">
        <v>99</v>
      </c>
      <c r="B120" s="11" t="s">
        <v>20</v>
      </c>
      <c r="C120" s="11" t="s">
        <v>271</v>
      </c>
      <c r="D120" s="11" t="s">
        <v>159</v>
      </c>
      <c r="E120" s="11" t="s">
        <v>278</v>
      </c>
      <c r="F120" s="11" t="s">
        <v>279</v>
      </c>
      <c r="G120" s="22"/>
      <c r="H120" s="26">
        <v>206.0</v>
      </c>
      <c r="I120" s="21">
        <f t="shared" si="7"/>
        <v>12978</v>
      </c>
      <c r="J120" s="16">
        <f t="shared" si="1"/>
        <v>19467</v>
      </c>
      <c r="K120" s="16">
        <f t="shared" si="2"/>
        <v>16871.4</v>
      </c>
      <c r="L120" s="16">
        <f t="shared" si="3"/>
        <v>16871.4</v>
      </c>
      <c r="M120" s="16">
        <f t="shared" si="4"/>
        <v>15573.6</v>
      </c>
      <c r="N120" s="16">
        <f t="shared" si="5"/>
        <v>14924.7</v>
      </c>
      <c r="O120" s="16">
        <f t="shared" si="6"/>
        <v>14275.8</v>
      </c>
    </row>
    <row r="121">
      <c r="A121" s="11" t="s">
        <v>99</v>
      </c>
      <c r="B121" s="11" t="s">
        <v>20</v>
      </c>
      <c r="C121" s="11" t="s">
        <v>271</v>
      </c>
      <c r="D121" s="11" t="s">
        <v>159</v>
      </c>
      <c r="E121" s="11" t="s">
        <v>280</v>
      </c>
      <c r="F121" s="11" t="s">
        <v>281</v>
      </c>
      <c r="G121" s="22"/>
      <c r="H121" s="26">
        <v>217.0</v>
      </c>
      <c r="I121" s="21">
        <f t="shared" si="7"/>
        <v>13671</v>
      </c>
      <c r="J121" s="16">
        <f t="shared" si="1"/>
        <v>20506.5</v>
      </c>
      <c r="K121" s="16">
        <f t="shared" si="2"/>
        <v>17772.3</v>
      </c>
      <c r="L121" s="16">
        <f t="shared" si="3"/>
        <v>17772.3</v>
      </c>
      <c r="M121" s="16">
        <f t="shared" si="4"/>
        <v>16405.2</v>
      </c>
      <c r="N121" s="16">
        <f t="shared" si="5"/>
        <v>15721.65</v>
      </c>
      <c r="O121" s="16">
        <f t="shared" si="6"/>
        <v>15038.1</v>
      </c>
    </row>
    <row r="122">
      <c r="A122" s="11" t="s">
        <v>99</v>
      </c>
      <c r="B122" s="11" t="s">
        <v>20</v>
      </c>
      <c r="C122" s="11" t="s">
        <v>271</v>
      </c>
      <c r="D122" s="11" t="s">
        <v>159</v>
      </c>
      <c r="E122" s="11" t="s">
        <v>282</v>
      </c>
      <c r="F122" s="11" t="s">
        <v>283</v>
      </c>
      <c r="G122" s="22"/>
      <c r="H122" s="26">
        <v>119.0</v>
      </c>
      <c r="I122" s="21">
        <f t="shared" si="7"/>
        <v>7497</v>
      </c>
      <c r="J122" s="16">
        <f t="shared" si="1"/>
        <v>11245.5</v>
      </c>
      <c r="K122" s="16">
        <f t="shared" si="2"/>
        <v>9746.1</v>
      </c>
      <c r="L122" s="16">
        <f t="shared" si="3"/>
        <v>9746.1</v>
      </c>
      <c r="M122" s="16">
        <f t="shared" si="4"/>
        <v>8996.4</v>
      </c>
      <c r="N122" s="16">
        <f t="shared" si="5"/>
        <v>8621.55</v>
      </c>
      <c r="O122" s="16">
        <f t="shared" si="6"/>
        <v>8246.7</v>
      </c>
    </row>
    <row r="123">
      <c r="A123" s="11" t="s">
        <v>99</v>
      </c>
      <c r="B123" s="11" t="s">
        <v>20</v>
      </c>
      <c r="C123" s="11" t="s">
        <v>271</v>
      </c>
      <c r="D123" s="11" t="s">
        <v>159</v>
      </c>
      <c r="E123" s="11" t="s">
        <v>284</v>
      </c>
      <c r="F123" s="11" t="s">
        <v>285</v>
      </c>
      <c r="G123" s="22"/>
      <c r="H123" s="26">
        <v>313.5</v>
      </c>
      <c r="I123" s="21">
        <f t="shared" si="7"/>
        <v>19750.5</v>
      </c>
      <c r="J123" s="16">
        <f t="shared" si="1"/>
        <v>29625.75</v>
      </c>
      <c r="K123" s="16">
        <f t="shared" si="2"/>
        <v>25675.65</v>
      </c>
      <c r="L123" s="16">
        <f t="shared" si="3"/>
        <v>25675.65</v>
      </c>
      <c r="M123" s="16">
        <f t="shared" si="4"/>
        <v>23700.6</v>
      </c>
      <c r="N123" s="16">
        <f t="shared" si="5"/>
        <v>22713.075</v>
      </c>
      <c r="O123" s="16">
        <f t="shared" si="6"/>
        <v>21725.55</v>
      </c>
    </row>
    <row r="124">
      <c r="A124" s="11" t="s">
        <v>99</v>
      </c>
      <c r="B124" s="11" t="s">
        <v>20</v>
      </c>
      <c r="C124" s="11" t="s">
        <v>271</v>
      </c>
      <c r="D124" s="11" t="s">
        <v>159</v>
      </c>
      <c r="E124" s="11" t="s">
        <v>286</v>
      </c>
      <c r="F124" s="11" t="s">
        <v>287</v>
      </c>
      <c r="G124" s="22"/>
      <c r="H124" s="26">
        <v>49.0</v>
      </c>
      <c r="I124" s="21">
        <f t="shared" si="7"/>
        <v>3087</v>
      </c>
      <c r="J124" s="16">
        <f t="shared" si="1"/>
        <v>4630.5</v>
      </c>
      <c r="K124" s="16">
        <f t="shared" si="2"/>
        <v>4013.1</v>
      </c>
      <c r="L124" s="16">
        <f t="shared" si="3"/>
        <v>4013.1</v>
      </c>
      <c r="M124" s="16">
        <f t="shared" si="4"/>
        <v>3704.4</v>
      </c>
      <c r="N124" s="16">
        <f t="shared" si="5"/>
        <v>3550.05</v>
      </c>
      <c r="O124" s="16">
        <f t="shared" si="6"/>
        <v>3395.7</v>
      </c>
    </row>
    <row r="125">
      <c r="A125" s="11" t="s">
        <v>99</v>
      </c>
      <c r="B125" s="11" t="s">
        <v>20</v>
      </c>
      <c r="C125" s="11" t="s">
        <v>271</v>
      </c>
      <c r="D125" s="11" t="s">
        <v>159</v>
      </c>
      <c r="E125" s="11" t="s">
        <v>288</v>
      </c>
      <c r="F125" s="11" t="s">
        <v>289</v>
      </c>
      <c r="G125" s="22"/>
      <c r="H125" s="26">
        <v>79.0</v>
      </c>
      <c r="I125" s="21">
        <f t="shared" si="7"/>
        <v>4977</v>
      </c>
      <c r="J125" s="16">
        <f t="shared" si="1"/>
        <v>7465.5</v>
      </c>
      <c r="K125" s="16">
        <f t="shared" si="2"/>
        <v>6470.1</v>
      </c>
      <c r="L125" s="16">
        <f t="shared" si="3"/>
        <v>6470.1</v>
      </c>
      <c r="M125" s="16">
        <f t="shared" si="4"/>
        <v>5972.4</v>
      </c>
      <c r="N125" s="16">
        <f t="shared" si="5"/>
        <v>5723.55</v>
      </c>
      <c r="O125" s="16">
        <f t="shared" si="6"/>
        <v>5474.7</v>
      </c>
    </row>
    <row r="126">
      <c r="A126" s="11" t="s">
        <v>99</v>
      </c>
      <c r="B126" s="11" t="s">
        <v>20</v>
      </c>
      <c r="C126" s="11" t="s">
        <v>271</v>
      </c>
      <c r="D126" s="11" t="s">
        <v>159</v>
      </c>
      <c r="E126" s="11" t="s">
        <v>290</v>
      </c>
      <c r="F126" s="11" t="s">
        <v>291</v>
      </c>
      <c r="G126" s="22"/>
      <c r="H126" s="26">
        <v>113.0</v>
      </c>
      <c r="I126" s="21">
        <f t="shared" si="7"/>
        <v>7119</v>
      </c>
      <c r="J126" s="16">
        <f t="shared" si="1"/>
        <v>10678.5</v>
      </c>
      <c r="K126" s="16">
        <f t="shared" si="2"/>
        <v>9254.7</v>
      </c>
      <c r="L126" s="16">
        <f t="shared" si="3"/>
        <v>9254.7</v>
      </c>
      <c r="M126" s="16">
        <f t="shared" si="4"/>
        <v>8542.8</v>
      </c>
      <c r="N126" s="16">
        <f t="shared" si="5"/>
        <v>8186.85</v>
      </c>
      <c r="O126" s="16">
        <f t="shared" si="6"/>
        <v>7830.9</v>
      </c>
    </row>
    <row r="127">
      <c r="A127" s="11" t="s">
        <v>99</v>
      </c>
      <c r="B127" s="11" t="s">
        <v>20</v>
      </c>
      <c r="C127" s="11" t="s">
        <v>271</v>
      </c>
      <c r="D127" s="11" t="s">
        <v>159</v>
      </c>
      <c r="E127" s="11" t="s">
        <v>292</v>
      </c>
      <c r="F127" s="11" t="s">
        <v>293</v>
      </c>
      <c r="G127" s="22"/>
      <c r="H127" s="26">
        <v>129.0</v>
      </c>
      <c r="I127" s="21">
        <f t="shared" si="7"/>
        <v>8127</v>
      </c>
      <c r="J127" s="16">
        <f t="shared" si="1"/>
        <v>12190.5</v>
      </c>
      <c r="K127" s="16">
        <f t="shared" si="2"/>
        <v>10565.1</v>
      </c>
      <c r="L127" s="16">
        <f t="shared" si="3"/>
        <v>10565.1</v>
      </c>
      <c r="M127" s="16">
        <f t="shared" si="4"/>
        <v>9752.4</v>
      </c>
      <c r="N127" s="16">
        <f t="shared" si="5"/>
        <v>9346.05</v>
      </c>
      <c r="O127" s="16">
        <f t="shared" si="6"/>
        <v>8939.7</v>
      </c>
    </row>
    <row r="128">
      <c r="A128" s="11" t="s">
        <v>99</v>
      </c>
      <c r="B128" s="11" t="s">
        <v>20</v>
      </c>
      <c r="C128" s="11" t="s">
        <v>271</v>
      </c>
      <c r="D128" s="11" t="s">
        <v>159</v>
      </c>
      <c r="E128" s="11" t="s">
        <v>294</v>
      </c>
      <c r="F128" s="11" t="s">
        <v>295</v>
      </c>
      <c r="G128" s="22"/>
      <c r="H128" s="26">
        <v>36.5</v>
      </c>
      <c r="I128" s="21">
        <f t="shared" si="7"/>
        <v>2299.5</v>
      </c>
      <c r="J128" s="16">
        <f t="shared" si="1"/>
        <v>3449.25</v>
      </c>
      <c r="K128" s="16">
        <f t="shared" si="2"/>
        <v>2989.35</v>
      </c>
      <c r="L128" s="16">
        <f t="shared" si="3"/>
        <v>2989.35</v>
      </c>
      <c r="M128" s="16">
        <f t="shared" si="4"/>
        <v>2759.4</v>
      </c>
      <c r="N128" s="16">
        <f t="shared" si="5"/>
        <v>2644.425</v>
      </c>
      <c r="O128" s="16">
        <f t="shared" si="6"/>
        <v>2529.45</v>
      </c>
    </row>
    <row r="129">
      <c r="A129" s="11" t="s">
        <v>99</v>
      </c>
      <c r="B129" s="11" t="s">
        <v>20</v>
      </c>
      <c r="C129" s="11" t="s">
        <v>271</v>
      </c>
      <c r="D129" s="11" t="s">
        <v>159</v>
      </c>
      <c r="E129" s="11" t="s">
        <v>296</v>
      </c>
      <c r="F129" s="11" t="s">
        <v>297</v>
      </c>
      <c r="G129" s="22"/>
      <c r="H129" s="26">
        <v>46.0</v>
      </c>
      <c r="I129" s="21">
        <f t="shared" si="7"/>
        <v>2898</v>
      </c>
      <c r="J129" s="16">
        <f t="shared" si="1"/>
        <v>4347</v>
      </c>
      <c r="K129" s="16">
        <f t="shared" si="2"/>
        <v>3767.4</v>
      </c>
      <c r="L129" s="16">
        <f t="shared" si="3"/>
        <v>3767.4</v>
      </c>
      <c r="M129" s="16">
        <f t="shared" si="4"/>
        <v>3477.6</v>
      </c>
      <c r="N129" s="16">
        <f t="shared" si="5"/>
        <v>3332.7</v>
      </c>
      <c r="O129" s="16">
        <f t="shared" si="6"/>
        <v>3187.8</v>
      </c>
    </row>
    <row r="130">
      <c r="A130" s="11" t="s">
        <v>99</v>
      </c>
      <c r="B130" s="11" t="s">
        <v>20</v>
      </c>
      <c r="C130" s="11" t="s">
        <v>271</v>
      </c>
      <c r="D130" s="11" t="s">
        <v>159</v>
      </c>
      <c r="E130" s="11" t="s">
        <v>298</v>
      </c>
      <c r="F130" s="11" t="s">
        <v>299</v>
      </c>
      <c r="G130" s="22"/>
      <c r="H130" s="26">
        <v>49.5</v>
      </c>
      <c r="I130" s="21">
        <f t="shared" si="7"/>
        <v>3118.5</v>
      </c>
      <c r="J130" s="16">
        <f t="shared" si="1"/>
        <v>4677.75</v>
      </c>
      <c r="K130" s="16">
        <f t="shared" si="2"/>
        <v>4054.05</v>
      </c>
      <c r="L130" s="16">
        <f t="shared" si="3"/>
        <v>4054.05</v>
      </c>
      <c r="M130" s="16">
        <f t="shared" si="4"/>
        <v>3742.2</v>
      </c>
      <c r="N130" s="16">
        <f t="shared" si="5"/>
        <v>3586.275</v>
      </c>
      <c r="O130" s="16">
        <f t="shared" si="6"/>
        <v>3430.35</v>
      </c>
    </row>
    <row r="131">
      <c r="A131" s="11" t="s">
        <v>99</v>
      </c>
      <c r="B131" s="11" t="s">
        <v>20</v>
      </c>
      <c r="C131" s="11" t="s">
        <v>271</v>
      </c>
      <c r="D131" s="11" t="s">
        <v>159</v>
      </c>
      <c r="E131" s="11" t="s">
        <v>300</v>
      </c>
      <c r="F131" s="11" t="s">
        <v>301</v>
      </c>
      <c r="G131" s="22"/>
      <c r="H131" s="26">
        <v>195.0</v>
      </c>
      <c r="I131" s="21">
        <f t="shared" si="7"/>
        <v>12285</v>
      </c>
      <c r="J131" s="16">
        <f t="shared" si="1"/>
        <v>18427.5</v>
      </c>
      <c r="K131" s="16">
        <f t="shared" si="2"/>
        <v>15970.5</v>
      </c>
      <c r="L131" s="16">
        <f t="shared" si="3"/>
        <v>15970.5</v>
      </c>
      <c r="M131" s="16">
        <f t="shared" si="4"/>
        <v>14742</v>
      </c>
      <c r="N131" s="16">
        <f t="shared" si="5"/>
        <v>14127.75</v>
      </c>
      <c r="O131" s="16">
        <f t="shared" si="6"/>
        <v>13513.5</v>
      </c>
    </row>
    <row r="132">
      <c r="A132" s="11" t="s">
        <v>99</v>
      </c>
      <c r="B132" s="11" t="s">
        <v>20</v>
      </c>
      <c r="C132" s="11" t="s">
        <v>271</v>
      </c>
      <c r="D132" s="11" t="s">
        <v>159</v>
      </c>
      <c r="E132" s="11" t="s">
        <v>302</v>
      </c>
      <c r="F132" s="11" t="s">
        <v>303</v>
      </c>
      <c r="G132" s="22"/>
      <c r="H132" s="26">
        <v>259.0</v>
      </c>
      <c r="I132" s="21">
        <f t="shared" si="7"/>
        <v>16317</v>
      </c>
      <c r="J132" s="16">
        <f t="shared" si="1"/>
        <v>24475.5</v>
      </c>
      <c r="K132" s="16">
        <f t="shared" si="2"/>
        <v>21212.1</v>
      </c>
      <c r="L132" s="16">
        <f t="shared" si="3"/>
        <v>21212.1</v>
      </c>
      <c r="M132" s="16">
        <f t="shared" si="4"/>
        <v>19580.4</v>
      </c>
      <c r="N132" s="16">
        <f t="shared" si="5"/>
        <v>18764.55</v>
      </c>
      <c r="O132" s="16">
        <f t="shared" si="6"/>
        <v>17948.7</v>
      </c>
    </row>
    <row r="133">
      <c r="A133" s="11" t="s">
        <v>99</v>
      </c>
      <c r="B133" s="11" t="s">
        <v>20</v>
      </c>
      <c r="C133" s="11" t="s">
        <v>271</v>
      </c>
      <c r="D133" s="11" t="s">
        <v>159</v>
      </c>
      <c r="E133" s="11" t="s">
        <v>304</v>
      </c>
      <c r="F133" s="11" t="s">
        <v>305</v>
      </c>
      <c r="G133" s="22"/>
      <c r="H133" s="26">
        <v>369.0</v>
      </c>
      <c r="I133" s="21">
        <f t="shared" si="7"/>
        <v>23247</v>
      </c>
      <c r="J133" s="16">
        <f t="shared" si="1"/>
        <v>34870.5</v>
      </c>
      <c r="K133" s="16">
        <f t="shared" si="2"/>
        <v>30221.1</v>
      </c>
      <c r="L133" s="16">
        <f t="shared" si="3"/>
        <v>30221.1</v>
      </c>
      <c r="M133" s="16">
        <f t="shared" si="4"/>
        <v>27896.4</v>
      </c>
      <c r="N133" s="16">
        <f t="shared" si="5"/>
        <v>26734.05</v>
      </c>
      <c r="O133" s="16">
        <f t="shared" si="6"/>
        <v>25571.7</v>
      </c>
    </row>
    <row r="134">
      <c r="A134" s="11" t="s">
        <v>99</v>
      </c>
      <c r="B134" s="11" t="s">
        <v>20</v>
      </c>
      <c r="C134" s="11" t="s">
        <v>306</v>
      </c>
      <c r="D134" s="11" t="s">
        <v>159</v>
      </c>
      <c r="E134" s="11" t="s">
        <v>307</v>
      </c>
      <c r="F134" s="11" t="s">
        <v>308</v>
      </c>
      <c r="G134" s="22"/>
      <c r="H134" s="26">
        <v>215.0</v>
      </c>
      <c r="I134" s="21">
        <f t="shared" si="7"/>
        <v>13545</v>
      </c>
      <c r="J134" s="16">
        <f t="shared" si="1"/>
        <v>20317.5</v>
      </c>
      <c r="K134" s="16">
        <f t="shared" si="2"/>
        <v>17608.5</v>
      </c>
      <c r="L134" s="16">
        <f t="shared" si="3"/>
        <v>17608.5</v>
      </c>
      <c r="M134" s="16">
        <f t="shared" si="4"/>
        <v>16254</v>
      </c>
      <c r="N134" s="16">
        <f t="shared" si="5"/>
        <v>15576.75</v>
      </c>
      <c r="O134" s="16">
        <f t="shared" si="6"/>
        <v>14899.5</v>
      </c>
    </row>
    <row r="135">
      <c r="A135" s="11" t="s">
        <v>99</v>
      </c>
      <c r="B135" s="11" t="s">
        <v>20</v>
      </c>
      <c r="C135" s="11" t="s">
        <v>306</v>
      </c>
      <c r="D135" s="11" t="s">
        <v>159</v>
      </c>
      <c r="E135" s="11" t="s">
        <v>309</v>
      </c>
      <c r="F135" s="11" t="s">
        <v>310</v>
      </c>
      <c r="G135" s="22"/>
      <c r="H135" s="26">
        <v>131.0</v>
      </c>
      <c r="I135" s="21">
        <f t="shared" si="7"/>
        <v>8253</v>
      </c>
      <c r="J135" s="16">
        <f t="shared" si="1"/>
        <v>12379.5</v>
      </c>
      <c r="K135" s="16">
        <f t="shared" si="2"/>
        <v>10728.9</v>
      </c>
      <c r="L135" s="16">
        <f t="shared" si="3"/>
        <v>10728.9</v>
      </c>
      <c r="M135" s="16">
        <f t="shared" si="4"/>
        <v>9903.6</v>
      </c>
      <c r="N135" s="16">
        <f t="shared" si="5"/>
        <v>9490.95</v>
      </c>
      <c r="O135" s="16">
        <f t="shared" si="6"/>
        <v>9078.3</v>
      </c>
    </row>
    <row r="136">
      <c r="A136" s="11" t="s">
        <v>99</v>
      </c>
      <c r="B136" s="11" t="s">
        <v>20</v>
      </c>
      <c r="C136" s="11" t="s">
        <v>306</v>
      </c>
      <c r="D136" s="11" t="s">
        <v>159</v>
      </c>
      <c r="E136" s="11" t="s">
        <v>311</v>
      </c>
      <c r="F136" s="11" t="s">
        <v>312</v>
      </c>
      <c r="G136" s="22"/>
      <c r="H136" s="26">
        <v>140.5</v>
      </c>
      <c r="I136" s="21">
        <f t="shared" si="7"/>
        <v>8851.5</v>
      </c>
      <c r="J136" s="16">
        <f t="shared" si="1"/>
        <v>13277.25</v>
      </c>
      <c r="K136" s="16">
        <f t="shared" si="2"/>
        <v>11506.95</v>
      </c>
      <c r="L136" s="16">
        <f t="shared" si="3"/>
        <v>11506.95</v>
      </c>
      <c r="M136" s="16">
        <f t="shared" si="4"/>
        <v>10621.8</v>
      </c>
      <c r="N136" s="16">
        <f t="shared" si="5"/>
        <v>10179.225</v>
      </c>
      <c r="O136" s="16">
        <f t="shared" si="6"/>
        <v>9736.65</v>
      </c>
    </row>
    <row r="137">
      <c r="A137" s="11" t="s">
        <v>99</v>
      </c>
      <c r="B137" s="11" t="s">
        <v>20</v>
      </c>
      <c r="C137" s="11" t="s">
        <v>306</v>
      </c>
      <c r="D137" s="11" t="s">
        <v>159</v>
      </c>
      <c r="E137" s="11" t="s">
        <v>313</v>
      </c>
      <c r="F137" s="11" t="s">
        <v>279</v>
      </c>
      <c r="G137" s="22"/>
      <c r="H137" s="26">
        <v>144.0</v>
      </c>
      <c r="I137" s="21">
        <f t="shared" si="7"/>
        <v>9072</v>
      </c>
      <c r="J137" s="16">
        <f t="shared" si="1"/>
        <v>13608</v>
      </c>
      <c r="K137" s="16">
        <f t="shared" si="2"/>
        <v>11793.6</v>
      </c>
      <c r="L137" s="16">
        <f t="shared" si="3"/>
        <v>11793.6</v>
      </c>
      <c r="M137" s="16">
        <f t="shared" si="4"/>
        <v>10886.4</v>
      </c>
      <c r="N137" s="16">
        <f t="shared" si="5"/>
        <v>10432.8</v>
      </c>
      <c r="O137" s="16">
        <f t="shared" si="6"/>
        <v>9979.2</v>
      </c>
    </row>
    <row r="138">
      <c r="A138" s="11" t="s">
        <v>99</v>
      </c>
      <c r="B138" s="11" t="s">
        <v>20</v>
      </c>
      <c r="C138" s="11" t="s">
        <v>306</v>
      </c>
      <c r="D138" s="11" t="s">
        <v>159</v>
      </c>
      <c r="E138" s="11" t="s">
        <v>314</v>
      </c>
      <c r="F138" s="11" t="s">
        <v>281</v>
      </c>
      <c r="G138" s="22"/>
      <c r="H138" s="26">
        <v>147.0</v>
      </c>
      <c r="I138" s="21">
        <f t="shared" si="7"/>
        <v>9261</v>
      </c>
      <c r="J138" s="16">
        <f t="shared" si="1"/>
        <v>13891.5</v>
      </c>
      <c r="K138" s="16">
        <f t="shared" si="2"/>
        <v>12039.3</v>
      </c>
      <c r="L138" s="16">
        <f t="shared" si="3"/>
        <v>12039.3</v>
      </c>
      <c r="M138" s="16">
        <f t="shared" si="4"/>
        <v>11113.2</v>
      </c>
      <c r="N138" s="16">
        <f t="shared" si="5"/>
        <v>10650.15</v>
      </c>
      <c r="O138" s="16">
        <f t="shared" si="6"/>
        <v>10187.1</v>
      </c>
    </row>
    <row r="139">
      <c r="A139" s="11" t="s">
        <v>99</v>
      </c>
      <c r="B139" s="11" t="s">
        <v>20</v>
      </c>
      <c r="C139" s="11" t="s">
        <v>306</v>
      </c>
      <c r="D139" s="11" t="s">
        <v>159</v>
      </c>
      <c r="E139" s="11" t="s">
        <v>315</v>
      </c>
      <c r="F139" s="11" t="s">
        <v>316</v>
      </c>
      <c r="G139" s="22"/>
      <c r="H139" s="26">
        <v>165.0</v>
      </c>
      <c r="I139" s="21">
        <f t="shared" si="7"/>
        <v>10395</v>
      </c>
      <c r="J139" s="16">
        <f t="shared" si="1"/>
        <v>15592.5</v>
      </c>
      <c r="K139" s="16">
        <f t="shared" si="2"/>
        <v>13513.5</v>
      </c>
      <c r="L139" s="16">
        <f t="shared" si="3"/>
        <v>13513.5</v>
      </c>
      <c r="M139" s="16">
        <f t="shared" si="4"/>
        <v>12474</v>
      </c>
      <c r="N139" s="16">
        <f t="shared" si="5"/>
        <v>11954.25</v>
      </c>
      <c r="O139" s="16">
        <f t="shared" si="6"/>
        <v>11434.5</v>
      </c>
    </row>
    <row r="140">
      <c r="A140" s="11" t="s">
        <v>99</v>
      </c>
      <c r="B140" s="11" t="s">
        <v>20</v>
      </c>
      <c r="C140" s="11" t="s">
        <v>306</v>
      </c>
      <c r="D140" s="11" t="s">
        <v>159</v>
      </c>
      <c r="E140" s="11" t="s">
        <v>317</v>
      </c>
      <c r="F140" s="11" t="s">
        <v>318</v>
      </c>
      <c r="G140" s="22"/>
      <c r="H140" s="26">
        <v>64.0</v>
      </c>
      <c r="I140" s="21">
        <f t="shared" si="7"/>
        <v>4032</v>
      </c>
      <c r="J140" s="16">
        <f t="shared" si="1"/>
        <v>6048</v>
      </c>
      <c r="K140" s="16">
        <f t="shared" si="2"/>
        <v>5241.6</v>
      </c>
      <c r="L140" s="16">
        <f t="shared" si="3"/>
        <v>5241.6</v>
      </c>
      <c r="M140" s="16">
        <f t="shared" si="4"/>
        <v>4838.4</v>
      </c>
      <c r="N140" s="16">
        <f t="shared" si="5"/>
        <v>4636.8</v>
      </c>
      <c r="O140" s="16">
        <f t="shared" si="6"/>
        <v>4435.2</v>
      </c>
    </row>
    <row r="141">
      <c r="A141" s="11" t="s">
        <v>99</v>
      </c>
      <c r="B141" s="11" t="s">
        <v>20</v>
      </c>
      <c r="C141" s="11" t="s">
        <v>306</v>
      </c>
      <c r="D141" s="11" t="s">
        <v>159</v>
      </c>
      <c r="E141" s="11" t="s">
        <v>319</v>
      </c>
      <c r="F141" s="11" t="s">
        <v>320</v>
      </c>
      <c r="G141" s="22"/>
      <c r="H141" s="26">
        <v>79.0</v>
      </c>
      <c r="I141" s="21">
        <f t="shared" si="7"/>
        <v>4977</v>
      </c>
      <c r="J141" s="16">
        <f t="shared" si="1"/>
        <v>7465.5</v>
      </c>
      <c r="K141" s="16">
        <f t="shared" si="2"/>
        <v>6470.1</v>
      </c>
      <c r="L141" s="16">
        <f t="shared" si="3"/>
        <v>6470.1</v>
      </c>
      <c r="M141" s="16">
        <f t="shared" si="4"/>
        <v>5972.4</v>
      </c>
      <c r="N141" s="16">
        <f t="shared" si="5"/>
        <v>5723.55</v>
      </c>
      <c r="O141" s="16">
        <f t="shared" si="6"/>
        <v>5474.7</v>
      </c>
    </row>
    <row r="142">
      <c r="A142" s="11" t="s">
        <v>99</v>
      </c>
      <c r="B142" s="11" t="s">
        <v>20</v>
      </c>
      <c r="C142" s="11" t="s">
        <v>306</v>
      </c>
      <c r="D142" s="11" t="s">
        <v>159</v>
      </c>
      <c r="E142" s="11" t="s">
        <v>321</v>
      </c>
      <c r="F142" s="11" t="s">
        <v>322</v>
      </c>
      <c r="G142" s="22"/>
      <c r="H142" s="26">
        <v>274.0</v>
      </c>
      <c r="I142" s="21">
        <f t="shared" si="7"/>
        <v>17262</v>
      </c>
      <c r="J142" s="16">
        <f t="shared" si="1"/>
        <v>25893</v>
      </c>
      <c r="K142" s="16">
        <f t="shared" si="2"/>
        <v>22440.6</v>
      </c>
      <c r="L142" s="16">
        <f t="shared" si="3"/>
        <v>22440.6</v>
      </c>
      <c r="M142" s="16">
        <f t="shared" si="4"/>
        <v>20714.4</v>
      </c>
      <c r="N142" s="16">
        <f t="shared" si="5"/>
        <v>19851.3</v>
      </c>
      <c r="O142" s="16">
        <f t="shared" si="6"/>
        <v>18988.2</v>
      </c>
    </row>
    <row r="143">
      <c r="A143" s="11" t="s">
        <v>99</v>
      </c>
      <c r="B143" s="11" t="s">
        <v>20</v>
      </c>
      <c r="C143" s="11" t="s">
        <v>323</v>
      </c>
      <c r="D143" s="11" t="s">
        <v>159</v>
      </c>
      <c r="E143" s="11" t="s">
        <v>324</v>
      </c>
      <c r="F143" s="11" t="s">
        <v>325</v>
      </c>
      <c r="G143" s="22"/>
      <c r="H143" s="26">
        <v>250.0</v>
      </c>
      <c r="I143" s="21">
        <f t="shared" si="7"/>
        <v>15750</v>
      </c>
      <c r="J143" s="16">
        <f t="shared" si="1"/>
        <v>23625</v>
      </c>
      <c r="K143" s="16">
        <f t="shared" si="2"/>
        <v>20475</v>
      </c>
      <c r="L143" s="16">
        <f t="shared" si="3"/>
        <v>20475</v>
      </c>
      <c r="M143" s="16">
        <f t="shared" si="4"/>
        <v>18900</v>
      </c>
      <c r="N143" s="16">
        <f t="shared" si="5"/>
        <v>18112.5</v>
      </c>
      <c r="O143" s="16">
        <f t="shared" si="6"/>
        <v>17325</v>
      </c>
    </row>
    <row r="144">
      <c r="A144" s="11" t="s">
        <v>99</v>
      </c>
      <c r="B144" s="11" t="s">
        <v>20</v>
      </c>
      <c r="C144" s="11" t="s">
        <v>323</v>
      </c>
      <c r="D144" s="11" t="s">
        <v>159</v>
      </c>
      <c r="E144" s="11" t="s">
        <v>326</v>
      </c>
      <c r="F144" s="11" t="s">
        <v>327</v>
      </c>
      <c r="G144" s="22"/>
      <c r="H144" s="26">
        <v>50.0</v>
      </c>
      <c r="I144" s="21">
        <f t="shared" si="7"/>
        <v>3150</v>
      </c>
      <c r="J144" s="16">
        <f t="shared" si="1"/>
        <v>4725</v>
      </c>
      <c r="K144" s="16">
        <f t="shared" si="2"/>
        <v>4095</v>
      </c>
      <c r="L144" s="16">
        <f t="shared" si="3"/>
        <v>4095</v>
      </c>
      <c r="M144" s="16">
        <f t="shared" si="4"/>
        <v>3780</v>
      </c>
      <c r="N144" s="16">
        <f t="shared" si="5"/>
        <v>3622.5</v>
      </c>
      <c r="O144" s="16">
        <f t="shared" si="6"/>
        <v>3465</v>
      </c>
    </row>
    <row r="145">
      <c r="A145" s="11" t="s">
        <v>99</v>
      </c>
      <c r="B145" s="11" t="s">
        <v>20</v>
      </c>
      <c r="C145" s="11" t="s">
        <v>323</v>
      </c>
      <c r="D145" s="11" t="s">
        <v>159</v>
      </c>
      <c r="E145" s="11" t="s">
        <v>328</v>
      </c>
      <c r="F145" s="11" t="s">
        <v>329</v>
      </c>
      <c r="G145" s="22"/>
      <c r="H145" s="26">
        <v>474.5</v>
      </c>
      <c r="I145" s="21">
        <f t="shared" si="7"/>
        <v>29893.5</v>
      </c>
      <c r="J145" s="16">
        <f t="shared" si="1"/>
        <v>44840.25</v>
      </c>
      <c r="K145" s="16">
        <f t="shared" si="2"/>
        <v>38861.55</v>
      </c>
      <c r="L145" s="16">
        <f t="shared" si="3"/>
        <v>38861.55</v>
      </c>
      <c r="M145" s="16">
        <f t="shared" si="4"/>
        <v>35872.2</v>
      </c>
      <c r="N145" s="16">
        <f t="shared" si="5"/>
        <v>34377.525</v>
      </c>
      <c r="O145" s="16">
        <f t="shared" si="6"/>
        <v>32882.85</v>
      </c>
    </row>
    <row r="146">
      <c r="A146" s="11" t="s">
        <v>99</v>
      </c>
      <c r="B146" s="11" t="s">
        <v>20</v>
      </c>
      <c r="C146" s="11" t="s">
        <v>323</v>
      </c>
      <c r="D146" s="11" t="s">
        <v>159</v>
      </c>
      <c r="E146" s="11" t="s">
        <v>330</v>
      </c>
      <c r="F146" s="11" t="s">
        <v>331</v>
      </c>
      <c r="G146" s="22"/>
      <c r="H146" s="26">
        <v>269.0</v>
      </c>
      <c r="I146" s="21">
        <f t="shared" si="7"/>
        <v>16947</v>
      </c>
      <c r="J146" s="16">
        <f t="shared" si="1"/>
        <v>25420.5</v>
      </c>
      <c r="K146" s="16">
        <f t="shared" si="2"/>
        <v>22031.1</v>
      </c>
      <c r="L146" s="16">
        <f t="shared" si="3"/>
        <v>22031.1</v>
      </c>
      <c r="M146" s="16">
        <f t="shared" si="4"/>
        <v>20336.4</v>
      </c>
      <c r="N146" s="16">
        <f t="shared" si="5"/>
        <v>19489.05</v>
      </c>
      <c r="O146" s="16">
        <f t="shared" si="6"/>
        <v>18641.7</v>
      </c>
    </row>
    <row r="147">
      <c r="A147" s="11" t="s">
        <v>99</v>
      </c>
      <c r="B147" s="11" t="s">
        <v>20</v>
      </c>
      <c r="C147" s="11" t="s">
        <v>323</v>
      </c>
      <c r="D147" s="11" t="s">
        <v>159</v>
      </c>
      <c r="E147" s="11" t="s">
        <v>332</v>
      </c>
      <c r="F147" s="11" t="s">
        <v>333</v>
      </c>
      <c r="G147" s="22"/>
      <c r="H147" s="26">
        <v>51.0</v>
      </c>
      <c r="I147" s="21">
        <f t="shared" si="7"/>
        <v>3213</v>
      </c>
      <c r="J147" s="16">
        <f t="shared" si="1"/>
        <v>4819.5</v>
      </c>
      <c r="K147" s="16">
        <f t="shared" si="2"/>
        <v>4176.9</v>
      </c>
      <c r="L147" s="16">
        <f t="shared" si="3"/>
        <v>4176.9</v>
      </c>
      <c r="M147" s="16">
        <f t="shared" si="4"/>
        <v>3855.6</v>
      </c>
      <c r="N147" s="16">
        <f t="shared" si="5"/>
        <v>3694.95</v>
      </c>
      <c r="O147" s="16">
        <f t="shared" si="6"/>
        <v>3534.3</v>
      </c>
    </row>
    <row r="148">
      <c r="A148" s="11" t="s">
        <v>99</v>
      </c>
      <c r="B148" s="11" t="s">
        <v>20</v>
      </c>
      <c r="C148" s="11" t="s">
        <v>323</v>
      </c>
      <c r="D148" s="11" t="s">
        <v>159</v>
      </c>
      <c r="E148" s="11" t="s">
        <v>334</v>
      </c>
      <c r="F148" s="11" t="s">
        <v>335</v>
      </c>
      <c r="G148" s="22"/>
      <c r="H148" s="26">
        <v>26.0</v>
      </c>
      <c r="I148" s="21">
        <f t="shared" si="7"/>
        <v>1638</v>
      </c>
      <c r="J148" s="16">
        <f t="shared" si="1"/>
        <v>2457</v>
      </c>
      <c r="K148" s="16">
        <f t="shared" si="2"/>
        <v>2129.4</v>
      </c>
      <c r="L148" s="16">
        <f t="shared" si="3"/>
        <v>2129.4</v>
      </c>
      <c r="M148" s="16">
        <f t="shared" si="4"/>
        <v>1965.6</v>
      </c>
      <c r="N148" s="16">
        <f t="shared" si="5"/>
        <v>1883.7</v>
      </c>
      <c r="O148" s="16">
        <f t="shared" si="6"/>
        <v>1801.8</v>
      </c>
    </row>
    <row r="149">
      <c r="A149" s="11" t="s">
        <v>99</v>
      </c>
      <c r="B149" s="11" t="s">
        <v>20</v>
      </c>
      <c r="C149" s="11" t="s">
        <v>323</v>
      </c>
      <c r="D149" s="11" t="s">
        <v>159</v>
      </c>
      <c r="E149" s="11" t="s">
        <v>336</v>
      </c>
      <c r="F149" s="11" t="s">
        <v>337</v>
      </c>
      <c r="G149" s="22"/>
      <c r="H149" s="26">
        <v>44.0</v>
      </c>
      <c r="I149" s="21">
        <f t="shared" si="7"/>
        <v>2772</v>
      </c>
      <c r="J149" s="16">
        <f t="shared" si="1"/>
        <v>4158</v>
      </c>
      <c r="K149" s="16">
        <f t="shared" si="2"/>
        <v>3603.6</v>
      </c>
      <c r="L149" s="16">
        <f t="shared" si="3"/>
        <v>3603.6</v>
      </c>
      <c r="M149" s="16">
        <f t="shared" si="4"/>
        <v>3326.4</v>
      </c>
      <c r="N149" s="16">
        <f t="shared" si="5"/>
        <v>3187.8</v>
      </c>
      <c r="O149" s="16">
        <f t="shared" si="6"/>
        <v>3049.2</v>
      </c>
    </row>
    <row r="150">
      <c r="A150" s="11" t="s">
        <v>99</v>
      </c>
      <c r="B150" s="11" t="s">
        <v>20</v>
      </c>
      <c r="C150" s="11" t="s">
        <v>323</v>
      </c>
      <c r="D150" s="11" t="s">
        <v>159</v>
      </c>
      <c r="E150" s="11" t="s">
        <v>338</v>
      </c>
      <c r="F150" s="11" t="s">
        <v>339</v>
      </c>
      <c r="G150" s="22"/>
      <c r="H150" s="26">
        <v>171.0</v>
      </c>
      <c r="I150" s="21">
        <f t="shared" si="7"/>
        <v>10773</v>
      </c>
      <c r="J150" s="16">
        <f t="shared" si="1"/>
        <v>16159.5</v>
      </c>
      <c r="K150" s="16">
        <f t="shared" si="2"/>
        <v>14004.9</v>
      </c>
      <c r="L150" s="16">
        <f t="shared" si="3"/>
        <v>14004.9</v>
      </c>
      <c r="M150" s="16">
        <f t="shared" si="4"/>
        <v>12927.6</v>
      </c>
      <c r="N150" s="16">
        <f t="shared" si="5"/>
        <v>12388.95</v>
      </c>
      <c r="O150" s="16">
        <f t="shared" si="6"/>
        <v>11850.3</v>
      </c>
    </row>
    <row r="151">
      <c r="A151" s="11" t="s">
        <v>99</v>
      </c>
      <c r="B151" s="11" t="s">
        <v>20</v>
      </c>
      <c r="C151" s="11" t="s">
        <v>323</v>
      </c>
      <c r="D151" s="11" t="s">
        <v>159</v>
      </c>
      <c r="E151" s="11" t="s">
        <v>340</v>
      </c>
      <c r="F151" s="11" t="s">
        <v>341</v>
      </c>
      <c r="G151" s="22"/>
      <c r="H151" s="26">
        <v>113.5</v>
      </c>
      <c r="I151" s="21">
        <f t="shared" si="7"/>
        <v>7150.5</v>
      </c>
      <c r="J151" s="16">
        <f t="shared" si="1"/>
        <v>10725.75</v>
      </c>
      <c r="K151" s="16">
        <f t="shared" si="2"/>
        <v>9295.65</v>
      </c>
      <c r="L151" s="16">
        <f t="shared" si="3"/>
        <v>9295.65</v>
      </c>
      <c r="M151" s="16">
        <f t="shared" si="4"/>
        <v>8580.6</v>
      </c>
      <c r="N151" s="16">
        <f t="shared" si="5"/>
        <v>8223.075</v>
      </c>
      <c r="O151" s="16">
        <f t="shared" si="6"/>
        <v>7865.55</v>
      </c>
    </row>
    <row r="152">
      <c r="A152" s="11" t="s">
        <v>99</v>
      </c>
      <c r="B152" s="11" t="s">
        <v>20</v>
      </c>
      <c r="C152" s="11" t="s">
        <v>323</v>
      </c>
      <c r="D152" s="11" t="s">
        <v>159</v>
      </c>
      <c r="E152" s="11" t="s">
        <v>342</v>
      </c>
      <c r="F152" s="11" t="s">
        <v>343</v>
      </c>
      <c r="G152" s="22"/>
      <c r="H152" s="26">
        <v>124.5</v>
      </c>
      <c r="I152" s="21">
        <f t="shared" si="7"/>
        <v>7843.5</v>
      </c>
      <c r="J152" s="16">
        <f t="shared" si="1"/>
        <v>11765.25</v>
      </c>
      <c r="K152" s="16">
        <f t="shared" si="2"/>
        <v>10196.55</v>
      </c>
      <c r="L152" s="16">
        <f t="shared" si="3"/>
        <v>10196.55</v>
      </c>
      <c r="M152" s="16">
        <f t="shared" si="4"/>
        <v>9412.2</v>
      </c>
      <c r="N152" s="16">
        <f t="shared" si="5"/>
        <v>9020.025</v>
      </c>
      <c r="O152" s="16">
        <f t="shared" si="6"/>
        <v>8627.85</v>
      </c>
    </row>
    <row r="153">
      <c r="A153" s="11" t="s">
        <v>99</v>
      </c>
      <c r="B153" s="11" t="s">
        <v>20</v>
      </c>
      <c r="C153" s="11" t="s">
        <v>323</v>
      </c>
      <c r="D153" s="11" t="s">
        <v>159</v>
      </c>
      <c r="E153" s="11" t="s">
        <v>344</v>
      </c>
      <c r="F153" s="11" t="s">
        <v>345</v>
      </c>
      <c r="G153" s="22"/>
      <c r="H153" s="26">
        <v>38.0</v>
      </c>
      <c r="I153" s="21">
        <f t="shared" si="7"/>
        <v>2394</v>
      </c>
      <c r="J153" s="16">
        <f t="shared" si="1"/>
        <v>3591</v>
      </c>
      <c r="K153" s="16">
        <f t="shared" si="2"/>
        <v>3112.2</v>
      </c>
      <c r="L153" s="16">
        <f t="shared" si="3"/>
        <v>3112.2</v>
      </c>
      <c r="M153" s="16">
        <f t="shared" si="4"/>
        <v>2872.8</v>
      </c>
      <c r="N153" s="16">
        <f t="shared" si="5"/>
        <v>2753.1</v>
      </c>
      <c r="O153" s="16">
        <f t="shared" si="6"/>
        <v>2633.4</v>
      </c>
    </row>
    <row r="154">
      <c r="A154" s="11" t="s">
        <v>99</v>
      </c>
      <c r="B154" s="11" t="s">
        <v>20</v>
      </c>
      <c r="C154" s="11" t="s">
        <v>323</v>
      </c>
      <c r="D154" s="11" t="s">
        <v>159</v>
      </c>
      <c r="E154" s="11" t="s">
        <v>346</v>
      </c>
      <c r="F154" s="11" t="s">
        <v>347</v>
      </c>
      <c r="G154" s="22"/>
      <c r="H154" s="26">
        <v>192.5</v>
      </c>
      <c r="I154" s="21">
        <f t="shared" si="7"/>
        <v>12127.5</v>
      </c>
      <c r="J154" s="16">
        <f t="shared" si="1"/>
        <v>18191.25</v>
      </c>
      <c r="K154" s="16">
        <f t="shared" si="2"/>
        <v>15765.75</v>
      </c>
      <c r="L154" s="16">
        <f t="shared" si="3"/>
        <v>15765.75</v>
      </c>
      <c r="M154" s="16">
        <f t="shared" si="4"/>
        <v>14553</v>
      </c>
      <c r="N154" s="16">
        <f t="shared" si="5"/>
        <v>13946.625</v>
      </c>
      <c r="O154" s="16">
        <f t="shared" si="6"/>
        <v>13340.25</v>
      </c>
    </row>
    <row r="155">
      <c r="A155" s="11" t="s">
        <v>99</v>
      </c>
      <c r="B155" s="11" t="s">
        <v>20</v>
      </c>
      <c r="C155" s="11" t="s">
        <v>323</v>
      </c>
      <c r="D155" s="11" t="s">
        <v>159</v>
      </c>
      <c r="E155" s="11" t="s">
        <v>348</v>
      </c>
      <c r="F155" s="11" t="s">
        <v>349</v>
      </c>
      <c r="G155" s="22"/>
      <c r="H155" s="26">
        <v>70.5</v>
      </c>
      <c r="I155" s="21">
        <f t="shared" si="7"/>
        <v>4441.5</v>
      </c>
      <c r="J155" s="16">
        <f t="shared" si="1"/>
        <v>6662.25</v>
      </c>
      <c r="K155" s="16">
        <f t="shared" si="2"/>
        <v>5773.95</v>
      </c>
      <c r="L155" s="16">
        <f t="shared" si="3"/>
        <v>5773.95</v>
      </c>
      <c r="M155" s="16">
        <f t="shared" si="4"/>
        <v>5329.8</v>
      </c>
      <c r="N155" s="16">
        <f t="shared" si="5"/>
        <v>5107.725</v>
      </c>
      <c r="O155" s="16">
        <f t="shared" si="6"/>
        <v>4885.65</v>
      </c>
    </row>
    <row r="156">
      <c r="A156" s="11" t="s">
        <v>99</v>
      </c>
      <c r="B156" s="11" t="s">
        <v>20</v>
      </c>
      <c r="C156" s="11" t="s">
        <v>323</v>
      </c>
      <c r="D156" s="11" t="s">
        <v>159</v>
      </c>
      <c r="E156" s="11" t="s">
        <v>350</v>
      </c>
      <c r="F156" s="11" t="s">
        <v>351</v>
      </c>
      <c r="G156" s="22"/>
      <c r="H156" s="26">
        <v>198.5</v>
      </c>
      <c r="I156" s="21">
        <f t="shared" si="7"/>
        <v>12505.5</v>
      </c>
      <c r="J156" s="16">
        <f t="shared" si="1"/>
        <v>18758.25</v>
      </c>
      <c r="K156" s="16">
        <f t="shared" si="2"/>
        <v>16257.15</v>
      </c>
      <c r="L156" s="16">
        <f t="shared" si="3"/>
        <v>16257.15</v>
      </c>
      <c r="M156" s="16">
        <f t="shared" si="4"/>
        <v>15006.6</v>
      </c>
      <c r="N156" s="16">
        <f t="shared" si="5"/>
        <v>14381.325</v>
      </c>
      <c r="O156" s="16">
        <f t="shared" si="6"/>
        <v>13756.05</v>
      </c>
    </row>
    <row r="157">
      <c r="A157" s="11" t="s">
        <v>99</v>
      </c>
      <c r="B157" s="11" t="s">
        <v>20</v>
      </c>
      <c r="C157" s="11" t="s">
        <v>323</v>
      </c>
      <c r="D157" s="11" t="s">
        <v>159</v>
      </c>
      <c r="E157" s="11" t="s">
        <v>352</v>
      </c>
      <c r="F157" s="11" t="s">
        <v>353</v>
      </c>
      <c r="G157" s="22"/>
      <c r="H157" s="26">
        <v>146.0</v>
      </c>
      <c r="I157" s="21">
        <f t="shared" si="7"/>
        <v>9198</v>
      </c>
      <c r="J157" s="16">
        <f t="shared" si="1"/>
        <v>13797</v>
      </c>
      <c r="K157" s="16">
        <f t="shared" si="2"/>
        <v>11957.4</v>
      </c>
      <c r="L157" s="16">
        <f t="shared" si="3"/>
        <v>11957.4</v>
      </c>
      <c r="M157" s="16">
        <f t="shared" si="4"/>
        <v>11037.6</v>
      </c>
      <c r="N157" s="16">
        <f t="shared" si="5"/>
        <v>10577.7</v>
      </c>
      <c r="O157" s="16">
        <f t="shared" si="6"/>
        <v>10117.8</v>
      </c>
    </row>
    <row r="158">
      <c r="A158" s="11" t="s">
        <v>99</v>
      </c>
      <c r="B158" s="11" t="s">
        <v>20</v>
      </c>
      <c r="C158" s="11" t="s">
        <v>323</v>
      </c>
      <c r="D158" s="11" t="s">
        <v>159</v>
      </c>
      <c r="E158" s="11">
        <v>2273.0</v>
      </c>
      <c r="F158" s="11" t="s">
        <v>354</v>
      </c>
      <c r="G158" s="22"/>
      <c r="H158" s="26">
        <v>113.5</v>
      </c>
      <c r="I158" s="21">
        <f t="shared" si="7"/>
        <v>7150.5</v>
      </c>
      <c r="J158" s="16">
        <f t="shared" si="1"/>
        <v>10725.75</v>
      </c>
      <c r="K158" s="16">
        <f t="shared" si="2"/>
        <v>9295.65</v>
      </c>
      <c r="L158" s="16">
        <f t="shared" si="3"/>
        <v>9295.65</v>
      </c>
      <c r="M158" s="16">
        <f t="shared" si="4"/>
        <v>8580.6</v>
      </c>
      <c r="N158" s="16">
        <f t="shared" si="5"/>
        <v>8223.075</v>
      </c>
      <c r="O158" s="16">
        <f t="shared" si="6"/>
        <v>7865.55</v>
      </c>
    </row>
    <row r="159">
      <c r="A159" s="11" t="s">
        <v>99</v>
      </c>
      <c r="B159" s="11" t="s">
        <v>20</v>
      </c>
      <c r="C159" s="11" t="s">
        <v>323</v>
      </c>
      <c r="D159" s="11" t="s">
        <v>159</v>
      </c>
      <c r="E159" s="11" t="s">
        <v>355</v>
      </c>
      <c r="F159" s="11" t="s">
        <v>356</v>
      </c>
      <c r="G159" s="22"/>
      <c r="H159" s="26">
        <v>106.0</v>
      </c>
      <c r="I159" s="21">
        <f t="shared" si="7"/>
        <v>6678</v>
      </c>
      <c r="J159" s="16">
        <f t="shared" si="1"/>
        <v>10017</v>
      </c>
      <c r="K159" s="16">
        <f t="shared" si="2"/>
        <v>8681.4</v>
      </c>
      <c r="L159" s="16">
        <f t="shared" si="3"/>
        <v>8681.4</v>
      </c>
      <c r="M159" s="16">
        <f t="shared" si="4"/>
        <v>8013.6</v>
      </c>
      <c r="N159" s="16">
        <f t="shared" si="5"/>
        <v>7679.7</v>
      </c>
      <c r="O159" s="16">
        <f t="shared" si="6"/>
        <v>7345.8</v>
      </c>
    </row>
    <row r="160">
      <c r="A160" s="11" t="s">
        <v>99</v>
      </c>
      <c r="B160" s="11" t="s">
        <v>20</v>
      </c>
      <c r="C160" s="11" t="s">
        <v>323</v>
      </c>
      <c r="D160" s="11" t="s">
        <v>159</v>
      </c>
      <c r="E160" s="11">
        <v>2287.0</v>
      </c>
      <c r="F160" s="11" t="s">
        <v>357</v>
      </c>
      <c r="G160" s="22"/>
      <c r="H160" s="26">
        <v>195.0</v>
      </c>
      <c r="I160" s="21">
        <f t="shared" si="7"/>
        <v>12285</v>
      </c>
      <c r="J160" s="16">
        <f t="shared" si="1"/>
        <v>18427.5</v>
      </c>
      <c r="K160" s="16">
        <f t="shared" si="2"/>
        <v>15970.5</v>
      </c>
      <c r="L160" s="16">
        <f t="shared" si="3"/>
        <v>15970.5</v>
      </c>
      <c r="M160" s="16">
        <f t="shared" si="4"/>
        <v>14742</v>
      </c>
      <c r="N160" s="16">
        <f t="shared" si="5"/>
        <v>14127.75</v>
      </c>
      <c r="O160" s="16">
        <f t="shared" si="6"/>
        <v>13513.5</v>
      </c>
    </row>
    <row r="161">
      <c r="A161" s="11" t="s">
        <v>99</v>
      </c>
      <c r="B161" s="11" t="s">
        <v>20</v>
      </c>
      <c r="C161" s="11" t="s">
        <v>323</v>
      </c>
      <c r="D161" s="11" t="s">
        <v>159</v>
      </c>
      <c r="E161" s="11" t="s">
        <v>358</v>
      </c>
      <c r="F161" s="11" t="s">
        <v>359</v>
      </c>
      <c r="G161" s="22"/>
      <c r="H161" s="26">
        <v>2.5</v>
      </c>
      <c r="I161" s="21">
        <f t="shared" si="7"/>
        <v>157.5</v>
      </c>
      <c r="J161" s="16">
        <f t="shared" si="1"/>
        <v>236.25</v>
      </c>
      <c r="K161" s="16">
        <f t="shared" si="2"/>
        <v>204.75</v>
      </c>
      <c r="L161" s="16">
        <f t="shared" si="3"/>
        <v>204.75</v>
      </c>
      <c r="M161" s="16">
        <f t="shared" si="4"/>
        <v>189</v>
      </c>
      <c r="N161" s="16">
        <f t="shared" si="5"/>
        <v>181.125</v>
      </c>
      <c r="O161" s="16">
        <f t="shared" si="6"/>
        <v>173.25</v>
      </c>
    </row>
    <row r="162">
      <c r="A162" s="11" t="s">
        <v>99</v>
      </c>
      <c r="B162" s="11" t="s">
        <v>20</v>
      </c>
      <c r="C162" s="11" t="s">
        <v>323</v>
      </c>
      <c r="D162" s="11" t="s">
        <v>159</v>
      </c>
      <c r="E162" s="11" t="s">
        <v>360</v>
      </c>
      <c r="F162" s="11" t="s">
        <v>361</v>
      </c>
      <c r="G162" s="22"/>
      <c r="H162" s="26">
        <v>2.8</v>
      </c>
      <c r="I162" s="21">
        <f t="shared" si="7"/>
        <v>176.4</v>
      </c>
      <c r="J162" s="16">
        <f t="shared" si="1"/>
        <v>264.6</v>
      </c>
      <c r="K162" s="16">
        <f t="shared" si="2"/>
        <v>229.32</v>
      </c>
      <c r="L162" s="16">
        <f t="shared" si="3"/>
        <v>229.32</v>
      </c>
      <c r="M162" s="16">
        <f t="shared" si="4"/>
        <v>211.68</v>
      </c>
      <c r="N162" s="16">
        <f t="shared" si="5"/>
        <v>202.86</v>
      </c>
      <c r="O162" s="16">
        <f t="shared" si="6"/>
        <v>194.04</v>
      </c>
    </row>
    <row r="163">
      <c r="A163" s="11" t="s">
        <v>99</v>
      </c>
      <c r="B163" s="11" t="s">
        <v>20</v>
      </c>
      <c r="C163" s="11" t="s">
        <v>323</v>
      </c>
      <c r="D163" s="11" t="s">
        <v>159</v>
      </c>
      <c r="E163" s="11" t="s">
        <v>362</v>
      </c>
      <c r="F163" s="11" t="s">
        <v>363</v>
      </c>
      <c r="G163" s="22"/>
      <c r="H163" s="26">
        <v>2.5</v>
      </c>
      <c r="I163" s="21">
        <f t="shared" si="7"/>
        <v>157.5</v>
      </c>
      <c r="J163" s="16">
        <f t="shared" si="1"/>
        <v>236.25</v>
      </c>
      <c r="K163" s="16">
        <f t="shared" si="2"/>
        <v>204.75</v>
      </c>
      <c r="L163" s="16">
        <f t="shared" si="3"/>
        <v>204.75</v>
      </c>
      <c r="M163" s="16">
        <f t="shared" si="4"/>
        <v>189</v>
      </c>
      <c r="N163" s="16">
        <f t="shared" si="5"/>
        <v>181.125</v>
      </c>
      <c r="O163" s="16">
        <f t="shared" si="6"/>
        <v>173.25</v>
      </c>
    </row>
    <row r="164">
      <c r="A164" s="11" t="s">
        <v>99</v>
      </c>
      <c r="B164" s="11" t="s">
        <v>20</v>
      </c>
      <c r="C164" s="11" t="s">
        <v>323</v>
      </c>
      <c r="D164" s="11" t="s">
        <v>159</v>
      </c>
      <c r="E164" s="11" t="s">
        <v>364</v>
      </c>
      <c r="F164" s="11" t="s">
        <v>365</v>
      </c>
      <c r="G164" s="22"/>
      <c r="H164" s="26">
        <v>2.8</v>
      </c>
      <c r="I164" s="21">
        <f t="shared" si="7"/>
        <v>176.4</v>
      </c>
      <c r="J164" s="16">
        <f t="shared" si="1"/>
        <v>264.6</v>
      </c>
      <c r="K164" s="16">
        <f t="shared" si="2"/>
        <v>229.32</v>
      </c>
      <c r="L164" s="16">
        <f t="shared" si="3"/>
        <v>229.32</v>
      </c>
      <c r="M164" s="16">
        <f t="shared" si="4"/>
        <v>211.68</v>
      </c>
      <c r="N164" s="16">
        <f t="shared" si="5"/>
        <v>202.86</v>
      </c>
      <c r="O164" s="16">
        <f t="shared" si="6"/>
        <v>194.04</v>
      </c>
    </row>
    <row r="165">
      <c r="A165" s="11" t="s">
        <v>99</v>
      </c>
      <c r="B165" s="11" t="s">
        <v>20</v>
      </c>
      <c r="C165" s="11" t="s">
        <v>323</v>
      </c>
      <c r="D165" s="11" t="s">
        <v>159</v>
      </c>
      <c r="E165" s="11" t="s">
        <v>366</v>
      </c>
      <c r="F165" s="11" t="s">
        <v>367</v>
      </c>
      <c r="G165" s="22"/>
      <c r="H165" s="26">
        <v>19.0</v>
      </c>
      <c r="I165" s="21">
        <f t="shared" si="7"/>
        <v>1197</v>
      </c>
      <c r="J165" s="16">
        <f t="shared" si="1"/>
        <v>1795.5</v>
      </c>
      <c r="K165" s="16">
        <f t="shared" si="2"/>
        <v>1556.1</v>
      </c>
      <c r="L165" s="16">
        <f t="shared" si="3"/>
        <v>1556.1</v>
      </c>
      <c r="M165" s="16">
        <f t="shared" si="4"/>
        <v>1436.4</v>
      </c>
      <c r="N165" s="16">
        <f t="shared" si="5"/>
        <v>1376.55</v>
      </c>
      <c r="O165" s="16">
        <f t="shared" si="6"/>
        <v>1316.7</v>
      </c>
    </row>
    <row r="166">
      <c r="A166" s="11" t="s">
        <v>99</v>
      </c>
      <c r="B166" s="11" t="s">
        <v>20</v>
      </c>
      <c r="C166" s="11" t="s">
        <v>323</v>
      </c>
      <c r="D166" s="11" t="s">
        <v>159</v>
      </c>
      <c r="E166" s="11" t="s">
        <v>368</v>
      </c>
      <c r="F166" s="11" t="s">
        <v>369</v>
      </c>
      <c r="G166" s="22"/>
      <c r="H166" s="26">
        <v>18.5</v>
      </c>
      <c r="I166" s="21">
        <f t="shared" si="7"/>
        <v>1165.5</v>
      </c>
      <c r="J166" s="16">
        <f t="shared" si="1"/>
        <v>1748.25</v>
      </c>
      <c r="K166" s="16">
        <f t="shared" si="2"/>
        <v>1515.15</v>
      </c>
      <c r="L166" s="16">
        <f t="shared" si="3"/>
        <v>1515.15</v>
      </c>
      <c r="M166" s="16">
        <f t="shared" si="4"/>
        <v>1398.6</v>
      </c>
      <c r="N166" s="16">
        <f t="shared" si="5"/>
        <v>1340.325</v>
      </c>
      <c r="O166" s="16">
        <f t="shared" si="6"/>
        <v>1282.05</v>
      </c>
    </row>
    <row r="167">
      <c r="A167" s="11" t="s">
        <v>99</v>
      </c>
      <c r="B167" s="11" t="s">
        <v>20</v>
      </c>
      <c r="C167" s="11" t="s">
        <v>323</v>
      </c>
      <c r="D167" s="11" t="s">
        <v>159</v>
      </c>
      <c r="E167" s="11" t="s">
        <v>370</v>
      </c>
      <c r="F167" s="11" t="s">
        <v>371</v>
      </c>
      <c r="G167" s="22"/>
      <c r="H167" s="26">
        <v>93.0</v>
      </c>
      <c r="I167" s="21">
        <f t="shared" si="7"/>
        <v>5859</v>
      </c>
      <c r="J167" s="16">
        <f t="shared" si="1"/>
        <v>8788.5</v>
      </c>
      <c r="K167" s="16">
        <f t="shared" si="2"/>
        <v>7616.7</v>
      </c>
      <c r="L167" s="16">
        <f t="shared" si="3"/>
        <v>7616.7</v>
      </c>
      <c r="M167" s="16">
        <f t="shared" si="4"/>
        <v>7030.8</v>
      </c>
      <c r="N167" s="16">
        <f t="shared" si="5"/>
        <v>6737.85</v>
      </c>
      <c r="O167" s="16">
        <f t="shared" si="6"/>
        <v>6444.9</v>
      </c>
    </row>
    <row r="168">
      <c r="A168" s="11" t="s">
        <v>99</v>
      </c>
      <c r="B168" s="11" t="s">
        <v>20</v>
      </c>
      <c r="C168" s="11" t="s">
        <v>323</v>
      </c>
      <c r="D168" s="11" t="s">
        <v>159</v>
      </c>
      <c r="E168" s="11" t="s">
        <v>372</v>
      </c>
      <c r="F168" s="11" t="s">
        <v>373</v>
      </c>
      <c r="G168" s="22"/>
      <c r="H168" s="26">
        <v>57.0</v>
      </c>
      <c r="I168" s="21">
        <f t="shared" si="7"/>
        <v>3591</v>
      </c>
      <c r="J168" s="16">
        <f t="shared" si="1"/>
        <v>5386.5</v>
      </c>
      <c r="K168" s="16">
        <f t="shared" si="2"/>
        <v>4668.3</v>
      </c>
      <c r="L168" s="16">
        <f t="shared" si="3"/>
        <v>4668.3</v>
      </c>
      <c r="M168" s="16">
        <f t="shared" si="4"/>
        <v>4309.2</v>
      </c>
      <c r="N168" s="16">
        <f t="shared" si="5"/>
        <v>4129.65</v>
      </c>
      <c r="O168" s="16">
        <f t="shared" si="6"/>
        <v>3950.1</v>
      </c>
    </row>
    <row r="169">
      <c r="A169" s="11" t="s">
        <v>99</v>
      </c>
      <c r="B169" s="11" t="s">
        <v>20</v>
      </c>
      <c r="C169" s="11" t="s">
        <v>323</v>
      </c>
      <c r="D169" s="11" t="s">
        <v>159</v>
      </c>
      <c r="E169" s="11" t="s">
        <v>374</v>
      </c>
      <c r="F169" s="11" t="s">
        <v>375</v>
      </c>
      <c r="G169" s="22"/>
      <c r="H169" s="26">
        <v>85.5</v>
      </c>
      <c r="I169" s="21">
        <f t="shared" si="7"/>
        <v>5386.5</v>
      </c>
      <c r="J169" s="16">
        <f t="shared" si="1"/>
        <v>8079.75</v>
      </c>
      <c r="K169" s="16">
        <f t="shared" si="2"/>
        <v>7002.45</v>
      </c>
      <c r="L169" s="16">
        <f t="shared" si="3"/>
        <v>7002.45</v>
      </c>
      <c r="M169" s="16">
        <f t="shared" si="4"/>
        <v>6463.8</v>
      </c>
      <c r="N169" s="16">
        <f t="shared" si="5"/>
        <v>6194.475</v>
      </c>
      <c r="O169" s="16">
        <f t="shared" si="6"/>
        <v>5925.15</v>
      </c>
    </row>
    <row r="170">
      <c r="A170" s="11" t="s">
        <v>99</v>
      </c>
      <c r="B170" s="11" t="s">
        <v>20</v>
      </c>
      <c r="C170" s="11" t="s">
        <v>323</v>
      </c>
      <c r="D170" s="11" t="s">
        <v>159</v>
      </c>
      <c r="E170" s="11" t="s">
        <v>376</v>
      </c>
      <c r="F170" s="11" t="s">
        <v>377</v>
      </c>
      <c r="G170" s="22"/>
      <c r="H170" s="26">
        <v>163.0</v>
      </c>
      <c r="I170" s="21">
        <f t="shared" si="7"/>
        <v>10269</v>
      </c>
      <c r="J170" s="16">
        <f t="shared" si="1"/>
        <v>15403.5</v>
      </c>
      <c r="K170" s="16">
        <f t="shared" si="2"/>
        <v>13349.7</v>
      </c>
      <c r="L170" s="16">
        <f t="shared" si="3"/>
        <v>13349.7</v>
      </c>
      <c r="M170" s="16">
        <f t="shared" si="4"/>
        <v>12322.8</v>
      </c>
      <c r="N170" s="16">
        <f t="shared" si="5"/>
        <v>11809.35</v>
      </c>
      <c r="O170" s="16">
        <f t="shared" si="6"/>
        <v>11295.9</v>
      </c>
    </row>
    <row r="171">
      <c r="A171" s="11" t="s">
        <v>99</v>
      </c>
      <c r="B171" s="11" t="s">
        <v>20</v>
      </c>
      <c r="C171" s="11" t="s">
        <v>378</v>
      </c>
      <c r="D171" s="11" t="s">
        <v>159</v>
      </c>
      <c r="E171" s="11" t="s">
        <v>379</v>
      </c>
      <c r="F171" s="11" t="s">
        <v>380</v>
      </c>
      <c r="G171" s="22"/>
      <c r="H171" s="26">
        <v>118.0</v>
      </c>
      <c r="I171" s="21">
        <f t="shared" si="7"/>
        <v>7434</v>
      </c>
      <c r="J171" s="16">
        <f t="shared" si="1"/>
        <v>11151</v>
      </c>
      <c r="K171" s="16">
        <f t="shared" si="2"/>
        <v>9664.2</v>
      </c>
      <c r="L171" s="16">
        <f t="shared" si="3"/>
        <v>9664.2</v>
      </c>
      <c r="M171" s="16">
        <f t="shared" si="4"/>
        <v>8920.8</v>
      </c>
      <c r="N171" s="16">
        <f t="shared" si="5"/>
        <v>8549.1</v>
      </c>
      <c r="O171" s="16">
        <f t="shared" si="6"/>
        <v>8177.4</v>
      </c>
    </row>
    <row r="172">
      <c r="A172" s="11" t="s">
        <v>99</v>
      </c>
      <c r="B172" s="11" t="s">
        <v>20</v>
      </c>
      <c r="C172" s="11" t="s">
        <v>381</v>
      </c>
      <c r="D172" s="11" t="s">
        <v>382</v>
      </c>
      <c r="E172" s="11" t="s">
        <v>219</v>
      </c>
      <c r="F172" s="11" t="s">
        <v>220</v>
      </c>
      <c r="G172" s="22"/>
      <c r="H172" s="27">
        <v>96.5</v>
      </c>
      <c r="I172" s="21">
        <f t="shared" si="7"/>
        <v>6079.5</v>
      </c>
      <c r="J172" s="16">
        <f t="shared" si="1"/>
        <v>9119.25</v>
      </c>
      <c r="K172" s="16">
        <f t="shared" si="2"/>
        <v>7903.35</v>
      </c>
      <c r="L172" s="16">
        <f t="shared" si="3"/>
        <v>7903.35</v>
      </c>
      <c r="M172" s="16">
        <f t="shared" si="4"/>
        <v>7295.4</v>
      </c>
      <c r="N172" s="16">
        <f t="shared" si="5"/>
        <v>6991.425</v>
      </c>
      <c r="O172" s="16">
        <f t="shared" si="6"/>
        <v>6687.45</v>
      </c>
    </row>
    <row r="173">
      <c r="A173" s="11" t="s">
        <v>99</v>
      </c>
      <c r="B173" s="11" t="s">
        <v>20</v>
      </c>
      <c r="C173" s="11" t="s">
        <v>381</v>
      </c>
      <c r="D173" s="11" t="s">
        <v>382</v>
      </c>
      <c r="E173" s="11" t="s">
        <v>229</v>
      </c>
      <c r="F173" s="11" t="s">
        <v>230</v>
      </c>
      <c r="G173" s="22"/>
      <c r="H173" s="27">
        <v>96.5</v>
      </c>
      <c r="I173" s="21">
        <f t="shared" si="7"/>
        <v>6079.5</v>
      </c>
      <c r="J173" s="16">
        <f t="shared" si="1"/>
        <v>9119.25</v>
      </c>
      <c r="K173" s="16">
        <f t="shared" si="2"/>
        <v>7903.35</v>
      </c>
      <c r="L173" s="16">
        <f t="shared" si="3"/>
        <v>7903.35</v>
      </c>
      <c r="M173" s="16">
        <f t="shared" si="4"/>
        <v>7295.4</v>
      </c>
      <c r="N173" s="16">
        <f t="shared" si="5"/>
        <v>6991.425</v>
      </c>
      <c r="O173" s="16">
        <f t="shared" si="6"/>
        <v>6687.45</v>
      </c>
    </row>
    <row r="174">
      <c r="A174" s="11" t="s">
        <v>99</v>
      </c>
      <c r="B174" s="11" t="s">
        <v>20</v>
      </c>
      <c r="C174" s="11" t="s">
        <v>381</v>
      </c>
      <c r="D174" s="11" t="s">
        <v>382</v>
      </c>
      <c r="E174" s="11" t="s">
        <v>383</v>
      </c>
      <c r="F174" s="11" t="s">
        <v>384</v>
      </c>
      <c r="G174" s="22"/>
      <c r="H174" s="27">
        <v>539.0</v>
      </c>
      <c r="I174" s="21">
        <f t="shared" si="7"/>
        <v>33957</v>
      </c>
      <c r="J174" s="16">
        <f t="shared" si="1"/>
        <v>50935.5</v>
      </c>
      <c r="K174" s="16">
        <f t="shared" si="2"/>
        <v>44144.1</v>
      </c>
      <c r="L174" s="16">
        <f t="shared" si="3"/>
        <v>44144.1</v>
      </c>
      <c r="M174" s="16">
        <f t="shared" si="4"/>
        <v>40748.4</v>
      </c>
      <c r="N174" s="16">
        <f t="shared" si="5"/>
        <v>39050.55</v>
      </c>
      <c r="O174" s="16">
        <f t="shared" si="6"/>
        <v>37352.7</v>
      </c>
    </row>
    <row r="175">
      <c r="A175" s="11" t="s">
        <v>99</v>
      </c>
      <c r="B175" s="11" t="s">
        <v>20</v>
      </c>
      <c r="C175" s="11" t="s">
        <v>381</v>
      </c>
      <c r="D175" s="11" t="s">
        <v>382</v>
      </c>
      <c r="E175" s="11" t="s">
        <v>385</v>
      </c>
      <c r="F175" s="11" t="s">
        <v>386</v>
      </c>
      <c r="G175" s="22"/>
      <c r="H175" s="27">
        <v>269.0</v>
      </c>
      <c r="I175" s="21">
        <f t="shared" si="7"/>
        <v>16947</v>
      </c>
      <c r="J175" s="16">
        <f t="shared" si="1"/>
        <v>25420.5</v>
      </c>
      <c r="K175" s="16">
        <f t="shared" si="2"/>
        <v>22031.1</v>
      </c>
      <c r="L175" s="16">
        <f t="shared" si="3"/>
        <v>22031.1</v>
      </c>
      <c r="M175" s="16">
        <f t="shared" si="4"/>
        <v>20336.4</v>
      </c>
      <c r="N175" s="16">
        <f t="shared" si="5"/>
        <v>19489.05</v>
      </c>
      <c r="O175" s="16">
        <f t="shared" si="6"/>
        <v>18641.7</v>
      </c>
    </row>
    <row r="176">
      <c r="A176" s="11" t="s">
        <v>99</v>
      </c>
      <c r="B176" s="11" t="s">
        <v>20</v>
      </c>
      <c r="C176" s="11" t="s">
        <v>387</v>
      </c>
      <c r="D176" s="11" t="s">
        <v>382</v>
      </c>
      <c r="E176" s="11" t="s">
        <v>388</v>
      </c>
      <c r="F176" s="11" t="s">
        <v>389</v>
      </c>
      <c r="G176" s="22"/>
      <c r="H176" s="27">
        <v>539.0</v>
      </c>
      <c r="I176" s="21">
        <f t="shared" si="7"/>
        <v>33957</v>
      </c>
      <c r="J176" s="16">
        <f t="shared" si="1"/>
        <v>50935.5</v>
      </c>
      <c r="K176" s="16">
        <f t="shared" si="2"/>
        <v>44144.1</v>
      </c>
      <c r="L176" s="16">
        <f t="shared" si="3"/>
        <v>44144.1</v>
      </c>
      <c r="M176" s="16">
        <f t="shared" si="4"/>
        <v>40748.4</v>
      </c>
      <c r="N176" s="16">
        <f t="shared" si="5"/>
        <v>39050.55</v>
      </c>
      <c r="O176" s="16">
        <f t="shared" si="6"/>
        <v>37352.7</v>
      </c>
    </row>
    <row r="177">
      <c r="A177" s="11" t="s">
        <v>99</v>
      </c>
      <c r="B177" s="11" t="s">
        <v>20</v>
      </c>
      <c r="C177" s="11" t="s">
        <v>387</v>
      </c>
      <c r="D177" s="11" t="s">
        <v>382</v>
      </c>
      <c r="E177" s="11" t="s">
        <v>390</v>
      </c>
      <c r="F177" s="11" t="s">
        <v>391</v>
      </c>
      <c r="G177" s="22"/>
      <c r="H177" s="27">
        <v>625.5</v>
      </c>
      <c r="I177" s="21">
        <f t="shared" si="7"/>
        <v>39406.5</v>
      </c>
      <c r="J177" s="16">
        <f t="shared" si="1"/>
        <v>59109.75</v>
      </c>
      <c r="K177" s="16">
        <f t="shared" si="2"/>
        <v>51228.45</v>
      </c>
      <c r="L177" s="16">
        <f t="shared" si="3"/>
        <v>51228.45</v>
      </c>
      <c r="M177" s="16">
        <f t="shared" si="4"/>
        <v>47287.8</v>
      </c>
      <c r="N177" s="16">
        <f t="shared" si="5"/>
        <v>45317.475</v>
      </c>
      <c r="O177" s="16">
        <f t="shared" si="6"/>
        <v>43347.15</v>
      </c>
    </row>
    <row r="178">
      <c r="A178" s="11" t="s">
        <v>99</v>
      </c>
      <c r="B178" s="11" t="s">
        <v>20</v>
      </c>
      <c r="C178" s="11" t="s">
        <v>387</v>
      </c>
      <c r="D178" s="11" t="s">
        <v>382</v>
      </c>
      <c r="E178" s="11" t="s">
        <v>392</v>
      </c>
      <c r="F178" s="11" t="s">
        <v>393</v>
      </c>
      <c r="G178" s="22"/>
      <c r="H178" s="27">
        <v>377.0</v>
      </c>
      <c r="I178" s="21">
        <f t="shared" si="7"/>
        <v>23751</v>
      </c>
      <c r="J178" s="16">
        <f t="shared" si="1"/>
        <v>35626.5</v>
      </c>
      <c r="K178" s="16">
        <f t="shared" si="2"/>
        <v>30876.3</v>
      </c>
      <c r="L178" s="16">
        <f t="shared" si="3"/>
        <v>30876.3</v>
      </c>
      <c r="M178" s="16">
        <f t="shared" si="4"/>
        <v>28501.2</v>
      </c>
      <c r="N178" s="16">
        <f t="shared" si="5"/>
        <v>27313.65</v>
      </c>
      <c r="O178" s="16">
        <f t="shared" si="6"/>
        <v>26126.1</v>
      </c>
    </row>
    <row r="179">
      <c r="A179" s="11" t="s">
        <v>99</v>
      </c>
      <c r="B179" s="11" t="s">
        <v>20</v>
      </c>
      <c r="C179" s="11" t="s">
        <v>387</v>
      </c>
      <c r="D179" s="11" t="s">
        <v>382</v>
      </c>
      <c r="E179" s="11" t="s">
        <v>394</v>
      </c>
      <c r="F179" s="11" t="s">
        <v>395</v>
      </c>
      <c r="G179" s="22"/>
      <c r="H179" s="27">
        <v>323.0</v>
      </c>
      <c r="I179" s="21">
        <f t="shared" si="7"/>
        <v>20349</v>
      </c>
      <c r="J179" s="16">
        <f t="shared" si="1"/>
        <v>30523.5</v>
      </c>
      <c r="K179" s="16">
        <f t="shared" si="2"/>
        <v>26453.7</v>
      </c>
      <c r="L179" s="16">
        <f t="shared" si="3"/>
        <v>26453.7</v>
      </c>
      <c r="M179" s="16">
        <f t="shared" si="4"/>
        <v>24418.8</v>
      </c>
      <c r="N179" s="16">
        <f t="shared" si="5"/>
        <v>23401.35</v>
      </c>
      <c r="O179" s="16">
        <f t="shared" si="6"/>
        <v>22383.9</v>
      </c>
    </row>
    <row r="180">
      <c r="A180" s="11" t="s">
        <v>99</v>
      </c>
      <c r="B180" s="11" t="s">
        <v>20</v>
      </c>
      <c r="C180" s="11" t="s">
        <v>387</v>
      </c>
      <c r="D180" s="11" t="s">
        <v>382</v>
      </c>
      <c r="E180" s="11" t="s">
        <v>396</v>
      </c>
      <c r="F180" s="11" t="s">
        <v>397</v>
      </c>
      <c r="G180" s="22"/>
      <c r="H180" s="28">
        <v>442.0</v>
      </c>
      <c r="I180" s="21">
        <f t="shared" si="7"/>
        <v>27846</v>
      </c>
      <c r="J180" s="16">
        <f t="shared" si="1"/>
        <v>41769</v>
      </c>
      <c r="K180" s="16">
        <f t="shared" si="2"/>
        <v>36199.8</v>
      </c>
      <c r="L180" s="16">
        <f t="shared" si="3"/>
        <v>36199.8</v>
      </c>
      <c r="M180" s="16">
        <f t="shared" si="4"/>
        <v>33415.2</v>
      </c>
      <c r="N180" s="16">
        <f t="shared" si="5"/>
        <v>32022.9</v>
      </c>
      <c r="O180" s="16">
        <f t="shared" si="6"/>
        <v>30630.6</v>
      </c>
    </row>
    <row r="181">
      <c r="A181" s="11" t="s">
        <v>99</v>
      </c>
      <c r="B181" s="11" t="s">
        <v>20</v>
      </c>
      <c r="C181" s="11" t="s">
        <v>387</v>
      </c>
      <c r="D181" s="11" t="s">
        <v>382</v>
      </c>
      <c r="E181" s="11" t="s">
        <v>398</v>
      </c>
      <c r="F181" s="11" t="s">
        <v>399</v>
      </c>
      <c r="G181" s="22"/>
      <c r="H181" s="27">
        <v>80.0</v>
      </c>
      <c r="I181" s="21">
        <f t="shared" si="7"/>
        <v>5040</v>
      </c>
      <c r="J181" s="16">
        <f t="shared" si="1"/>
        <v>7560</v>
      </c>
      <c r="K181" s="16">
        <f t="shared" si="2"/>
        <v>6552</v>
      </c>
      <c r="L181" s="16">
        <f t="shared" si="3"/>
        <v>6552</v>
      </c>
      <c r="M181" s="16">
        <f t="shared" si="4"/>
        <v>6048</v>
      </c>
      <c r="N181" s="16">
        <f t="shared" si="5"/>
        <v>5796</v>
      </c>
      <c r="O181" s="16">
        <f t="shared" si="6"/>
        <v>5544</v>
      </c>
    </row>
    <row r="182">
      <c r="A182" s="11" t="s">
        <v>99</v>
      </c>
      <c r="B182" s="11" t="s">
        <v>20</v>
      </c>
      <c r="C182" s="11" t="s">
        <v>387</v>
      </c>
      <c r="D182" s="11" t="s">
        <v>382</v>
      </c>
      <c r="E182" s="11" t="s">
        <v>400</v>
      </c>
      <c r="F182" s="11" t="s">
        <v>401</v>
      </c>
      <c r="G182" s="22"/>
      <c r="H182" s="27">
        <v>118.0</v>
      </c>
      <c r="I182" s="21">
        <f t="shared" si="7"/>
        <v>7434</v>
      </c>
      <c r="J182" s="16">
        <f t="shared" si="1"/>
        <v>11151</v>
      </c>
      <c r="K182" s="16">
        <f t="shared" si="2"/>
        <v>9664.2</v>
      </c>
      <c r="L182" s="16">
        <f t="shared" si="3"/>
        <v>9664.2</v>
      </c>
      <c r="M182" s="16">
        <f t="shared" si="4"/>
        <v>8920.8</v>
      </c>
      <c r="N182" s="16">
        <f t="shared" si="5"/>
        <v>8549.1</v>
      </c>
      <c r="O182" s="16">
        <f t="shared" si="6"/>
        <v>8177.4</v>
      </c>
    </row>
    <row r="183">
      <c r="A183" s="11" t="s">
        <v>99</v>
      </c>
      <c r="B183" s="11" t="s">
        <v>20</v>
      </c>
      <c r="C183" s="11" t="s">
        <v>130</v>
      </c>
      <c r="D183" s="11" t="s">
        <v>101</v>
      </c>
      <c r="E183" s="11" t="s">
        <v>402</v>
      </c>
      <c r="F183" s="11" t="s">
        <v>403</v>
      </c>
      <c r="G183" s="22"/>
      <c r="H183" s="27">
        <v>143.0</v>
      </c>
      <c r="I183" s="21">
        <f t="shared" si="7"/>
        <v>9009</v>
      </c>
      <c r="J183" s="16">
        <f t="shared" si="1"/>
        <v>13513.5</v>
      </c>
      <c r="K183" s="16">
        <f t="shared" si="2"/>
        <v>11711.7</v>
      </c>
      <c r="L183" s="16">
        <f t="shared" si="3"/>
        <v>11711.7</v>
      </c>
      <c r="M183" s="16">
        <f t="shared" si="4"/>
        <v>10810.8</v>
      </c>
      <c r="N183" s="16">
        <f t="shared" si="5"/>
        <v>10360.35</v>
      </c>
      <c r="O183" s="16">
        <f t="shared" si="6"/>
        <v>9909.9</v>
      </c>
    </row>
    <row r="184">
      <c r="A184" s="11" t="s">
        <v>99</v>
      </c>
      <c r="B184" s="11" t="s">
        <v>20</v>
      </c>
      <c r="C184" s="11" t="s">
        <v>130</v>
      </c>
      <c r="D184" s="11" t="s">
        <v>101</v>
      </c>
      <c r="E184" s="11" t="s">
        <v>404</v>
      </c>
      <c r="F184" s="11" t="s">
        <v>405</v>
      </c>
      <c r="G184" s="22"/>
      <c r="H184" s="27">
        <v>183.0</v>
      </c>
      <c r="I184" s="21">
        <f t="shared" si="7"/>
        <v>11529</v>
      </c>
      <c r="J184" s="16">
        <f t="shared" si="1"/>
        <v>17293.5</v>
      </c>
      <c r="K184" s="16">
        <f t="shared" si="2"/>
        <v>14987.7</v>
      </c>
      <c r="L184" s="16">
        <f t="shared" si="3"/>
        <v>14987.7</v>
      </c>
      <c r="M184" s="16">
        <f t="shared" si="4"/>
        <v>13834.8</v>
      </c>
      <c r="N184" s="16">
        <f t="shared" si="5"/>
        <v>13258.35</v>
      </c>
      <c r="O184" s="16">
        <f t="shared" si="6"/>
        <v>12681.9</v>
      </c>
    </row>
    <row r="185">
      <c r="A185" s="11" t="s">
        <v>99</v>
      </c>
      <c r="B185" s="11" t="s">
        <v>20</v>
      </c>
      <c r="C185" s="11" t="s">
        <v>130</v>
      </c>
      <c r="D185" s="11" t="s">
        <v>101</v>
      </c>
      <c r="E185" s="11" t="s">
        <v>406</v>
      </c>
      <c r="F185" s="11" t="s">
        <v>407</v>
      </c>
      <c r="G185" s="22"/>
      <c r="H185" s="27">
        <v>83.5</v>
      </c>
      <c r="I185" s="21">
        <f t="shared" si="7"/>
        <v>5260.5</v>
      </c>
      <c r="J185" s="16">
        <f t="shared" si="1"/>
        <v>7890.75</v>
      </c>
      <c r="K185" s="16">
        <f t="shared" si="2"/>
        <v>6838.65</v>
      </c>
      <c r="L185" s="16">
        <f t="shared" si="3"/>
        <v>6838.65</v>
      </c>
      <c r="M185" s="16">
        <f t="shared" si="4"/>
        <v>6312.6</v>
      </c>
      <c r="N185" s="16">
        <f t="shared" si="5"/>
        <v>6049.575</v>
      </c>
      <c r="O185" s="16">
        <f t="shared" si="6"/>
        <v>5786.55</v>
      </c>
    </row>
    <row r="186">
      <c r="A186" s="11" t="s">
        <v>99</v>
      </c>
      <c r="B186" s="11" t="s">
        <v>20</v>
      </c>
      <c r="C186" s="11" t="s">
        <v>130</v>
      </c>
      <c r="D186" s="11" t="s">
        <v>101</v>
      </c>
      <c r="E186" s="11" t="s">
        <v>408</v>
      </c>
      <c r="F186" s="11" t="s">
        <v>409</v>
      </c>
      <c r="G186" s="22"/>
      <c r="H186" s="27">
        <v>65.0</v>
      </c>
      <c r="I186" s="21">
        <f t="shared" si="7"/>
        <v>4095</v>
      </c>
      <c r="J186" s="16">
        <f t="shared" si="1"/>
        <v>6142.5</v>
      </c>
      <c r="K186" s="16">
        <f t="shared" si="2"/>
        <v>5323.5</v>
      </c>
      <c r="L186" s="16">
        <f t="shared" si="3"/>
        <v>5323.5</v>
      </c>
      <c r="M186" s="16">
        <f t="shared" si="4"/>
        <v>4914</v>
      </c>
      <c r="N186" s="16">
        <f t="shared" si="5"/>
        <v>4709.25</v>
      </c>
      <c r="O186" s="16">
        <f t="shared" si="6"/>
        <v>4504.5</v>
      </c>
    </row>
    <row r="187">
      <c r="A187" s="11" t="s">
        <v>99</v>
      </c>
      <c r="B187" s="11" t="s">
        <v>20</v>
      </c>
      <c r="C187" s="11" t="s">
        <v>130</v>
      </c>
      <c r="D187" s="11" t="s">
        <v>101</v>
      </c>
      <c r="E187" s="11" t="s">
        <v>410</v>
      </c>
      <c r="F187" s="11" t="s">
        <v>411</v>
      </c>
      <c r="G187" s="22"/>
      <c r="H187" s="27">
        <v>83.5</v>
      </c>
      <c r="I187" s="21">
        <f t="shared" si="7"/>
        <v>5260.5</v>
      </c>
      <c r="J187" s="16">
        <f t="shared" si="1"/>
        <v>7890.75</v>
      </c>
      <c r="K187" s="16">
        <f t="shared" si="2"/>
        <v>6838.65</v>
      </c>
      <c r="L187" s="16">
        <f t="shared" si="3"/>
        <v>6838.65</v>
      </c>
      <c r="M187" s="16">
        <f t="shared" si="4"/>
        <v>6312.6</v>
      </c>
      <c r="N187" s="16">
        <f t="shared" si="5"/>
        <v>6049.575</v>
      </c>
      <c r="O187" s="16">
        <f t="shared" si="6"/>
        <v>5786.55</v>
      </c>
    </row>
    <row r="188">
      <c r="A188" s="11" t="s">
        <v>99</v>
      </c>
      <c r="B188" s="11" t="s">
        <v>20</v>
      </c>
      <c r="C188" s="11" t="s">
        <v>130</v>
      </c>
      <c r="D188" s="11" t="s">
        <v>101</v>
      </c>
      <c r="E188" s="11" t="s">
        <v>140</v>
      </c>
      <c r="F188" s="11" t="s">
        <v>141</v>
      </c>
      <c r="G188" s="22"/>
      <c r="H188" s="27">
        <v>122.5</v>
      </c>
      <c r="I188" s="21">
        <f t="shared" si="7"/>
        <v>7717.5</v>
      </c>
      <c r="J188" s="16">
        <f t="shared" si="1"/>
        <v>11576.25</v>
      </c>
      <c r="K188" s="16">
        <f t="shared" si="2"/>
        <v>10032.75</v>
      </c>
      <c r="L188" s="16">
        <f t="shared" si="3"/>
        <v>10032.75</v>
      </c>
      <c r="M188" s="16">
        <f t="shared" si="4"/>
        <v>9261</v>
      </c>
      <c r="N188" s="16">
        <f t="shared" si="5"/>
        <v>8875.125</v>
      </c>
      <c r="O188" s="16">
        <f t="shared" si="6"/>
        <v>8489.25</v>
      </c>
    </row>
    <row r="189">
      <c r="A189" s="11" t="s">
        <v>99</v>
      </c>
      <c r="B189" s="11" t="s">
        <v>20</v>
      </c>
      <c r="C189" s="11" t="s">
        <v>130</v>
      </c>
      <c r="D189" s="11" t="s">
        <v>101</v>
      </c>
      <c r="E189" s="11" t="s">
        <v>142</v>
      </c>
      <c r="F189" s="11" t="s">
        <v>143</v>
      </c>
      <c r="G189" s="22"/>
      <c r="H189" s="24">
        <v>77.5</v>
      </c>
      <c r="I189" s="21">
        <f t="shared" si="7"/>
        <v>4882.5</v>
      </c>
      <c r="J189" s="16">
        <f t="shared" si="1"/>
        <v>7323.75</v>
      </c>
      <c r="K189" s="16">
        <f t="shared" si="2"/>
        <v>6347.25</v>
      </c>
      <c r="L189" s="16">
        <f t="shared" si="3"/>
        <v>6347.25</v>
      </c>
      <c r="M189" s="16">
        <f t="shared" si="4"/>
        <v>5859</v>
      </c>
      <c r="N189" s="16">
        <f t="shared" si="5"/>
        <v>5614.875</v>
      </c>
      <c r="O189" s="16">
        <f t="shared" si="6"/>
        <v>5370.75</v>
      </c>
    </row>
    <row r="190">
      <c r="A190" s="11" t="s">
        <v>99</v>
      </c>
      <c r="B190" s="11" t="s">
        <v>20</v>
      </c>
      <c r="C190" s="11" t="s">
        <v>130</v>
      </c>
      <c r="D190" s="11" t="s">
        <v>101</v>
      </c>
      <c r="E190" s="11" t="s">
        <v>144</v>
      </c>
      <c r="F190" s="11" t="s">
        <v>145</v>
      </c>
      <c r="G190" s="22"/>
      <c r="H190" s="24">
        <v>10.0</v>
      </c>
      <c r="I190" s="21">
        <f t="shared" si="7"/>
        <v>630</v>
      </c>
      <c r="J190" s="16">
        <f t="shared" si="1"/>
        <v>945</v>
      </c>
      <c r="K190" s="16">
        <f t="shared" si="2"/>
        <v>819</v>
      </c>
      <c r="L190" s="16">
        <f t="shared" si="3"/>
        <v>819</v>
      </c>
      <c r="M190" s="16">
        <f t="shared" si="4"/>
        <v>756</v>
      </c>
      <c r="N190" s="16">
        <f t="shared" si="5"/>
        <v>724.5</v>
      </c>
      <c r="O190" s="16">
        <f t="shared" si="6"/>
        <v>693</v>
      </c>
    </row>
    <row r="191">
      <c r="A191" s="11" t="s">
        <v>99</v>
      </c>
      <c r="B191" s="11" t="s">
        <v>20</v>
      </c>
      <c r="C191" s="11" t="s">
        <v>130</v>
      </c>
      <c r="D191" s="11" t="s">
        <v>101</v>
      </c>
      <c r="E191" s="11" t="s">
        <v>146</v>
      </c>
      <c r="F191" s="11" t="s">
        <v>147</v>
      </c>
      <c r="G191" s="22"/>
      <c r="H191" s="24">
        <v>10.0</v>
      </c>
      <c r="I191" s="21">
        <f t="shared" si="7"/>
        <v>630</v>
      </c>
      <c r="J191" s="16">
        <f t="shared" si="1"/>
        <v>945</v>
      </c>
      <c r="K191" s="16">
        <f t="shared" si="2"/>
        <v>819</v>
      </c>
      <c r="L191" s="16">
        <f t="shared" si="3"/>
        <v>819</v>
      </c>
      <c r="M191" s="16">
        <f t="shared" si="4"/>
        <v>756</v>
      </c>
      <c r="N191" s="16">
        <f t="shared" si="5"/>
        <v>724.5</v>
      </c>
      <c r="O191" s="16">
        <f t="shared" si="6"/>
        <v>693</v>
      </c>
    </row>
    <row r="192">
      <c r="A192" s="11" t="s">
        <v>99</v>
      </c>
      <c r="B192" s="11" t="s">
        <v>20</v>
      </c>
      <c r="C192" s="11" t="s">
        <v>130</v>
      </c>
      <c r="D192" s="11" t="s">
        <v>101</v>
      </c>
      <c r="E192" s="11" t="s">
        <v>148</v>
      </c>
      <c r="F192" s="11" t="s">
        <v>149</v>
      </c>
      <c r="G192" s="22"/>
      <c r="H192" s="24">
        <v>10.0</v>
      </c>
      <c r="I192" s="21">
        <f t="shared" si="7"/>
        <v>630</v>
      </c>
      <c r="J192" s="16">
        <f t="shared" si="1"/>
        <v>945</v>
      </c>
      <c r="K192" s="16">
        <f t="shared" si="2"/>
        <v>819</v>
      </c>
      <c r="L192" s="16">
        <f t="shared" si="3"/>
        <v>819</v>
      </c>
      <c r="M192" s="16">
        <f t="shared" si="4"/>
        <v>756</v>
      </c>
      <c r="N192" s="16">
        <f t="shared" si="5"/>
        <v>724.5</v>
      </c>
      <c r="O192" s="16">
        <f t="shared" si="6"/>
        <v>693</v>
      </c>
    </row>
    <row r="193">
      <c r="A193" s="11" t="s">
        <v>99</v>
      </c>
      <c r="B193" s="11" t="s">
        <v>20</v>
      </c>
      <c r="C193" s="11" t="s">
        <v>271</v>
      </c>
      <c r="D193" s="11" t="s">
        <v>159</v>
      </c>
      <c r="E193" s="11" t="s">
        <v>412</v>
      </c>
      <c r="F193" s="11" t="s">
        <v>413</v>
      </c>
      <c r="G193" s="22"/>
      <c r="H193" s="24">
        <v>323.0</v>
      </c>
      <c r="I193" s="21">
        <f t="shared" si="7"/>
        <v>20349</v>
      </c>
      <c r="J193" s="16">
        <f t="shared" si="1"/>
        <v>30523.5</v>
      </c>
      <c r="K193" s="16">
        <f t="shared" si="2"/>
        <v>26453.7</v>
      </c>
      <c r="L193" s="16">
        <f t="shared" si="3"/>
        <v>26453.7</v>
      </c>
      <c r="M193" s="16">
        <f t="shared" si="4"/>
        <v>24418.8</v>
      </c>
      <c r="N193" s="16">
        <f t="shared" si="5"/>
        <v>23401.35</v>
      </c>
      <c r="O193" s="16">
        <f t="shared" si="6"/>
        <v>22383.9</v>
      </c>
    </row>
    <row r="194">
      <c r="A194" s="11" t="s">
        <v>99</v>
      </c>
      <c r="B194" s="11" t="s">
        <v>20</v>
      </c>
      <c r="C194" s="11" t="s">
        <v>271</v>
      </c>
      <c r="D194" s="11" t="s">
        <v>159</v>
      </c>
      <c r="E194" s="11" t="s">
        <v>414</v>
      </c>
      <c r="F194" s="11" t="s">
        <v>415</v>
      </c>
      <c r="G194" s="22"/>
      <c r="H194" s="24">
        <v>323.0</v>
      </c>
      <c r="I194" s="21">
        <f t="shared" si="7"/>
        <v>20349</v>
      </c>
      <c r="J194" s="16">
        <f t="shared" si="1"/>
        <v>30523.5</v>
      </c>
      <c r="K194" s="16">
        <f t="shared" si="2"/>
        <v>26453.7</v>
      </c>
      <c r="L194" s="16">
        <f t="shared" si="3"/>
        <v>26453.7</v>
      </c>
      <c r="M194" s="16">
        <f t="shared" si="4"/>
        <v>24418.8</v>
      </c>
      <c r="N194" s="16">
        <f t="shared" si="5"/>
        <v>23401.35</v>
      </c>
      <c r="O194" s="16">
        <f t="shared" si="6"/>
        <v>22383.9</v>
      </c>
    </row>
    <row r="195">
      <c r="A195" s="11" t="s">
        <v>99</v>
      </c>
      <c r="B195" s="11" t="s">
        <v>20</v>
      </c>
      <c r="C195" s="11" t="s">
        <v>271</v>
      </c>
      <c r="D195" s="11" t="s">
        <v>159</v>
      </c>
      <c r="E195" s="11" t="s">
        <v>416</v>
      </c>
      <c r="F195" s="11" t="s">
        <v>417</v>
      </c>
      <c r="G195" s="22"/>
      <c r="H195" s="24">
        <v>94.0</v>
      </c>
      <c r="I195" s="21">
        <f t="shared" si="7"/>
        <v>5922</v>
      </c>
      <c r="J195" s="16">
        <f t="shared" si="1"/>
        <v>8883</v>
      </c>
      <c r="K195" s="16">
        <f t="shared" si="2"/>
        <v>7698.6</v>
      </c>
      <c r="L195" s="16">
        <f t="shared" si="3"/>
        <v>7698.6</v>
      </c>
      <c r="M195" s="16">
        <f t="shared" si="4"/>
        <v>7106.4</v>
      </c>
      <c r="N195" s="16">
        <f t="shared" si="5"/>
        <v>6810.3</v>
      </c>
      <c r="O195" s="16">
        <f t="shared" si="6"/>
        <v>6514.2</v>
      </c>
    </row>
    <row r="196">
      <c r="A196" s="11" t="s">
        <v>99</v>
      </c>
      <c r="B196" s="11" t="s">
        <v>20</v>
      </c>
      <c r="C196" s="11" t="s">
        <v>271</v>
      </c>
      <c r="D196" s="11" t="s">
        <v>159</v>
      </c>
      <c r="E196" s="11" t="s">
        <v>418</v>
      </c>
      <c r="F196" s="11" t="s">
        <v>419</v>
      </c>
      <c r="G196" s="22"/>
      <c r="H196" s="24">
        <v>106.0</v>
      </c>
      <c r="I196" s="21">
        <f t="shared" si="7"/>
        <v>6678</v>
      </c>
      <c r="J196" s="16">
        <f t="shared" si="1"/>
        <v>10017</v>
      </c>
      <c r="K196" s="16">
        <f t="shared" si="2"/>
        <v>8681.4</v>
      </c>
      <c r="L196" s="16">
        <f t="shared" si="3"/>
        <v>8681.4</v>
      </c>
      <c r="M196" s="16">
        <f t="shared" si="4"/>
        <v>8013.6</v>
      </c>
      <c r="N196" s="16">
        <f t="shared" si="5"/>
        <v>7679.7</v>
      </c>
      <c r="O196" s="16">
        <f t="shared" si="6"/>
        <v>7345.8</v>
      </c>
    </row>
    <row r="197">
      <c r="A197" s="11" t="s">
        <v>99</v>
      </c>
      <c r="B197" s="11" t="s">
        <v>20</v>
      </c>
      <c r="C197" s="11" t="s">
        <v>271</v>
      </c>
      <c r="D197" s="11" t="s">
        <v>159</v>
      </c>
      <c r="E197" s="11" t="s">
        <v>420</v>
      </c>
      <c r="F197" s="11" t="s">
        <v>421</v>
      </c>
      <c r="G197" s="22"/>
      <c r="H197" s="24">
        <v>115.0</v>
      </c>
      <c r="I197" s="21">
        <f t="shared" si="7"/>
        <v>7245</v>
      </c>
      <c r="J197" s="16">
        <f t="shared" si="1"/>
        <v>10867.5</v>
      </c>
      <c r="K197" s="16">
        <f t="shared" si="2"/>
        <v>9418.5</v>
      </c>
      <c r="L197" s="16">
        <f t="shared" si="3"/>
        <v>9418.5</v>
      </c>
      <c r="M197" s="16">
        <f t="shared" si="4"/>
        <v>8694</v>
      </c>
      <c r="N197" s="16">
        <f t="shared" si="5"/>
        <v>8331.75</v>
      </c>
      <c r="O197" s="16">
        <f t="shared" si="6"/>
        <v>7969.5</v>
      </c>
    </row>
    <row r="198">
      <c r="A198" s="11" t="s">
        <v>99</v>
      </c>
      <c r="B198" s="11" t="s">
        <v>20</v>
      </c>
      <c r="C198" s="11" t="s">
        <v>271</v>
      </c>
      <c r="D198" s="11" t="s">
        <v>159</v>
      </c>
      <c r="E198" s="11" t="s">
        <v>282</v>
      </c>
      <c r="F198" s="11" t="s">
        <v>283</v>
      </c>
      <c r="G198" s="22"/>
      <c r="H198" s="24">
        <v>119.0</v>
      </c>
      <c r="I198" s="21">
        <f t="shared" si="7"/>
        <v>7497</v>
      </c>
      <c r="J198" s="16">
        <f t="shared" si="1"/>
        <v>11245.5</v>
      </c>
      <c r="K198" s="16">
        <f t="shared" si="2"/>
        <v>9746.1</v>
      </c>
      <c r="L198" s="16">
        <f t="shared" si="3"/>
        <v>9746.1</v>
      </c>
      <c r="M198" s="16">
        <f t="shared" si="4"/>
        <v>8996.4</v>
      </c>
      <c r="N198" s="16">
        <f t="shared" si="5"/>
        <v>8621.55</v>
      </c>
      <c r="O198" s="16">
        <f t="shared" si="6"/>
        <v>8246.7</v>
      </c>
    </row>
    <row r="199">
      <c r="A199" s="11" t="s">
        <v>99</v>
      </c>
      <c r="B199" s="11" t="s">
        <v>20</v>
      </c>
      <c r="C199" s="11" t="s">
        <v>271</v>
      </c>
      <c r="D199" s="11" t="s">
        <v>159</v>
      </c>
      <c r="E199" s="11" t="s">
        <v>422</v>
      </c>
      <c r="F199" s="11" t="s">
        <v>423</v>
      </c>
      <c r="G199" s="22"/>
      <c r="H199" s="24">
        <v>199.0</v>
      </c>
      <c r="I199" s="21">
        <f t="shared" si="7"/>
        <v>12537</v>
      </c>
      <c r="J199" s="16">
        <f t="shared" si="1"/>
        <v>18805.5</v>
      </c>
      <c r="K199" s="16">
        <f t="shared" si="2"/>
        <v>16298.1</v>
      </c>
      <c r="L199" s="16">
        <f t="shared" si="3"/>
        <v>16298.1</v>
      </c>
      <c r="M199" s="16">
        <f t="shared" si="4"/>
        <v>15044.4</v>
      </c>
      <c r="N199" s="16">
        <f t="shared" si="5"/>
        <v>14417.55</v>
      </c>
      <c r="O199" s="16">
        <f t="shared" si="6"/>
        <v>13790.7</v>
      </c>
    </row>
    <row r="200">
      <c r="A200" s="11" t="s">
        <v>99</v>
      </c>
      <c r="B200" s="11" t="s">
        <v>20</v>
      </c>
      <c r="C200" s="11" t="s">
        <v>271</v>
      </c>
      <c r="D200" s="11" t="s">
        <v>159</v>
      </c>
      <c r="E200" s="11" t="s">
        <v>424</v>
      </c>
      <c r="F200" s="11" t="s">
        <v>425</v>
      </c>
      <c r="G200" s="22"/>
      <c r="H200" s="24">
        <v>333.5</v>
      </c>
      <c r="I200" s="21">
        <f t="shared" si="7"/>
        <v>21010.5</v>
      </c>
      <c r="J200" s="16">
        <f t="shared" si="1"/>
        <v>31515.75</v>
      </c>
      <c r="K200" s="16">
        <f t="shared" si="2"/>
        <v>27313.65</v>
      </c>
      <c r="L200" s="16">
        <f t="shared" si="3"/>
        <v>27313.65</v>
      </c>
      <c r="M200" s="16">
        <f t="shared" si="4"/>
        <v>25212.6</v>
      </c>
      <c r="N200" s="16">
        <f t="shared" si="5"/>
        <v>24162.075</v>
      </c>
      <c r="O200" s="16">
        <f t="shared" si="6"/>
        <v>23111.55</v>
      </c>
    </row>
    <row r="201">
      <c r="A201" s="11" t="s">
        <v>99</v>
      </c>
      <c r="B201" s="11" t="s">
        <v>20</v>
      </c>
      <c r="C201" s="11" t="s">
        <v>306</v>
      </c>
      <c r="D201" s="11" t="s">
        <v>159</v>
      </c>
      <c r="E201" s="11" t="s">
        <v>426</v>
      </c>
      <c r="F201" s="11" t="s">
        <v>427</v>
      </c>
      <c r="G201" s="22"/>
      <c r="H201" s="29">
        <v>323.0</v>
      </c>
      <c r="I201" s="21">
        <f t="shared" si="7"/>
        <v>20349</v>
      </c>
      <c r="J201" s="16">
        <f t="shared" si="1"/>
        <v>30523.5</v>
      </c>
      <c r="K201" s="16">
        <f t="shared" si="2"/>
        <v>26453.7</v>
      </c>
      <c r="L201" s="16">
        <f t="shared" si="3"/>
        <v>26453.7</v>
      </c>
      <c r="M201" s="16">
        <f t="shared" si="4"/>
        <v>24418.8</v>
      </c>
      <c r="N201" s="16">
        <f t="shared" si="5"/>
        <v>23401.35</v>
      </c>
      <c r="O201" s="16">
        <f t="shared" si="6"/>
        <v>22383.9</v>
      </c>
    </row>
    <row r="202">
      <c r="A202" s="11" t="s">
        <v>99</v>
      </c>
      <c r="B202" s="11" t="s">
        <v>20</v>
      </c>
      <c r="C202" s="11" t="s">
        <v>306</v>
      </c>
      <c r="D202" s="11" t="s">
        <v>159</v>
      </c>
      <c r="E202" s="11" t="s">
        <v>428</v>
      </c>
      <c r="F202" s="11" t="s">
        <v>429</v>
      </c>
      <c r="G202" s="22"/>
      <c r="H202" s="24">
        <v>323.0</v>
      </c>
      <c r="I202" s="21">
        <f t="shared" si="7"/>
        <v>20349</v>
      </c>
      <c r="J202" s="16">
        <f t="shared" si="1"/>
        <v>30523.5</v>
      </c>
      <c r="K202" s="16">
        <f t="shared" si="2"/>
        <v>26453.7</v>
      </c>
      <c r="L202" s="16">
        <f t="shared" si="3"/>
        <v>26453.7</v>
      </c>
      <c r="M202" s="16">
        <f t="shared" si="4"/>
        <v>24418.8</v>
      </c>
      <c r="N202" s="16">
        <f t="shared" si="5"/>
        <v>23401.35</v>
      </c>
      <c r="O202" s="16">
        <f t="shared" si="6"/>
        <v>22383.9</v>
      </c>
    </row>
    <row r="203">
      <c r="A203" s="11" t="s">
        <v>99</v>
      </c>
      <c r="B203" s="11" t="s">
        <v>20</v>
      </c>
      <c r="C203" s="11" t="s">
        <v>306</v>
      </c>
      <c r="D203" s="11" t="s">
        <v>159</v>
      </c>
      <c r="E203" s="11" t="s">
        <v>430</v>
      </c>
      <c r="F203" s="11" t="s">
        <v>431</v>
      </c>
      <c r="G203" s="22"/>
      <c r="H203" s="24">
        <v>58.5</v>
      </c>
      <c r="I203" s="21">
        <f t="shared" si="7"/>
        <v>3685.5</v>
      </c>
      <c r="J203" s="16">
        <f t="shared" si="1"/>
        <v>5528.25</v>
      </c>
      <c r="K203" s="16">
        <f t="shared" si="2"/>
        <v>4791.15</v>
      </c>
      <c r="L203" s="16">
        <f t="shared" si="3"/>
        <v>4791.15</v>
      </c>
      <c r="M203" s="16">
        <f t="shared" si="4"/>
        <v>4422.6</v>
      </c>
      <c r="N203" s="16">
        <f t="shared" si="5"/>
        <v>4238.325</v>
      </c>
      <c r="O203" s="16">
        <f t="shared" si="6"/>
        <v>4054.05</v>
      </c>
    </row>
    <row r="204">
      <c r="A204" s="11" t="s">
        <v>99</v>
      </c>
      <c r="B204" s="11" t="s">
        <v>20</v>
      </c>
      <c r="C204" s="11" t="s">
        <v>306</v>
      </c>
      <c r="D204" s="11" t="s">
        <v>159</v>
      </c>
      <c r="E204" s="11" t="s">
        <v>432</v>
      </c>
      <c r="F204" s="11" t="s">
        <v>433</v>
      </c>
      <c r="G204" s="22"/>
      <c r="H204" s="24">
        <v>65.5</v>
      </c>
      <c r="I204" s="21">
        <f t="shared" si="7"/>
        <v>4126.5</v>
      </c>
      <c r="J204" s="16">
        <f t="shared" si="1"/>
        <v>6189.75</v>
      </c>
      <c r="K204" s="16">
        <f t="shared" si="2"/>
        <v>5364.45</v>
      </c>
      <c r="L204" s="16">
        <f t="shared" si="3"/>
        <v>5364.45</v>
      </c>
      <c r="M204" s="16">
        <f t="shared" si="4"/>
        <v>4951.8</v>
      </c>
      <c r="N204" s="16">
        <f t="shared" si="5"/>
        <v>4745.475</v>
      </c>
      <c r="O204" s="16">
        <f t="shared" si="6"/>
        <v>4539.15</v>
      </c>
    </row>
    <row r="205">
      <c r="A205" s="11" t="s">
        <v>99</v>
      </c>
      <c r="B205" s="11" t="s">
        <v>20</v>
      </c>
      <c r="C205" s="11" t="s">
        <v>306</v>
      </c>
      <c r="D205" s="11" t="s">
        <v>159</v>
      </c>
      <c r="E205" s="11" t="s">
        <v>434</v>
      </c>
      <c r="F205" s="11" t="s">
        <v>435</v>
      </c>
      <c r="G205" s="22"/>
      <c r="H205" s="24">
        <v>70.0</v>
      </c>
      <c r="I205" s="21">
        <f t="shared" si="7"/>
        <v>4410</v>
      </c>
      <c r="J205" s="16">
        <f t="shared" si="1"/>
        <v>6615</v>
      </c>
      <c r="K205" s="16">
        <f t="shared" si="2"/>
        <v>5733</v>
      </c>
      <c r="L205" s="16">
        <f t="shared" si="3"/>
        <v>5733</v>
      </c>
      <c r="M205" s="16">
        <f t="shared" si="4"/>
        <v>5292</v>
      </c>
      <c r="N205" s="16">
        <f t="shared" si="5"/>
        <v>5071.5</v>
      </c>
      <c r="O205" s="16">
        <f t="shared" si="6"/>
        <v>4851</v>
      </c>
    </row>
    <row r="206">
      <c r="A206" s="11" t="s">
        <v>99</v>
      </c>
      <c r="B206" s="11" t="s">
        <v>20</v>
      </c>
      <c r="C206" s="11" t="s">
        <v>306</v>
      </c>
      <c r="D206" s="11" t="s">
        <v>159</v>
      </c>
      <c r="E206" s="11" t="s">
        <v>436</v>
      </c>
      <c r="F206" s="11" t="s">
        <v>281</v>
      </c>
      <c r="G206" s="22"/>
      <c r="H206" s="24">
        <v>176.5</v>
      </c>
      <c r="I206" s="21">
        <f t="shared" si="7"/>
        <v>11119.5</v>
      </c>
      <c r="J206" s="16">
        <f t="shared" si="1"/>
        <v>16679.25</v>
      </c>
      <c r="K206" s="16">
        <f t="shared" si="2"/>
        <v>14455.35</v>
      </c>
      <c r="L206" s="16">
        <f t="shared" si="3"/>
        <v>14455.35</v>
      </c>
      <c r="M206" s="16">
        <f t="shared" si="4"/>
        <v>13343.4</v>
      </c>
      <c r="N206" s="16">
        <f t="shared" si="5"/>
        <v>12787.425</v>
      </c>
      <c r="O206" s="16">
        <f t="shared" si="6"/>
        <v>12231.45</v>
      </c>
    </row>
    <row r="207">
      <c r="A207" s="11" t="s">
        <v>99</v>
      </c>
      <c r="B207" s="11" t="s">
        <v>20</v>
      </c>
      <c r="C207" s="11" t="s">
        <v>306</v>
      </c>
      <c r="D207" s="11" t="s">
        <v>159</v>
      </c>
      <c r="E207" s="11" t="s">
        <v>437</v>
      </c>
      <c r="F207" s="11" t="s">
        <v>316</v>
      </c>
      <c r="G207" s="22"/>
      <c r="H207" s="30">
        <v>209.0</v>
      </c>
      <c r="I207" s="21">
        <f t="shared" si="7"/>
        <v>13167</v>
      </c>
      <c r="J207" s="16">
        <f t="shared" si="1"/>
        <v>19750.5</v>
      </c>
      <c r="K207" s="16">
        <f t="shared" si="2"/>
        <v>17117.1</v>
      </c>
      <c r="L207" s="16">
        <f t="shared" si="3"/>
        <v>17117.1</v>
      </c>
      <c r="M207" s="16">
        <f t="shared" si="4"/>
        <v>15800.4</v>
      </c>
      <c r="N207" s="16">
        <f t="shared" si="5"/>
        <v>15142.05</v>
      </c>
      <c r="O207" s="16">
        <f t="shared" si="6"/>
        <v>14483.7</v>
      </c>
    </row>
    <row r="208">
      <c r="A208" s="11" t="s">
        <v>99</v>
      </c>
      <c r="B208" s="11" t="s">
        <v>20</v>
      </c>
      <c r="C208" s="11" t="s">
        <v>306</v>
      </c>
      <c r="D208" s="11" t="s">
        <v>159</v>
      </c>
      <c r="E208" s="11" t="s">
        <v>317</v>
      </c>
      <c r="F208" s="11" t="s">
        <v>318</v>
      </c>
      <c r="G208" s="22"/>
      <c r="H208" s="30">
        <v>64.0</v>
      </c>
      <c r="I208" s="21">
        <f t="shared" si="7"/>
        <v>4032</v>
      </c>
      <c r="J208" s="16">
        <f t="shared" si="1"/>
        <v>6048</v>
      </c>
      <c r="K208" s="16">
        <f t="shared" si="2"/>
        <v>5241.6</v>
      </c>
      <c r="L208" s="16">
        <f t="shared" si="3"/>
        <v>5241.6</v>
      </c>
      <c r="M208" s="16">
        <f t="shared" si="4"/>
        <v>4838.4</v>
      </c>
      <c r="N208" s="16">
        <f t="shared" si="5"/>
        <v>4636.8</v>
      </c>
      <c r="O208" s="16">
        <f t="shared" si="6"/>
        <v>4435.2</v>
      </c>
    </row>
    <row r="209">
      <c r="A209" s="11" t="s">
        <v>99</v>
      </c>
      <c r="B209" s="11" t="s">
        <v>20</v>
      </c>
      <c r="C209" s="11" t="s">
        <v>306</v>
      </c>
      <c r="D209" s="11" t="s">
        <v>159</v>
      </c>
      <c r="E209" s="11" t="s">
        <v>319</v>
      </c>
      <c r="F209" s="11" t="s">
        <v>320</v>
      </c>
      <c r="G209" s="22"/>
      <c r="H209" s="30">
        <v>79.0</v>
      </c>
      <c r="I209" s="21">
        <f t="shared" si="7"/>
        <v>4977</v>
      </c>
      <c r="J209" s="16">
        <f t="shared" si="1"/>
        <v>7465.5</v>
      </c>
      <c r="K209" s="16">
        <f t="shared" si="2"/>
        <v>6470.1</v>
      </c>
      <c r="L209" s="16">
        <f t="shared" si="3"/>
        <v>6470.1</v>
      </c>
      <c r="M209" s="16">
        <f t="shared" si="4"/>
        <v>5972.4</v>
      </c>
      <c r="N209" s="16">
        <f t="shared" si="5"/>
        <v>5723.55</v>
      </c>
      <c r="O209" s="16">
        <f t="shared" si="6"/>
        <v>5474.7</v>
      </c>
    </row>
    <row r="210">
      <c r="A210" s="11" t="s">
        <v>99</v>
      </c>
      <c r="B210" s="11" t="s">
        <v>20</v>
      </c>
      <c r="C210" s="11" t="s">
        <v>306</v>
      </c>
      <c r="D210" s="11" t="s">
        <v>159</v>
      </c>
      <c r="E210" s="11" t="s">
        <v>438</v>
      </c>
      <c r="F210" s="11" t="s">
        <v>322</v>
      </c>
      <c r="G210" s="22"/>
      <c r="H210" s="30">
        <v>312.0</v>
      </c>
      <c r="I210" s="21">
        <f t="shared" si="7"/>
        <v>19656</v>
      </c>
      <c r="J210" s="16">
        <f t="shared" si="1"/>
        <v>29484</v>
      </c>
      <c r="K210" s="16">
        <f t="shared" si="2"/>
        <v>25552.8</v>
      </c>
      <c r="L210" s="16">
        <f t="shared" si="3"/>
        <v>25552.8</v>
      </c>
      <c r="M210" s="16">
        <f t="shared" si="4"/>
        <v>23587.2</v>
      </c>
      <c r="N210" s="16">
        <f t="shared" si="5"/>
        <v>22604.4</v>
      </c>
      <c r="O210" s="16">
        <f t="shared" si="6"/>
        <v>21621.6</v>
      </c>
    </row>
    <row r="211">
      <c r="A211" s="11" t="s">
        <v>99</v>
      </c>
      <c r="B211" s="11" t="s">
        <v>20</v>
      </c>
      <c r="C211" s="11" t="s">
        <v>306</v>
      </c>
      <c r="D211" s="11" t="s">
        <v>159</v>
      </c>
      <c r="E211" s="11" t="s">
        <v>439</v>
      </c>
      <c r="F211" s="11" t="s">
        <v>287</v>
      </c>
      <c r="G211" s="22"/>
      <c r="H211" s="30">
        <v>11.5</v>
      </c>
      <c r="I211" s="21">
        <f t="shared" si="7"/>
        <v>724.5</v>
      </c>
      <c r="J211" s="16">
        <f t="shared" si="1"/>
        <v>1086.75</v>
      </c>
      <c r="K211" s="16">
        <f t="shared" si="2"/>
        <v>941.85</v>
      </c>
      <c r="L211" s="16">
        <f t="shared" si="3"/>
        <v>941.85</v>
      </c>
      <c r="M211" s="16">
        <f t="shared" si="4"/>
        <v>869.4</v>
      </c>
      <c r="N211" s="16">
        <f t="shared" si="5"/>
        <v>833.175</v>
      </c>
      <c r="O211" s="16">
        <f t="shared" si="6"/>
        <v>796.95</v>
      </c>
    </row>
    <row r="212">
      <c r="A212" s="11" t="s">
        <v>99</v>
      </c>
      <c r="B212" s="11" t="s">
        <v>20</v>
      </c>
      <c r="C212" s="11" t="s">
        <v>306</v>
      </c>
      <c r="D212" s="11" t="s">
        <v>159</v>
      </c>
      <c r="E212" s="11" t="s">
        <v>440</v>
      </c>
      <c r="F212" s="11" t="s">
        <v>193</v>
      </c>
      <c r="G212" s="22"/>
      <c r="H212" s="30">
        <v>32.0</v>
      </c>
      <c r="I212" s="21">
        <f t="shared" si="7"/>
        <v>2016</v>
      </c>
      <c r="J212" s="16">
        <f t="shared" si="1"/>
        <v>3024</v>
      </c>
      <c r="K212" s="16">
        <f t="shared" si="2"/>
        <v>2620.8</v>
      </c>
      <c r="L212" s="16">
        <f t="shared" si="3"/>
        <v>2620.8</v>
      </c>
      <c r="M212" s="16">
        <f t="shared" si="4"/>
        <v>2419.2</v>
      </c>
      <c r="N212" s="16">
        <f t="shared" si="5"/>
        <v>2318.4</v>
      </c>
      <c r="O212" s="16">
        <f t="shared" si="6"/>
        <v>2217.6</v>
      </c>
    </row>
    <row r="213">
      <c r="A213" s="11" t="s">
        <v>99</v>
      </c>
      <c r="B213" s="11" t="s">
        <v>20</v>
      </c>
      <c r="C213" s="11" t="s">
        <v>306</v>
      </c>
      <c r="D213" s="11" t="s">
        <v>159</v>
      </c>
      <c r="E213" s="11" t="s">
        <v>441</v>
      </c>
      <c r="F213" s="11" t="s">
        <v>442</v>
      </c>
      <c r="G213" s="22"/>
      <c r="H213" s="30">
        <v>37.0</v>
      </c>
      <c r="I213" s="21">
        <f t="shared" si="7"/>
        <v>2331</v>
      </c>
      <c r="J213" s="16">
        <f t="shared" si="1"/>
        <v>3496.5</v>
      </c>
      <c r="K213" s="16">
        <f t="shared" si="2"/>
        <v>3030.3</v>
      </c>
      <c r="L213" s="16">
        <f t="shared" si="3"/>
        <v>3030.3</v>
      </c>
      <c r="M213" s="16">
        <f t="shared" si="4"/>
        <v>2797.2</v>
      </c>
      <c r="N213" s="16">
        <f t="shared" si="5"/>
        <v>2680.65</v>
      </c>
      <c r="O213" s="16">
        <f t="shared" si="6"/>
        <v>2564.1</v>
      </c>
    </row>
    <row r="214">
      <c r="A214" s="11" t="s">
        <v>99</v>
      </c>
      <c r="B214" s="11" t="s">
        <v>20</v>
      </c>
      <c r="C214" s="11" t="s">
        <v>306</v>
      </c>
      <c r="D214" s="11" t="s">
        <v>159</v>
      </c>
      <c r="E214" s="11" t="s">
        <v>443</v>
      </c>
      <c r="F214" s="11" t="s">
        <v>444</v>
      </c>
      <c r="G214" s="22"/>
      <c r="H214" s="30">
        <v>43.5</v>
      </c>
      <c r="I214" s="21">
        <f t="shared" si="7"/>
        <v>2740.5</v>
      </c>
      <c r="J214" s="16">
        <f t="shared" si="1"/>
        <v>4110.75</v>
      </c>
      <c r="K214" s="16">
        <f t="shared" si="2"/>
        <v>3562.65</v>
      </c>
      <c r="L214" s="16">
        <f t="shared" si="3"/>
        <v>3562.65</v>
      </c>
      <c r="M214" s="16">
        <f t="shared" si="4"/>
        <v>3288.6</v>
      </c>
      <c r="N214" s="16">
        <f t="shared" si="5"/>
        <v>3151.575</v>
      </c>
      <c r="O214" s="16">
        <f t="shared" si="6"/>
        <v>3014.55</v>
      </c>
    </row>
    <row r="215">
      <c r="A215" s="11" t="s">
        <v>99</v>
      </c>
      <c r="B215" s="11" t="s">
        <v>20</v>
      </c>
      <c r="C215" s="11" t="s">
        <v>306</v>
      </c>
      <c r="D215" s="11" t="s">
        <v>159</v>
      </c>
      <c r="E215" s="11" t="s">
        <v>445</v>
      </c>
      <c r="F215" s="11" t="s">
        <v>446</v>
      </c>
      <c r="G215" s="22"/>
      <c r="H215" s="30">
        <v>50.0</v>
      </c>
      <c r="I215" s="21">
        <f t="shared" si="7"/>
        <v>3150</v>
      </c>
      <c r="J215" s="16">
        <f t="shared" si="1"/>
        <v>4725</v>
      </c>
      <c r="K215" s="16">
        <f t="shared" si="2"/>
        <v>4095</v>
      </c>
      <c r="L215" s="16">
        <f t="shared" si="3"/>
        <v>4095</v>
      </c>
      <c r="M215" s="16">
        <f t="shared" si="4"/>
        <v>3780</v>
      </c>
      <c r="N215" s="16">
        <f t="shared" si="5"/>
        <v>3622.5</v>
      </c>
      <c r="O215" s="16">
        <f t="shared" si="6"/>
        <v>3465</v>
      </c>
    </row>
    <row r="216">
      <c r="A216" s="11" t="s">
        <v>99</v>
      </c>
      <c r="B216" s="11" t="s">
        <v>20</v>
      </c>
      <c r="C216" s="11" t="s">
        <v>306</v>
      </c>
      <c r="D216" s="11" t="s">
        <v>159</v>
      </c>
      <c r="E216" s="11" t="s">
        <v>447</v>
      </c>
      <c r="F216" s="11" t="s">
        <v>448</v>
      </c>
      <c r="G216" s="22"/>
      <c r="H216" s="30">
        <v>41.0</v>
      </c>
      <c r="I216" s="21">
        <f t="shared" si="7"/>
        <v>2583</v>
      </c>
      <c r="J216" s="16">
        <f t="shared" si="1"/>
        <v>3874.5</v>
      </c>
      <c r="K216" s="16">
        <f t="shared" si="2"/>
        <v>3357.9</v>
      </c>
      <c r="L216" s="16">
        <f t="shared" si="3"/>
        <v>3357.9</v>
      </c>
      <c r="M216" s="16">
        <f t="shared" si="4"/>
        <v>3099.6</v>
      </c>
      <c r="N216" s="16">
        <f t="shared" si="5"/>
        <v>2970.45</v>
      </c>
      <c r="O216" s="16">
        <f t="shared" si="6"/>
        <v>2841.3</v>
      </c>
    </row>
    <row r="217">
      <c r="A217" s="11" t="s">
        <v>99</v>
      </c>
      <c r="B217" s="11" t="s">
        <v>20</v>
      </c>
      <c r="C217" s="11" t="s">
        <v>306</v>
      </c>
      <c r="D217" s="11" t="s">
        <v>159</v>
      </c>
      <c r="E217" s="11" t="s">
        <v>449</v>
      </c>
      <c r="F217" s="11" t="s">
        <v>450</v>
      </c>
      <c r="G217" s="22"/>
      <c r="H217" s="30">
        <v>51.0</v>
      </c>
      <c r="I217" s="21">
        <f t="shared" si="7"/>
        <v>3213</v>
      </c>
      <c r="J217" s="16">
        <f t="shared" si="1"/>
        <v>4819.5</v>
      </c>
      <c r="K217" s="16">
        <f t="shared" si="2"/>
        <v>4176.9</v>
      </c>
      <c r="L217" s="16">
        <f t="shared" si="3"/>
        <v>4176.9</v>
      </c>
      <c r="M217" s="16">
        <f t="shared" si="4"/>
        <v>3855.6</v>
      </c>
      <c r="N217" s="16">
        <f t="shared" si="5"/>
        <v>3694.95</v>
      </c>
      <c r="O217" s="16">
        <f t="shared" si="6"/>
        <v>3534.3</v>
      </c>
    </row>
    <row r="218">
      <c r="A218" s="11" t="s">
        <v>99</v>
      </c>
      <c r="B218" s="11" t="s">
        <v>20</v>
      </c>
      <c r="C218" s="11" t="s">
        <v>306</v>
      </c>
      <c r="D218" s="11" t="s">
        <v>159</v>
      </c>
      <c r="E218" s="11" t="s">
        <v>451</v>
      </c>
      <c r="F218" s="11" t="s">
        <v>452</v>
      </c>
      <c r="G218" s="22"/>
      <c r="H218" s="30">
        <v>63.0</v>
      </c>
      <c r="I218" s="21">
        <f t="shared" si="7"/>
        <v>3969</v>
      </c>
      <c r="J218" s="16">
        <f t="shared" si="1"/>
        <v>5953.5</v>
      </c>
      <c r="K218" s="16">
        <f t="shared" si="2"/>
        <v>5159.7</v>
      </c>
      <c r="L218" s="16">
        <f t="shared" si="3"/>
        <v>5159.7</v>
      </c>
      <c r="M218" s="16">
        <f t="shared" si="4"/>
        <v>4762.8</v>
      </c>
      <c r="N218" s="16">
        <f t="shared" si="5"/>
        <v>4564.35</v>
      </c>
      <c r="O218" s="16">
        <f t="shared" si="6"/>
        <v>4365.9</v>
      </c>
    </row>
    <row r="219">
      <c r="A219" s="11" t="s">
        <v>99</v>
      </c>
      <c r="B219" s="11" t="s">
        <v>20</v>
      </c>
      <c r="C219" s="11" t="s">
        <v>306</v>
      </c>
      <c r="D219" s="11" t="s">
        <v>159</v>
      </c>
      <c r="E219" s="11" t="s">
        <v>453</v>
      </c>
      <c r="F219" s="11" t="s">
        <v>454</v>
      </c>
      <c r="G219" s="22"/>
      <c r="H219" s="30">
        <v>68.0</v>
      </c>
      <c r="I219" s="21">
        <f t="shared" si="7"/>
        <v>4284</v>
      </c>
      <c r="J219" s="16">
        <f t="shared" si="1"/>
        <v>6426</v>
      </c>
      <c r="K219" s="16">
        <f t="shared" si="2"/>
        <v>5569.2</v>
      </c>
      <c r="L219" s="16">
        <f t="shared" si="3"/>
        <v>5569.2</v>
      </c>
      <c r="M219" s="16">
        <f t="shared" si="4"/>
        <v>5140.8</v>
      </c>
      <c r="N219" s="16">
        <f t="shared" si="5"/>
        <v>4926.6</v>
      </c>
      <c r="O219" s="16">
        <f t="shared" si="6"/>
        <v>4712.4</v>
      </c>
    </row>
    <row r="220">
      <c r="A220" s="11" t="s">
        <v>99</v>
      </c>
      <c r="B220" s="11" t="s">
        <v>20</v>
      </c>
      <c r="C220" s="11" t="s">
        <v>306</v>
      </c>
      <c r="D220" s="11" t="s">
        <v>159</v>
      </c>
      <c r="E220" s="11" t="s">
        <v>455</v>
      </c>
      <c r="F220" s="11" t="s">
        <v>456</v>
      </c>
      <c r="G220" s="22"/>
      <c r="H220" s="30">
        <v>93.0</v>
      </c>
      <c r="I220" s="21">
        <f t="shared" si="7"/>
        <v>5859</v>
      </c>
      <c r="J220" s="16">
        <f t="shared" si="1"/>
        <v>8788.5</v>
      </c>
      <c r="K220" s="16">
        <f t="shared" si="2"/>
        <v>7616.7</v>
      </c>
      <c r="L220" s="16">
        <f t="shared" si="3"/>
        <v>7616.7</v>
      </c>
      <c r="M220" s="16">
        <f t="shared" si="4"/>
        <v>7030.8</v>
      </c>
      <c r="N220" s="16">
        <f t="shared" si="5"/>
        <v>6737.85</v>
      </c>
      <c r="O220" s="16">
        <f t="shared" si="6"/>
        <v>6444.9</v>
      </c>
    </row>
    <row r="221">
      <c r="A221" s="11" t="s">
        <v>99</v>
      </c>
      <c r="B221" s="11" t="s">
        <v>20</v>
      </c>
      <c r="C221" s="11" t="s">
        <v>306</v>
      </c>
      <c r="D221" s="11" t="s">
        <v>159</v>
      </c>
      <c r="E221" s="11" t="s">
        <v>457</v>
      </c>
      <c r="F221" s="11" t="s">
        <v>458</v>
      </c>
      <c r="G221" s="22"/>
      <c r="H221" s="30">
        <v>119.0</v>
      </c>
      <c r="I221" s="21">
        <f t="shared" si="7"/>
        <v>7497</v>
      </c>
      <c r="J221" s="16">
        <f t="shared" si="1"/>
        <v>11245.5</v>
      </c>
      <c r="K221" s="16">
        <f t="shared" si="2"/>
        <v>9746.1</v>
      </c>
      <c r="L221" s="16">
        <f t="shared" si="3"/>
        <v>9746.1</v>
      </c>
      <c r="M221" s="16">
        <f t="shared" si="4"/>
        <v>8996.4</v>
      </c>
      <c r="N221" s="16">
        <f t="shared" si="5"/>
        <v>8621.55</v>
      </c>
      <c r="O221" s="16">
        <f t="shared" si="6"/>
        <v>8246.7</v>
      </c>
    </row>
    <row r="222">
      <c r="A222" s="11" t="s">
        <v>99</v>
      </c>
      <c r="B222" s="11" t="s">
        <v>20</v>
      </c>
      <c r="C222" s="11" t="s">
        <v>306</v>
      </c>
      <c r="D222" s="11" t="s">
        <v>159</v>
      </c>
      <c r="E222" s="11" t="s">
        <v>459</v>
      </c>
      <c r="F222" s="11" t="s">
        <v>460</v>
      </c>
      <c r="G222" s="22"/>
      <c r="H222" s="30">
        <v>89.0</v>
      </c>
      <c r="I222" s="21">
        <f t="shared" si="7"/>
        <v>5607</v>
      </c>
      <c r="J222" s="16">
        <f t="shared" si="1"/>
        <v>8410.5</v>
      </c>
      <c r="K222" s="16">
        <f t="shared" si="2"/>
        <v>7289.1</v>
      </c>
      <c r="L222" s="16">
        <f t="shared" si="3"/>
        <v>7289.1</v>
      </c>
      <c r="M222" s="16">
        <f t="shared" si="4"/>
        <v>6728.4</v>
      </c>
      <c r="N222" s="16">
        <f t="shared" si="5"/>
        <v>6448.05</v>
      </c>
      <c r="O222" s="16">
        <f t="shared" si="6"/>
        <v>6167.7</v>
      </c>
    </row>
    <row r="223">
      <c r="A223" s="11" t="s">
        <v>99</v>
      </c>
      <c r="B223" s="11" t="s">
        <v>20</v>
      </c>
      <c r="C223" s="11" t="s">
        <v>306</v>
      </c>
      <c r="D223" s="11" t="s">
        <v>159</v>
      </c>
      <c r="E223" s="11" t="s">
        <v>461</v>
      </c>
      <c r="F223" s="11" t="s">
        <v>462</v>
      </c>
      <c r="G223" s="22"/>
      <c r="H223" s="30">
        <v>115.0</v>
      </c>
      <c r="I223" s="21">
        <f t="shared" si="7"/>
        <v>7245</v>
      </c>
      <c r="J223" s="16">
        <f t="shared" si="1"/>
        <v>10867.5</v>
      </c>
      <c r="K223" s="16">
        <f t="shared" si="2"/>
        <v>9418.5</v>
      </c>
      <c r="L223" s="16">
        <f t="shared" si="3"/>
        <v>9418.5</v>
      </c>
      <c r="M223" s="16">
        <f t="shared" si="4"/>
        <v>8694</v>
      </c>
      <c r="N223" s="16">
        <f t="shared" si="5"/>
        <v>8331.75</v>
      </c>
      <c r="O223" s="16">
        <f t="shared" si="6"/>
        <v>7969.5</v>
      </c>
    </row>
    <row r="224">
      <c r="A224" s="11" t="s">
        <v>99</v>
      </c>
      <c r="B224" s="11" t="s">
        <v>20</v>
      </c>
      <c r="C224" s="11" t="s">
        <v>306</v>
      </c>
      <c r="D224" s="11" t="s">
        <v>159</v>
      </c>
      <c r="E224" s="11" t="s">
        <v>463</v>
      </c>
      <c r="F224" s="11" t="s">
        <v>464</v>
      </c>
      <c r="G224" s="22"/>
      <c r="H224" s="30">
        <v>145.0</v>
      </c>
      <c r="I224" s="21">
        <f t="shared" si="7"/>
        <v>9135</v>
      </c>
      <c r="J224" s="16">
        <f t="shared" si="1"/>
        <v>13702.5</v>
      </c>
      <c r="K224" s="16">
        <f t="shared" si="2"/>
        <v>11875.5</v>
      </c>
      <c r="L224" s="16">
        <f t="shared" si="3"/>
        <v>11875.5</v>
      </c>
      <c r="M224" s="16">
        <f t="shared" si="4"/>
        <v>10962</v>
      </c>
      <c r="N224" s="16">
        <f t="shared" si="5"/>
        <v>10505.25</v>
      </c>
      <c r="O224" s="16">
        <f t="shared" si="6"/>
        <v>10048.5</v>
      </c>
    </row>
    <row r="225">
      <c r="A225" s="11" t="s">
        <v>99</v>
      </c>
      <c r="B225" s="11" t="s">
        <v>20</v>
      </c>
      <c r="C225" s="11" t="s">
        <v>306</v>
      </c>
      <c r="D225" s="11" t="s">
        <v>159</v>
      </c>
      <c r="E225" s="11" t="s">
        <v>465</v>
      </c>
      <c r="F225" s="11" t="s">
        <v>466</v>
      </c>
      <c r="G225" s="22"/>
      <c r="H225" s="30">
        <v>189.0</v>
      </c>
      <c r="I225" s="21">
        <f t="shared" si="7"/>
        <v>11907</v>
      </c>
      <c r="J225" s="16">
        <f t="shared" si="1"/>
        <v>17860.5</v>
      </c>
      <c r="K225" s="16">
        <f t="shared" si="2"/>
        <v>15479.1</v>
      </c>
      <c r="L225" s="16">
        <f t="shared" si="3"/>
        <v>15479.1</v>
      </c>
      <c r="M225" s="16">
        <f t="shared" si="4"/>
        <v>14288.4</v>
      </c>
      <c r="N225" s="16">
        <f t="shared" si="5"/>
        <v>13693.05</v>
      </c>
      <c r="O225" s="16">
        <f t="shared" si="6"/>
        <v>13097.7</v>
      </c>
    </row>
    <row r="226">
      <c r="A226" s="11" t="s">
        <v>99</v>
      </c>
      <c r="B226" s="11" t="s">
        <v>20</v>
      </c>
      <c r="C226" s="11" t="s">
        <v>306</v>
      </c>
      <c r="D226" s="11" t="s">
        <v>159</v>
      </c>
      <c r="E226" s="11" t="s">
        <v>467</v>
      </c>
      <c r="F226" s="11" t="s">
        <v>468</v>
      </c>
      <c r="G226" s="22"/>
      <c r="H226" s="30">
        <v>227.0</v>
      </c>
      <c r="I226" s="21">
        <f t="shared" si="7"/>
        <v>14301</v>
      </c>
      <c r="J226" s="16">
        <f t="shared" si="1"/>
        <v>21451.5</v>
      </c>
      <c r="K226" s="16">
        <f t="shared" si="2"/>
        <v>18591.3</v>
      </c>
      <c r="L226" s="16">
        <f t="shared" si="3"/>
        <v>18591.3</v>
      </c>
      <c r="M226" s="16">
        <f t="shared" si="4"/>
        <v>17161.2</v>
      </c>
      <c r="N226" s="16">
        <f t="shared" si="5"/>
        <v>16446.15</v>
      </c>
      <c r="O226" s="16">
        <f t="shared" si="6"/>
        <v>15731.1</v>
      </c>
    </row>
    <row r="227">
      <c r="A227" s="11" t="s">
        <v>99</v>
      </c>
      <c r="B227" s="11" t="s">
        <v>20</v>
      </c>
      <c r="C227" s="11" t="s">
        <v>306</v>
      </c>
      <c r="D227" s="11" t="s">
        <v>159</v>
      </c>
      <c r="E227" s="11" t="s">
        <v>469</v>
      </c>
      <c r="F227" s="11" t="s">
        <v>470</v>
      </c>
      <c r="G227" s="22"/>
      <c r="H227" s="30">
        <v>269.0</v>
      </c>
      <c r="I227" s="21">
        <f t="shared" si="7"/>
        <v>16947</v>
      </c>
      <c r="J227" s="16">
        <f t="shared" si="1"/>
        <v>25420.5</v>
      </c>
      <c r="K227" s="16">
        <f t="shared" si="2"/>
        <v>22031.1</v>
      </c>
      <c r="L227" s="16">
        <f t="shared" si="3"/>
        <v>22031.1</v>
      </c>
      <c r="M227" s="16">
        <f t="shared" si="4"/>
        <v>20336.4</v>
      </c>
      <c r="N227" s="16">
        <f t="shared" si="5"/>
        <v>19489.05</v>
      </c>
      <c r="O227" s="16">
        <f t="shared" si="6"/>
        <v>18641.7</v>
      </c>
    </row>
    <row r="228">
      <c r="A228" s="11" t="s">
        <v>99</v>
      </c>
      <c r="B228" s="11" t="s">
        <v>20</v>
      </c>
      <c r="C228" s="11" t="s">
        <v>323</v>
      </c>
      <c r="D228" s="11" t="s">
        <v>159</v>
      </c>
      <c r="E228" s="11" t="s">
        <v>471</v>
      </c>
      <c r="F228" s="11" t="s">
        <v>472</v>
      </c>
      <c r="G228" s="22"/>
      <c r="H228" s="25">
        <v>154.0</v>
      </c>
      <c r="I228" s="21">
        <f t="shared" si="7"/>
        <v>9702</v>
      </c>
      <c r="J228" s="16">
        <f t="shared" si="1"/>
        <v>14553</v>
      </c>
      <c r="K228" s="16">
        <f t="shared" si="2"/>
        <v>12612.6</v>
      </c>
      <c r="L228" s="16">
        <f t="shared" si="3"/>
        <v>12612.6</v>
      </c>
      <c r="M228" s="16">
        <f t="shared" si="4"/>
        <v>11642.4</v>
      </c>
      <c r="N228" s="16">
        <f t="shared" si="5"/>
        <v>11157.3</v>
      </c>
      <c r="O228" s="16">
        <f t="shared" si="6"/>
        <v>10672.2</v>
      </c>
    </row>
    <row r="229">
      <c r="A229" s="11" t="s">
        <v>99</v>
      </c>
      <c r="B229" s="11" t="s">
        <v>20</v>
      </c>
      <c r="C229" s="11" t="s">
        <v>323</v>
      </c>
      <c r="D229" s="11" t="s">
        <v>159</v>
      </c>
      <c r="E229" s="11">
        <v>1281.0</v>
      </c>
      <c r="F229" s="11" t="s">
        <v>473</v>
      </c>
      <c r="G229" s="22"/>
      <c r="H229" s="30">
        <v>151.0</v>
      </c>
      <c r="I229" s="21">
        <f t="shared" si="7"/>
        <v>9513</v>
      </c>
      <c r="J229" s="16">
        <f t="shared" si="1"/>
        <v>14269.5</v>
      </c>
      <c r="K229" s="16">
        <f t="shared" si="2"/>
        <v>12366.9</v>
      </c>
      <c r="L229" s="16">
        <f t="shared" si="3"/>
        <v>12366.9</v>
      </c>
      <c r="M229" s="16">
        <f t="shared" si="4"/>
        <v>11415.6</v>
      </c>
      <c r="N229" s="16">
        <f t="shared" si="5"/>
        <v>10939.95</v>
      </c>
      <c r="O229" s="16">
        <f t="shared" si="6"/>
        <v>10464.3</v>
      </c>
    </row>
    <row r="230">
      <c r="A230" s="11" t="s">
        <v>99</v>
      </c>
      <c r="B230" s="11" t="s">
        <v>20</v>
      </c>
      <c r="C230" s="11" t="s">
        <v>323</v>
      </c>
      <c r="D230" s="11" t="s">
        <v>159</v>
      </c>
      <c r="E230" s="11" t="s">
        <v>474</v>
      </c>
      <c r="F230" s="11" t="s">
        <v>475</v>
      </c>
      <c r="G230" s="22"/>
      <c r="H230" s="25">
        <v>29.0</v>
      </c>
      <c r="I230" s="21">
        <f t="shared" si="7"/>
        <v>1827</v>
      </c>
      <c r="J230" s="16">
        <f t="shared" si="1"/>
        <v>2740.5</v>
      </c>
      <c r="K230" s="16">
        <f t="shared" si="2"/>
        <v>2375.1</v>
      </c>
      <c r="L230" s="16">
        <f t="shared" si="3"/>
        <v>2375.1</v>
      </c>
      <c r="M230" s="16">
        <f t="shared" si="4"/>
        <v>2192.4</v>
      </c>
      <c r="N230" s="16">
        <f t="shared" si="5"/>
        <v>2101.05</v>
      </c>
      <c r="O230" s="16">
        <f t="shared" si="6"/>
        <v>2009.7</v>
      </c>
    </row>
    <row r="231">
      <c r="A231" s="11" t="s">
        <v>99</v>
      </c>
      <c r="B231" s="11" t="s">
        <v>20</v>
      </c>
      <c r="C231" s="11" t="s">
        <v>323</v>
      </c>
      <c r="D231" s="11" t="s">
        <v>159</v>
      </c>
      <c r="E231" s="11">
        <v>1471.0</v>
      </c>
      <c r="F231" s="11" t="s">
        <v>476</v>
      </c>
      <c r="G231" s="22"/>
      <c r="H231" s="24">
        <v>35.0</v>
      </c>
      <c r="I231" s="21">
        <f t="shared" si="7"/>
        <v>2205</v>
      </c>
      <c r="J231" s="16">
        <f t="shared" si="1"/>
        <v>3307.5</v>
      </c>
      <c r="K231" s="16">
        <f t="shared" si="2"/>
        <v>2866.5</v>
      </c>
      <c r="L231" s="16">
        <f t="shared" si="3"/>
        <v>2866.5</v>
      </c>
      <c r="M231" s="16">
        <f t="shared" si="4"/>
        <v>2646</v>
      </c>
      <c r="N231" s="16">
        <f t="shared" si="5"/>
        <v>2535.75</v>
      </c>
      <c r="O231" s="16">
        <f t="shared" si="6"/>
        <v>2425.5</v>
      </c>
    </row>
    <row r="232">
      <c r="A232" s="11" t="s">
        <v>99</v>
      </c>
      <c r="B232" s="11" t="s">
        <v>20</v>
      </c>
      <c r="C232" s="11" t="s">
        <v>323</v>
      </c>
      <c r="D232" s="11" t="s">
        <v>159</v>
      </c>
      <c r="E232" s="11" t="s">
        <v>477</v>
      </c>
      <c r="F232" s="11" t="s">
        <v>478</v>
      </c>
      <c r="G232" s="22"/>
      <c r="H232" s="25">
        <v>39.0</v>
      </c>
      <c r="I232" s="21">
        <f t="shared" si="7"/>
        <v>2457</v>
      </c>
      <c r="J232" s="16">
        <f t="shared" si="1"/>
        <v>3685.5</v>
      </c>
      <c r="K232" s="16">
        <f t="shared" si="2"/>
        <v>3194.1</v>
      </c>
      <c r="L232" s="16">
        <f t="shared" si="3"/>
        <v>3194.1</v>
      </c>
      <c r="M232" s="16">
        <f t="shared" si="4"/>
        <v>2948.4</v>
      </c>
      <c r="N232" s="16">
        <f t="shared" si="5"/>
        <v>2825.55</v>
      </c>
      <c r="O232" s="16">
        <f t="shared" si="6"/>
        <v>2702.7</v>
      </c>
    </row>
    <row r="233">
      <c r="A233" s="11" t="s">
        <v>99</v>
      </c>
      <c r="B233" s="11" t="s">
        <v>20</v>
      </c>
      <c r="C233" s="11" t="s">
        <v>323</v>
      </c>
      <c r="D233" s="11" t="s">
        <v>159</v>
      </c>
      <c r="E233" s="11">
        <v>1472.0</v>
      </c>
      <c r="F233" s="11" t="s">
        <v>479</v>
      </c>
      <c r="G233" s="22"/>
      <c r="H233" s="30">
        <v>39.5</v>
      </c>
      <c r="I233" s="21">
        <f t="shared" si="7"/>
        <v>2488.5</v>
      </c>
      <c r="J233" s="16">
        <f t="shared" si="1"/>
        <v>3732.75</v>
      </c>
      <c r="K233" s="16">
        <f t="shared" si="2"/>
        <v>3235.05</v>
      </c>
      <c r="L233" s="16">
        <f t="shared" si="3"/>
        <v>3235.05</v>
      </c>
      <c r="M233" s="16">
        <f t="shared" si="4"/>
        <v>2986.2</v>
      </c>
      <c r="N233" s="16">
        <f t="shared" si="5"/>
        <v>2861.775</v>
      </c>
      <c r="O233" s="16">
        <f t="shared" si="6"/>
        <v>2737.35</v>
      </c>
    </row>
    <row r="234">
      <c r="A234" s="11" t="s">
        <v>99</v>
      </c>
      <c r="B234" s="11" t="s">
        <v>20</v>
      </c>
      <c r="C234" s="11" t="s">
        <v>323</v>
      </c>
      <c r="D234" s="11" t="s">
        <v>159</v>
      </c>
      <c r="E234" s="11">
        <v>1473.0</v>
      </c>
      <c r="F234" s="11" t="s">
        <v>480</v>
      </c>
      <c r="G234" s="22"/>
      <c r="H234" s="30">
        <v>72.5</v>
      </c>
      <c r="I234" s="21">
        <f t="shared" si="7"/>
        <v>4567.5</v>
      </c>
      <c r="J234" s="16">
        <f t="shared" si="1"/>
        <v>6851.25</v>
      </c>
      <c r="K234" s="16">
        <f t="shared" si="2"/>
        <v>5937.75</v>
      </c>
      <c r="L234" s="16">
        <f t="shared" si="3"/>
        <v>5937.75</v>
      </c>
      <c r="M234" s="16">
        <f t="shared" si="4"/>
        <v>5481</v>
      </c>
      <c r="N234" s="16">
        <f t="shared" si="5"/>
        <v>5252.625</v>
      </c>
      <c r="O234" s="16">
        <f t="shared" si="6"/>
        <v>5024.25</v>
      </c>
    </row>
    <row r="235">
      <c r="A235" s="11" t="s">
        <v>99</v>
      </c>
      <c r="B235" s="11" t="s">
        <v>20</v>
      </c>
      <c r="C235" s="11" t="s">
        <v>323</v>
      </c>
      <c r="D235" s="11" t="s">
        <v>159</v>
      </c>
      <c r="E235" s="11" t="s">
        <v>481</v>
      </c>
      <c r="F235" s="11" t="s">
        <v>482</v>
      </c>
      <c r="G235" s="22"/>
      <c r="H235" s="30">
        <v>165.5</v>
      </c>
      <c r="I235" s="21">
        <f t="shared" si="7"/>
        <v>10426.5</v>
      </c>
      <c r="J235" s="16">
        <f t="shared" si="1"/>
        <v>15639.75</v>
      </c>
      <c r="K235" s="16">
        <f t="shared" si="2"/>
        <v>13554.45</v>
      </c>
      <c r="L235" s="16">
        <f t="shared" si="3"/>
        <v>13554.45</v>
      </c>
      <c r="M235" s="16">
        <f t="shared" si="4"/>
        <v>12511.8</v>
      </c>
      <c r="N235" s="16">
        <f t="shared" si="5"/>
        <v>11990.475</v>
      </c>
      <c r="O235" s="16">
        <f t="shared" si="6"/>
        <v>11469.15</v>
      </c>
    </row>
    <row r="236">
      <c r="A236" s="11" t="s">
        <v>99</v>
      </c>
      <c r="B236" s="11" t="s">
        <v>20</v>
      </c>
      <c r="C236" s="11" t="s">
        <v>323</v>
      </c>
      <c r="D236" s="11" t="s">
        <v>159</v>
      </c>
      <c r="E236" s="11">
        <v>476.0</v>
      </c>
      <c r="F236" s="11" t="s">
        <v>483</v>
      </c>
      <c r="G236" s="22"/>
      <c r="H236" s="30">
        <v>103.0</v>
      </c>
      <c r="I236" s="21">
        <f t="shared" si="7"/>
        <v>6489</v>
      </c>
      <c r="J236" s="16">
        <f t="shared" si="1"/>
        <v>9733.5</v>
      </c>
      <c r="K236" s="16">
        <f t="shared" si="2"/>
        <v>8435.7</v>
      </c>
      <c r="L236" s="16">
        <f t="shared" si="3"/>
        <v>8435.7</v>
      </c>
      <c r="M236" s="16">
        <f t="shared" si="4"/>
        <v>7786.8</v>
      </c>
      <c r="N236" s="16">
        <f t="shared" si="5"/>
        <v>7462.35</v>
      </c>
      <c r="O236" s="16">
        <f t="shared" si="6"/>
        <v>7137.9</v>
      </c>
    </row>
    <row r="237">
      <c r="A237" s="11" t="s">
        <v>99</v>
      </c>
      <c r="B237" s="11" t="s">
        <v>20</v>
      </c>
      <c r="C237" s="11" t="s">
        <v>323</v>
      </c>
      <c r="D237" s="11" t="s">
        <v>159</v>
      </c>
      <c r="E237" s="11" t="s">
        <v>484</v>
      </c>
      <c r="F237" s="11" t="s">
        <v>485</v>
      </c>
      <c r="G237" s="22"/>
      <c r="H237" s="24">
        <v>27.0</v>
      </c>
      <c r="I237" s="21">
        <f t="shared" si="7"/>
        <v>1701</v>
      </c>
      <c r="J237" s="16">
        <f t="shared" si="1"/>
        <v>2551.5</v>
      </c>
      <c r="K237" s="16">
        <f t="shared" si="2"/>
        <v>2211.3</v>
      </c>
      <c r="L237" s="16">
        <f t="shared" si="3"/>
        <v>2211.3</v>
      </c>
      <c r="M237" s="16">
        <f t="shared" si="4"/>
        <v>2041.2</v>
      </c>
      <c r="N237" s="16">
        <f t="shared" si="5"/>
        <v>1956.15</v>
      </c>
      <c r="O237" s="16">
        <f t="shared" si="6"/>
        <v>1871.1</v>
      </c>
    </row>
    <row r="238">
      <c r="A238" s="11" t="s">
        <v>99</v>
      </c>
      <c r="B238" s="11" t="s">
        <v>20</v>
      </c>
      <c r="C238" s="11" t="s">
        <v>323</v>
      </c>
      <c r="D238" s="11" t="s">
        <v>159</v>
      </c>
      <c r="E238" s="11" t="s">
        <v>486</v>
      </c>
      <c r="F238" s="11" t="s">
        <v>487</v>
      </c>
      <c r="G238" s="22"/>
      <c r="H238" s="24">
        <v>27.0</v>
      </c>
      <c r="I238" s="21">
        <f t="shared" si="7"/>
        <v>1701</v>
      </c>
      <c r="J238" s="16">
        <f t="shared" si="1"/>
        <v>2551.5</v>
      </c>
      <c r="K238" s="16">
        <f t="shared" si="2"/>
        <v>2211.3</v>
      </c>
      <c r="L238" s="16">
        <f t="shared" si="3"/>
        <v>2211.3</v>
      </c>
      <c r="M238" s="16">
        <f t="shared" si="4"/>
        <v>2041.2</v>
      </c>
      <c r="N238" s="16">
        <f t="shared" si="5"/>
        <v>1956.15</v>
      </c>
      <c r="O238" s="16">
        <f t="shared" si="6"/>
        <v>1871.1</v>
      </c>
    </row>
    <row r="239">
      <c r="A239" s="11" t="s">
        <v>99</v>
      </c>
      <c r="B239" s="11" t="s">
        <v>20</v>
      </c>
      <c r="C239" s="11" t="s">
        <v>323</v>
      </c>
      <c r="D239" s="11" t="s">
        <v>159</v>
      </c>
      <c r="E239" s="11" t="s">
        <v>488</v>
      </c>
      <c r="F239" s="11" t="s">
        <v>489</v>
      </c>
      <c r="G239" s="22"/>
      <c r="H239" s="24">
        <v>25.5</v>
      </c>
      <c r="I239" s="21">
        <f t="shared" si="7"/>
        <v>1606.5</v>
      </c>
      <c r="J239" s="16">
        <f t="shared" si="1"/>
        <v>2409.75</v>
      </c>
      <c r="K239" s="16">
        <f t="shared" si="2"/>
        <v>2088.45</v>
      </c>
      <c r="L239" s="16">
        <f t="shared" si="3"/>
        <v>2088.45</v>
      </c>
      <c r="M239" s="16">
        <f t="shared" si="4"/>
        <v>1927.8</v>
      </c>
      <c r="N239" s="16">
        <f t="shared" si="5"/>
        <v>1847.475</v>
      </c>
      <c r="O239" s="16">
        <f t="shared" si="6"/>
        <v>1767.15</v>
      </c>
    </row>
    <row r="240">
      <c r="A240" s="11" t="s">
        <v>99</v>
      </c>
      <c r="B240" s="11" t="s">
        <v>20</v>
      </c>
      <c r="C240" s="11" t="s">
        <v>323</v>
      </c>
      <c r="D240" s="11" t="s">
        <v>159</v>
      </c>
      <c r="E240" s="11" t="s">
        <v>490</v>
      </c>
      <c r="F240" s="11" t="s">
        <v>491</v>
      </c>
      <c r="G240" s="22"/>
      <c r="H240" s="24">
        <v>21.0</v>
      </c>
      <c r="I240" s="21">
        <f t="shared" si="7"/>
        <v>1323</v>
      </c>
      <c r="J240" s="16">
        <f t="shared" si="1"/>
        <v>1984.5</v>
      </c>
      <c r="K240" s="16">
        <f t="shared" si="2"/>
        <v>1719.9</v>
      </c>
      <c r="L240" s="16">
        <f t="shared" si="3"/>
        <v>1719.9</v>
      </c>
      <c r="M240" s="16">
        <f t="shared" si="4"/>
        <v>1587.6</v>
      </c>
      <c r="N240" s="16">
        <f t="shared" si="5"/>
        <v>1521.45</v>
      </c>
      <c r="O240" s="16">
        <f t="shared" si="6"/>
        <v>1455.3</v>
      </c>
    </row>
    <row r="241">
      <c r="A241" s="11" t="s">
        <v>99</v>
      </c>
      <c r="B241" s="11" t="s">
        <v>20</v>
      </c>
      <c r="C241" s="11" t="s">
        <v>323</v>
      </c>
      <c r="D241" s="11" t="s">
        <v>159</v>
      </c>
      <c r="E241" s="11" t="s">
        <v>492</v>
      </c>
      <c r="F241" s="11" t="s">
        <v>493</v>
      </c>
      <c r="G241" s="22"/>
      <c r="H241" s="24">
        <v>32.0</v>
      </c>
      <c r="I241" s="21">
        <f t="shared" si="7"/>
        <v>2016</v>
      </c>
      <c r="J241" s="16">
        <f t="shared" si="1"/>
        <v>3024</v>
      </c>
      <c r="K241" s="16">
        <f t="shared" si="2"/>
        <v>2620.8</v>
      </c>
      <c r="L241" s="16">
        <f t="shared" si="3"/>
        <v>2620.8</v>
      </c>
      <c r="M241" s="16">
        <f t="shared" si="4"/>
        <v>2419.2</v>
      </c>
      <c r="N241" s="16">
        <f t="shared" si="5"/>
        <v>2318.4</v>
      </c>
      <c r="O241" s="16">
        <f t="shared" si="6"/>
        <v>2217.6</v>
      </c>
    </row>
    <row r="242">
      <c r="A242" s="11" t="s">
        <v>99</v>
      </c>
      <c r="B242" s="11" t="s">
        <v>20</v>
      </c>
      <c r="C242" s="11" t="s">
        <v>323</v>
      </c>
      <c r="D242" s="11" t="s">
        <v>159</v>
      </c>
      <c r="E242" s="11" t="s">
        <v>492</v>
      </c>
      <c r="F242" s="11" t="s">
        <v>494</v>
      </c>
      <c r="G242" s="22"/>
      <c r="H242" s="24">
        <v>27.0</v>
      </c>
      <c r="I242" s="21">
        <f t="shared" si="7"/>
        <v>1701</v>
      </c>
      <c r="J242" s="16">
        <f t="shared" si="1"/>
        <v>2551.5</v>
      </c>
      <c r="K242" s="16">
        <f t="shared" si="2"/>
        <v>2211.3</v>
      </c>
      <c r="L242" s="16">
        <f t="shared" si="3"/>
        <v>2211.3</v>
      </c>
      <c r="M242" s="16">
        <f t="shared" si="4"/>
        <v>2041.2</v>
      </c>
      <c r="N242" s="16">
        <f t="shared" si="5"/>
        <v>1956.15</v>
      </c>
      <c r="O242" s="16">
        <f t="shared" si="6"/>
        <v>1871.1</v>
      </c>
    </row>
    <row r="243">
      <c r="A243" s="11" t="s">
        <v>99</v>
      </c>
      <c r="B243" s="11" t="s">
        <v>20</v>
      </c>
      <c r="C243" s="11" t="s">
        <v>323</v>
      </c>
      <c r="D243" s="11" t="s">
        <v>159</v>
      </c>
      <c r="E243" s="11" t="s">
        <v>495</v>
      </c>
      <c r="F243" s="11" t="s">
        <v>496</v>
      </c>
      <c r="G243" s="22"/>
      <c r="H243" s="24">
        <v>552.0</v>
      </c>
      <c r="I243" s="21">
        <f t="shared" si="7"/>
        <v>34776</v>
      </c>
      <c r="J243" s="16">
        <f t="shared" si="1"/>
        <v>52164</v>
      </c>
      <c r="K243" s="16">
        <f t="shared" si="2"/>
        <v>45208.8</v>
      </c>
      <c r="L243" s="16">
        <f t="shared" si="3"/>
        <v>45208.8</v>
      </c>
      <c r="M243" s="16">
        <f t="shared" si="4"/>
        <v>41731.2</v>
      </c>
      <c r="N243" s="16">
        <f t="shared" si="5"/>
        <v>39992.4</v>
      </c>
      <c r="O243" s="16">
        <f t="shared" si="6"/>
        <v>38253.6</v>
      </c>
    </row>
    <row r="244">
      <c r="A244" s="11" t="s">
        <v>99</v>
      </c>
      <c r="B244" s="11" t="s">
        <v>20</v>
      </c>
      <c r="C244" s="11" t="s">
        <v>130</v>
      </c>
      <c r="D244" s="11" t="s">
        <v>101</v>
      </c>
      <c r="E244" s="11" t="s">
        <v>404</v>
      </c>
      <c r="F244" s="11" t="s">
        <v>405</v>
      </c>
      <c r="G244" s="22"/>
      <c r="H244" s="24">
        <v>183.0</v>
      </c>
      <c r="I244" s="21">
        <f t="shared" si="7"/>
        <v>11529</v>
      </c>
      <c r="J244" s="16">
        <f t="shared" si="1"/>
        <v>17293.5</v>
      </c>
      <c r="K244" s="16">
        <f t="shared" si="2"/>
        <v>14987.7</v>
      </c>
      <c r="L244" s="16">
        <f t="shared" si="3"/>
        <v>14987.7</v>
      </c>
      <c r="M244" s="16">
        <f t="shared" si="4"/>
        <v>13834.8</v>
      </c>
      <c r="N244" s="16">
        <f t="shared" si="5"/>
        <v>13258.35</v>
      </c>
      <c r="O244" s="16">
        <f t="shared" si="6"/>
        <v>12681.9</v>
      </c>
    </row>
    <row r="245">
      <c r="A245" s="11" t="s">
        <v>99</v>
      </c>
      <c r="B245" s="11" t="s">
        <v>20</v>
      </c>
      <c r="C245" s="11" t="s">
        <v>130</v>
      </c>
      <c r="D245" s="11" t="s">
        <v>101</v>
      </c>
      <c r="E245" s="11" t="s">
        <v>497</v>
      </c>
      <c r="F245" s="11" t="s">
        <v>498</v>
      </c>
      <c r="G245" s="22"/>
      <c r="H245" s="29">
        <v>4.0</v>
      </c>
      <c r="I245" s="21">
        <f t="shared" si="7"/>
        <v>252</v>
      </c>
      <c r="J245" s="16">
        <f t="shared" si="1"/>
        <v>378</v>
      </c>
      <c r="K245" s="16">
        <f t="shared" si="2"/>
        <v>327.6</v>
      </c>
      <c r="L245" s="16">
        <f t="shared" si="3"/>
        <v>327.6</v>
      </c>
      <c r="M245" s="16">
        <f t="shared" si="4"/>
        <v>302.4</v>
      </c>
      <c r="N245" s="16">
        <f t="shared" si="5"/>
        <v>289.8</v>
      </c>
      <c r="O245" s="16">
        <f t="shared" si="6"/>
        <v>277.2</v>
      </c>
    </row>
    <row r="246">
      <c r="A246" s="11" t="s">
        <v>99</v>
      </c>
      <c r="B246" s="11" t="s">
        <v>20</v>
      </c>
      <c r="C246" s="11" t="s">
        <v>130</v>
      </c>
      <c r="D246" s="11" t="s">
        <v>101</v>
      </c>
      <c r="E246" s="11" t="s">
        <v>499</v>
      </c>
      <c r="F246" s="11" t="s">
        <v>500</v>
      </c>
      <c r="G246" s="22"/>
      <c r="H246" s="24">
        <v>12.0</v>
      </c>
      <c r="I246" s="21">
        <f t="shared" si="7"/>
        <v>756</v>
      </c>
      <c r="J246" s="16">
        <f t="shared" si="1"/>
        <v>1134</v>
      </c>
      <c r="K246" s="16">
        <f t="shared" si="2"/>
        <v>982.8</v>
      </c>
      <c r="L246" s="16">
        <f t="shared" si="3"/>
        <v>982.8</v>
      </c>
      <c r="M246" s="16">
        <f t="shared" si="4"/>
        <v>907.2</v>
      </c>
      <c r="N246" s="16">
        <f t="shared" si="5"/>
        <v>869.4</v>
      </c>
      <c r="O246" s="16">
        <f t="shared" si="6"/>
        <v>831.6</v>
      </c>
    </row>
    <row r="247">
      <c r="A247" s="11" t="s">
        <v>99</v>
      </c>
      <c r="B247" s="11" t="s">
        <v>20</v>
      </c>
      <c r="C247" s="11" t="s">
        <v>130</v>
      </c>
      <c r="D247" s="11" t="s">
        <v>101</v>
      </c>
      <c r="E247" s="11" t="s">
        <v>501</v>
      </c>
      <c r="F247" s="11" t="s">
        <v>502</v>
      </c>
      <c r="G247" s="22"/>
      <c r="H247" s="29">
        <v>11.5</v>
      </c>
      <c r="I247" s="21">
        <f t="shared" si="7"/>
        <v>724.5</v>
      </c>
      <c r="J247" s="16">
        <f t="shared" si="1"/>
        <v>1086.75</v>
      </c>
      <c r="K247" s="16">
        <f t="shared" si="2"/>
        <v>941.85</v>
      </c>
      <c r="L247" s="16">
        <f t="shared" si="3"/>
        <v>941.85</v>
      </c>
      <c r="M247" s="16">
        <f t="shared" si="4"/>
        <v>869.4</v>
      </c>
      <c r="N247" s="16">
        <f t="shared" si="5"/>
        <v>833.175</v>
      </c>
      <c r="O247" s="16">
        <f t="shared" si="6"/>
        <v>796.95</v>
      </c>
    </row>
    <row r="248">
      <c r="A248" s="11" t="s">
        <v>99</v>
      </c>
      <c r="B248" s="11" t="s">
        <v>20</v>
      </c>
      <c r="C248" s="11" t="s">
        <v>271</v>
      </c>
      <c r="D248" s="11" t="s">
        <v>159</v>
      </c>
      <c r="E248" s="11" t="s">
        <v>503</v>
      </c>
      <c r="F248" s="11" t="s">
        <v>504</v>
      </c>
      <c r="G248" s="22"/>
      <c r="H248" s="29">
        <v>323.0</v>
      </c>
      <c r="I248" s="21">
        <f t="shared" si="7"/>
        <v>20349</v>
      </c>
      <c r="J248" s="16">
        <f t="shared" si="1"/>
        <v>30523.5</v>
      </c>
      <c r="K248" s="16">
        <f t="shared" si="2"/>
        <v>26453.7</v>
      </c>
      <c r="L248" s="16">
        <f t="shared" si="3"/>
        <v>26453.7</v>
      </c>
      <c r="M248" s="16">
        <f t="shared" si="4"/>
        <v>24418.8</v>
      </c>
      <c r="N248" s="16">
        <f t="shared" si="5"/>
        <v>23401.35</v>
      </c>
      <c r="O248" s="16">
        <f t="shared" si="6"/>
        <v>22383.9</v>
      </c>
    </row>
    <row r="249">
      <c r="A249" s="11" t="s">
        <v>99</v>
      </c>
      <c r="B249" s="11" t="s">
        <v>20</v>
      </c>
      <c r="C249" s="11" t="s">
        <v>271</v>
      </c>
      <c r="D249" s="11" t="s">
        <v>159</v>
      </c>
      <c r="E249" s="11" t="s">
        <v>505</v>
      </c>
      <c r="F249" s="11" t="s">
        <v>506</v>
      </c>
      <c r="G249" s="22"/>
      <c r="H249" s="29">
        <v>125.0</v>
      </c>
      <c r="I249" s="21">
        <f t="shared" si="7"/>
        <v>7875</v>
      </c>
      <c r="J249" s="16">
        <f t="shared" si="1"/>
        <v>11812.5</v>
      </c>
      <c r="K249" s="16">
        <f t="shared" si="2"/>
        <v>10237.5</v>
      </c>
      <c r="L249" s="16">
        <f t="shared" si="3"/>
        <v>10237.5</v>
      </c>
      <c r="M249" s="16">
        <f t="shared" si="4"/>
        <v>9450</v>
      </c>
      <c r="N249" s="16">
        <f t="shared" si="5"/>
        <v>9056.25</v>
      </c>
      <c r="O249" s="16">
        <f t="shared" si="6"/>
        <v>8662.5</v>
      </c>
    </row>
    <row r="250">
      <c r="A250" s="11" t="s">
        <v>99</v>
      </c>
      <c r="B250" s="11" t="s">
        <v>20</v>
      </c>
      <c r="C250" s="11" t="s">
        <v>271</v>
      </c>
      <c r="D250" s="11" t="s">
        <v>159</v>
      </c>
      <c r="E250" s="11" t="s">
        <v>507</v>
      </c>
      <c r="F250" s="11" t="s">
        <v>425</v>
      </c>
      <c r="G250" s="22"/>
      <c r="H250" s="29">
        <v>301.0</v>
      </c>
      <c r="I250" s="21">
        <f t="shared" si="7"/>
        <v>18963</v>
      </c>
      <c r="J250" s="16">
        <f t="shared" si="1"/>
        <v>28444.5</v>
      </c>
      <c r="K250" s="16">
        <f t="shared" si="2"/>
        <v>24651.9</v>
      </c>
      <c r="L250" s="16">
        <f t="shared" si="3"/>
        <v>24651.9</v>
      </c>
      <c r="M250" s="16">
        <f t="shared" si="4"/>
        <v>22755.6</v>
      </c>
      <c r="N250" s="16">
        <f t="shared" si="5"/>
        <v>21807.45</v>
      </c>
      <c r="O250" s="16">
        <f t="shared" si="6"/>
        <v>20859.3</v>
      </c>
    </row>
    <row r="251">
      <c r="A251" s="11" t="s">
        <v>99</v>
      </c>
      <c r="B251" s="11" t="s">
        <v>20</v>
      </c>
      <c r="C251" s="11" t="s">
        <v>306</v>
      </c>
      <c r="D251" s="11" t="s">
        <v>159</v>
      </c>
      <c r="E251" s="11" t="s">
        <v>508</v>
      </c>
      <c r="F251" s="11" t="s">
        <v>509</v>
      </c>
      <c r="G251" s="22"/>
      <c r="H251" s="29">
        <v>269.0</v>
      </c>
      <c r="I251" s="21">
        <f t="shared" si="7"/>
        <v>16947</v>
      </c>
      <c r="J251" s="16">
        <f t="shared" si="1"/>
        <v>25420.5</v>
      </c>
      <c r="K251" s="16">
        <f t="shared" si="2"/>
        <v>22031.1</v>
      </c>
      <c r="L251" s="16">
        <f t="shared" si="3"/>
        <v>22031.1</v>
      </c>
      <c r="M251" s="16">
        <f t="shared" si="4"/>
        <v>20336.4</v>
      </c>
      <c r="N251" s="16">
        <f t="shared" si="5"/>
        <v>19489.05</v>
      </c>
      <c r="O251" s="16">
        <f t="shared" si="6"/>
        <v>18641.7</v>
      </c>
    </row>
    <row r="252">
      <c r="A252" s="11" t="s">
        <v>99</v>
      </c>
      <c r="B252" s="11" t="s">
        <v>20</v>
      </c>
      <c r="C252" s="11" t="s">
        <v>306</v>
      </c>
      <c r="D252" s="11" t="s">
        <v>159</v>
      </c>
      <c r="E252" s="11" t="s">
        <v>510</v>
      </c>
      <c r="F252" s="11" t="s">
        <v>511</v>
      </c>
      <c r="G252" s="22"/>
      <c r="H252" s="29">
        <v>269.0</v>
      </c>
      <c r="I252" s="21">
        <f t="shared" si="7"/>
        <v>16947</v>
      </c>
      <c r="J252" s="16">
        <f t="shared" si="1"/>
        <v>25420.5</v>
      </c>
      <c r="K252" s="16">
        <f t="shared" si="2"/>
        <v>22031.1</v>
      </c>
      <c r="L252" s="16">
        <f t="shared" si="3"/>
        <v>22031.1</v>
      </c>
      <c r="M252" s="16">
        <f t="shared" si="4"/>
        <v>20336.4</v>
      </c>
      <c r="N252" s="16">
        <f t="shared" si="5"/>
        <v>19489.05</v>
      </c>
      <c r="O252" s="16">
        <f t="shared" si="6"/>
        <v>18641.7</v>
      </c>
    </row>
    <row r="253">
      <c r="A253" s="11" t="s">
        <v>99</v>
      </c>
      <c r="B253" s="11" t="s">
        <v>20</v>
      </c>
      <c r="C253" s="11" t="s">
        <v>306</v>
      </c>
      <c r="D253" s="11" t="s">
        <v>159</v>
      </c>
      <c r="E253" s="11" t="s">
        <v>512</v>
      </c>
      <c r="F253" s="11" t="s">
        <v>513</v>
      </c>
      <c r="G253" s="22"/>
      <c r="H253" s="29">
        <v>269.0</v>
      </c>
      <c r="I253" s="21">
        <f t="shared" si="7"/>
        <v>16947</v>
      </c>
      <c r="J253" s="16">
        <f t="shared" si="1"/>
        <v>25420.5</v>
      </c>
      <c r="K253" s="16">
        <f t="shared" si="2"/>
        <v>22031.1</v>
      </c>
      <c r="L253" s="16">
        <f t="shared" si="3"/>
        <v>22031.1</v>
      </c>
      <c r="M253" s="16">
        <f t="shared" si="4"/>
        <v>20336.4</v>
      </c>
      <c r="N253" s="16">
        <f t="shared" si="5"/>
        <v>19489.05</v>
      </c>
      <c r="O253" s="16">
        <f t="shared" si="6"/>
        <v>18641.7</v>
      </c>
    </row>
    <row r="254">
      <c r="A254" s="11" t="s">
        <v>99</v>
      </c>
      <c r="B254" s="11" t="s">
        <v>20</v>
      </c>
      <c r="C254" s="11" t="s">
        <v>306</v>
      </c>
      <c r="D254" s="11" t="s">
        <v>159</v>
      </c>
      <c r="E254" s="11" t="s">
        <v>514</v>
      </c>
      <c r="F254" s="11" t="s">
        <v>515</v>
      </c>
      <c r="G254" s="22"/>
      <c r="H254" s="29">
        <v>73.5</v>
      </c>
      <c r="I254" s="21">
        <f t="shared" si="7"/>
        <v>4630.5</v>
      </c>
      <c r="J254" s="16">
        <f t="shared" si="1"/>
        <v>6945.75</v>
      </c>
      <c r="K254" s="16">
        <f t="shared" si="2"/>
        <v>6019.65</v>
      </c>
      <c r="L254" s="16">
        <f t="shared" si="3"/>
        <v>6019.65</v>
      </c>
      <c r="M254" s="16">
        <f t="shared" si="4"/>
        <v>5556.6</v>
      </c>
      <c r="N254" s="16">
        <f t="shared" si="5"/>
        <v>5325.075</v>
      </c>
      <c r="O254" s="16">
        <f t="shared" si="6"/>
        <v>5093.55</v>
      </c>
    </row>
    <row r="255">
      <c r="A255" s="11" t="s">
        <v>99</v>
      </c>
      <c r="B255" s="11" t="s">
        <v>20</v>
      </c>
      <c r="C255" s="11" t="s">
        <v>306</v>
      </c>
      <c r="D255" s="11" t="s">
        <v>159</v>
      </c>
      <c r="E255" s="11" t="s">
        <v>516</v>
      </c>
      <c r="F255" s="11" t="s">
        <v>517</v>
      </c>
      <c r="G255" s="22"/>
      <c r="H255" s="29">
        <v>84.0</v>
      </c>
      <c r="I255" s="21">
        <f t="shared" si="7"/>
        <v>5292</v>
      </c>
      <c r="J255" s="16">
        <f t="shared" si="1"/>
        <v>7938</v>
      </c>
      <c r="K255" s="16">
        <f t="shared" si="2"/>
        <v>6879.6</v>
      </c>
      <c r="L255" s="16">
        <f t="shared" si="3"/>
        <v>6879.6</v>
      </c>
      <c r="M255" s="16">
        <f t="shared" si="4"/>
        <v>6350.4</v>
      </c>
      <c r="N255" s="16">
        <f t="shared" si="5"/>
        <v>6085.8</v>
      </c>
      <c r="O255" s="16">
        <f t="shared" si="6"/>
        <v>5821.2</v>
      </c>
    </row>
    <row r="256">
      <c r="A256" s="11" t="s">
        <v>99</v>
      </c>
      <c r="B256" s="11" t="s">
        <v>20</v>
      </c>
      <c r="C256" s="11" t="s">
        <v>306</v>
      </c>
      <c r="D256" s="11" t="s">
        <v>159</v>
      </c>
      <c r="E256" s="11" t="s">
        <v>518</v>
      </c>
      <c r="F256" s="11" t="s">
        <v>519</v>
      </c>
      <c r="G256" s="22"/>
      <c r="H256" s="29">
        <v>87.0</v>
      </c>
      <c r="I256" s="21">
        <f t="shared" si="7"/>
        <v>5481</v>
      </c>
      <c r="J256" s="16">
        <f t="shared" si="1"/>
        <v>8221.5</v>
      </c>
      <c r="K256" s="16">
        <f t="shared" si="2"/>
        <v>7125.3</v>
      </c>
      <c r="L256" s="16">
        <f t="shared" si="3"/>
        <v>7125.3</v>
      </c>
      <c r="M256" s="16">
        <f t="shared" si="4"/>
        <v>6577.2</v>
      </c>
      <c r="N256" s="16">
        <f t="shared" si="5"/>
        <v>6303.15</v>
      </c>
      <c r="O256" s="16">
        <f t="shared" si="6"/>
        <v>6029.1</v>
      </c>
    </row>
    <row r="257">
      <c r="A257" s="11" t="s">
        <v>99</v>
      </c>
      <c r="B257" s="11" t="s">
        <v>20</v>
      </c>
      <c r="C257" s="11" t="s">
        <v>306</v>
      </c>
      <c r="D257" s="11" t="s">
        <v>159</v>
      </c>
      <c r="E257" s="11" t="s">
        <v>520</v>
      </c>
      <c r="F257" s="11" t="s">
        <v>521</v>
      </c>
      <c r="G257" s="22"/>
      <c r="H257" s="29">
        <v>246.5</v>
      </c>
      <c r="I257" s="21">
        <f t="shared" si="7"/>
        <v>15529.5</v>
      </c>
      <c r="J257" s="16">
        <f t="shared" si="1"/>
        <v>23294.25</v>
      </c>
      <c r="K257" s="16">
        <f t="shared" si="2"/>
        <v>20188.35</v>
      </c>
      <c r="L257" s="16">
        <f t="shared" si="3"/>
        <v>20188.35</v>
      </c>
      <c r="M257" s="16">
        <f t="shared" si="4"/>
        <v>18635.4</v>
      </c>
      <c r="N257" s="16">
        <f t="shared" si="5"/>
        <v>17858.925</v>
      </c>
      <c r="O257" s="16">
        <f t="shared" si="6"/>
        <v>17082.45</v>
      </c>
    </row>
    <row r="258">
      <c r="A258" s="11" t="s">
        <v>99</v>
      </c>
      <c r="B258" s="11" t="s">
        <v>20</v>
      </c>
      <c r="C258" s="11" t="s">
        <v>306</v>
      </c>
      <c r="D258" s="11" t="s">
        <v>159</v>
      </c>
      <c r="E258" s="11" t="s">
        <v>522</v>
      </c>
      <c r="F258" s="11" t="s">
        <v>523</v>
      </c>
      <c r="G258" s="22"/>
      <c r="H258" s="29">
        <v>158.5</v>
      </c>
      <c r="I258" s="21">
        <f t="shared" si="7"/>
        <v>9985.5</v>
      </c>
      <c r="J258" s="16">
        <f t="shared" si="1"/>
        <v>14978.25</v>
      </c>
      <c r="K258" s="16">
        <f t="shared" si="2"/>
        <v>12981.15</v>
      </c>
      <c r="L258" s="16">
        <f t="shared" si="3"/>
        <v>12981.15</v>
      </c>
      <c r="M258" s="16">
        <f t="shared" si="4"/>
        <v>11982.6</v>
      </c>
      <c r="N258" s="16">
        <f t="shared" si="5"/>
        <v>11483.325</v>
      </c>
      <c r="O258" s="16">
        <f t="shared" si="6"/>
        <v>10984.05</v>
      </c>
    </row>
    <row r="259">
      <c r="A259" s="11" t="s">
        <v>99</v>
      </c>
      <c r="B259" s="11" t="s">
        <v>20</v>
      </c>
      <c r="C259" s="11" t="s">
        <v>306</v>
      </c>
      <c r="D259" s="11" t="s">
        <v>159</v>
      </c>
      <c r="E259" s="11" t="s">
        <v>524</v>
      </c>
      <c r="F259" s="11" t="s">
        <v>525</v>
      </c>
      <c r="G259" s="22"/>
      <c r="H259" s="29">
        <v>175.5</v>
      </c>
      <c r="I259" s="21">
        <f t="shared" si="7"/>
        <v>11056.5</v>
      </c>
      <c r="J259" s="16">
        <f t="shared" si="1"/>
        <v>16584.75</v>
      </c>
      <c r="K259" s="16">
        <f t="shared" si="2"/>
        <v>14373.45</v>
      </c>
      <c r="L259" s="16">
        <f t="shared" si="3"/>
        <v>14373.45</v>
      </c>
      <c r="M259" s="16">
        <f t="shared" si="4"/>
        <v>13267.8</v>
      </c>
      <c r="N259" s="16">
        <f t="shared" si="5"/>
        <v>12714.975</v>
      </c>
      <c r="O259" s="16">
        <f t="shared" si="6"/>
        <v>12162.15</v>
      </c>
    </row>
    <row r="260">
      <c r="A260" s="11" t="s">
        <v>99</v>
      </c>
      <c r="B260" s="11" t="s">
        <v>20</v>
      </c>
      <c r="C260" s="11" t="s">
        <v>306</v>
      </c>
      <c r="D260" s="11" t="s">
        <v>159</v>
      </c>
      <c r="E260" s="11" t="s">
        <v>317</v>
      </c>
      <c r="F260" s="11" t="s">
        <v>318</v>
      </c>
      <c r="G260" s="22"/>
      <c r="H260" s="29">
        <v>64.0</v>
      </c>
      <c r="I260" s="21">
        <f t="shared" si="7"/>
        <v>4032</v>
      </c>
      <c r="J260" s="16">
        <f t="shared" si="1"/>
        <v>6048</v>
      </c>
      <c r="K260" s="16">
        <f t="shared" si="2"/>
        <v>5241.6</v>
      </c>
      <c r="L260" s="16">
        <f t="shared" si="3"/>
        <v>5241.6</v>
      </c>
      <c r="M260" s="16">
        <f t="shared" si="4"/>
        <v>4838.4</v>
      </c>
      <c r="N260" s="16">
        <f t="shared" si="5"/>
        <v>4636.8</v>
      </c>
      <c r="O260" s="16">
        <f t="shared" si="6"/>
        <v>4435.2</v>
      </c>
    </row>
    <row r="261">
      <c r="A261" s="11" t="s">
        <v>99</v>
      </c>
      <c r="B261" s="11" t="s">
        <v>20</v>
      </c>
      <c r="C261" s="11" t="s">
        <v>306</v>
      </c>
      <c r="D261" s="11" t="s">
        <v>159</v>
      </c>
      <c r="E261" s="11" t="s">
        <v>319</v>
      </c>
      <c r="F261" s="11" t="s">
        <v>320</v>
      </c>
      <c r="G261" s="22"/>
      <c r="H261" s="29">
        <v>79.0</v>
      </c>
      <c r="I261" s="21">
        <f t="shared" si="7"/>
        <v>4977</v>
      </c>
      <c r="J261" s="16">
        <f t="shared" si="1"/>
        <v>7465.5</v>
      </c>
      <c r="K261" s="16">
        <f t="shared" si="2"/>
        <v>6470.1</v>
      </c>
      <c r="L261" s="16">
        <f t="shared" si="3"/>
        <v>6470.1</v>
      </c>
      <c r="M261" s="16">
        <f t="shared" si="4"/>
        <v>5972.4</v>
      </c>
      <c r="N261" s="16">
        <f t="shared" si="5"/>
        <v>5723.55</v>
      </c>
      <c r="O261" s="16">
        <f t="shared" si="6"/>
        <v>5474.7</v>
      </c>
    </row>
    <row r="262">
      <c r="A262" s="11" t="s">
        <v>99</v>
      </c>
      <c r="B262" s="11" t="s">
        <v>20</v>
      </c>
      <c r="C262" s="11" t="s">
        <v>323</v>
      </c>
      <c r="D262" s="11" t="s">
        <v>159</v>
      </c>
      <c r="E262" s="11" t="s">
        <v>474</v>
      </c>
      <c r="F262" s="11" t="s">
        <v>475</v>
      </c>
      <c r="G262" s="22"/>
      <c r="H262" s="29">
        <v>29.0</v>
      </c>
      <c r="I262" s="21">
        <f t="shared" si="7"/>
        <v>1827</v>
      </c>
      <c r="J262" s="16">
        <f t="shared" si="1"/>
        <v>2740.5</v>
      </c>
      <c r="K262" s="16">
        <f t="shared" si="2"/>
        <v>2375.1</v>
      </c>
      <c r="L262" s="16">
        <f t="shared" si="3"/>
        <v>2375.1</v>
      </c>
      <c r="M262" s="16">
        <f t="shared" si="4"/>
        <v>2192.4</v>
      </c>
      <c r="N262" s="16">
        <f t="shared" si="5"/>
        <v>2101.05</v>
      </c>
      <c r="O262" s="16">
        <f t="shared" si="6"/>
        <v>2009.7</v>
      </c>
    </row>
    <row r="263">
      <c r="A263" s="11" t="s">
        <v>99</v>
      </c>
      <c r="B263" s="11" t="s">
        <v>20</v>
      </c>
      <c r="C263" s="11" t="s">
        <v>323</v>
      </c>
      <c r="D263" s="11" t="s">
        <v>159</v>
      </c>
      <c r="E263" s="11" t="s">
        <v>526</v>
      </c>
      <c r="F263" s="11" t="s">
        <v>527</v>
      </c>
      <c r="G263" s="22"/>
      <c r="H263" s="29">
        <v>166.0</v>
      </c>
      <c r="I263" s="21">
        <f t="shared" si="7"/>
        <v>10458</v>
      </c>
      <c r="J263" s="16">
        <f t="shared" si="1"/>
        <v>15687</v>
      </c>
      <c r="K263" s="16">
        <f t="shared" si="2"/>
        <v>13595.4</v>
      </c>
      <c r="L263" s="16">
        <f t="shared" si="3"/>
        <v>13595.4</v>
      </c>
      <c r="M263" s="16">
        <f t="shared" si="4"/>
        <v>12549.6</v>
      </c>
      <c r="N263" s="16">
        <f t="shared" si="5"/>
        <v>12026.7</v>
      </c>
      <c r="O263" s="16">
        <f t="shared" si="6"/>
        <v>11503.8</v>
      </c>
    </row>
    <row r="264">
      <c r="A264" s="11" t="s">
        <v>99</v>
      </c>
      <c r="B264" s="11" t="s">
        <v>20</v>
      </c>
      <c r="C264" s="11" t="s">
        <v>323</v>
      </c>
      <c r="D264" s="11" t="s">
        <v>159</v>
      </c>
      <c r="E264" s="11">
        <v>1471.0</v>
      </c>
      <c r="F264" s="11" t="s">
        <v>476</v>
      </c>
      <c r="G264" s="22"/>
      <c r="H264" s="29">
        <v>35.5</v>
      </c>
      <c r="I264" s="21">
        <f t="shared" si="7"/>
        <v>2236.5</v>
      </c>
      <c r="J264" s="16">
        <f t="shared" si="1"/>
        <v>3354.75</v>
      </c>
      <c r="K264" s="16">
        <f t="shared" si="2"/>
        <v>2907.45</v>
      </c>
      <c r="L264" s="16">
        <f t="shared" si="3"/>
        <v>2907.45</v>
      </c>
      <c r="M264" s="16">
        <f t="shared" si="4"/>
        <v>2683.8</v>
      </c>
      <c r="N264" s="16">
        <f t="shared" si="5"/>
        <v>2571.975</v>
      </c>
      <c r="O264" s="16">
        <f t="shared" si="6"/>
        <v>2460.15</v>
      </c>
    </row>
    <row r="265">
      <c r="A265" s="11" t="s">
        <v>99</v>
      </c>
      <c r="B265" s="11" t="s">
        <v>20</v>
      </c>
      <c r="C265" s="11" t="s">
        <v>323</v>
      </c>
      <c r="D265" s="11" t="s">
        <v>159</v>
      </c>
      <c r="E265" s="11">
        <v>1472.0</v>
      </c>
      <c r="F265" s="11" t="s">
        <v>479</v>
      </c>
      <c r="G265" s="22"/>
      <c r="H265" s="29">
        <v>39.5</v>
      </c>
      <c r="I265" s="21">
        <f t="shared" si="7"/>
        <v>2488.5</v>
      </c>
      <c r="J265" s="16">
        <f t="shared" si="1"/>
        <v>3732.75</v>
      </c>
      <c r="K265" s="16">
        <f t="shared" si="2"/>
        <v>3235.05</v>
      </c>
      <c r="L265" s="16">
        <f t="shared" si="3"/>
        <v>3235.05</v>
      </c>
      <c r="M265" s="16">
        <f t="shared" si="4"/>
        <v>2986.2</v>
      </c>
      <c r="N265" s="16">
        <f t="shared" si="5"/>
        <v>2861.775</v>
      </c>
      <c r="O265" s="16">
        <f t="shared" si="6"/>
        <v>2737.35</v>
      </c>
    </row>
    <row r="266">
      <c r="A266" s="11" t="s">
        <v>99</v>
      </c>
      <c r="B266" s="11" t="s">
        <v>20</v>
      </c>
      <c r="C266" s="11" t="s">
        <v>323</v>
      </c>
      <c r="D266" s="11" t="s">
        <v>159</v>
      </c>
      <c r="E266" s="11">
        <v>6273.0</v>
      </c>
      <c r="F266" s="11" t="s">
        <v>528</v>
      </c>
      <c r="G266" s="22"/>
      <c r="H266" s="29">
        <v>138.0</v>
      </c>
      <c r="I266" s="21">
        <f t="shared" si="7"/>
        <v>8694</v>
      </c>
      <c r="J266" s="16">
        <f t="shared" si="1"/>
        <v>13041</v>
      </c>
      <c r="K266" s="16">
        <f t="shared" si="2"/>
        <v>11302.2</v>
      </c>
      <c r="L266" s="16">
        <f t="shared" si="3"/>
        <v>11302.2</v>
      </c>
      <c r="M266" s="16">
        <f t="shared" si="4"/>
        <v>10432.8</v>
      </c>
      <c r="N266" s="16">
        <f t="shared" si="5"/>
        <v>9998.1</v>
      </c>
      <c r="O266" s="16">
        <f t="shared" si="6"/>
        <v>9563.4</v>
      </c>
    </row>
    <row r="267">
      <c r="A267" s="11" t="s">
        <v>99</v>
      </c>
      <c r="B267" s="11" t="s">
        <v>20</v>
      </c>
      <c r="C267" s="11" t="s">
        <v>323</v>
      </c>
      <c r="D267" s="11" t="s">
        <v>159</v>
      </c>
      <c r="E267" s="11" t="s">
        <v>490</v>
      </c>
      <c r="F267" s="11" t="s">
        <v>491</v>
      </c>
      <c r="G267" s="22"/>
      <c r="H267" s="29">
        <v>21.0</v>
      </c>
      <c r="I267" s="21">
        <f t="shared" si="7"/>
        <v>1323</v>
      </c>
      <c r="J267" s="16">
        <f t="shared" si="1"/>
        <v>1984.5</v>
      </c>
      <c r="K267" s="16">
        <f t="shared" si="2"/>
        <v>1719.9</v>
      </c>
      <c r="L267" s="16">
        <f t="shared" si="3"/>
        <v>1719.9</v>
      </c>
      <c r="M267" s="16">
        <f t="shared" si="4"/>
        <v>1587.6</v>
      </c>
      <c r="N267" s="16">
        <f t="shared" si="5"/>
        <v>1521.45</v>
      </c>
      <c r="O267" s="16">
        <f t="shared" si="6"/>
        <v>1455.3</v>
      </c>
    </row>
    <row r="268">
      <c r="A268" s="11" t="s">
        <v>99</v>
      </c>
      <c r="B268" s="11" t="s">
        <v>20</v>
      </c>
      <c r="C268" s="11" t="s">
        <v>323</v>
      </c>
      <c r="D268" s="11" t="s">
        <v>159</v>
      </c>
      <c r="E268" s="11" t="s">
        <v>529</v>
      </c>
      <c r="F268" s="11" t="s">
        <v>494</v>
      </c>
      <c r="G268" s="22"/>
      <c r="H268" s="29">
        <v>27.0</v>
      </c>
      <c r="I268" s="21">
        <f t="shared" si="7"/>
        <v>1701</v>
      </c>
      <c r="J268" s="16">
        <f t="shared" si="1"/>
        <v>2551.5</v>
      </c>
      <c r="K268" s="16">
        <f t="shared" si="2"/>
        <v>2211.3</v>
      </c>
      <c r="L268" s="16">
        <f t="shared" si="3"/>
        <v>2211.3</v>
      </c>
      <c r="M268" s="16">
        <f t="shared" si="4"/>
        <v>2041.2</v>
      </c>
      <c r="N268" s="16">
        <f t="shared" si="5"/>
        <v>1956.15</v>
      </c>
      <c r="O268" s="16">
        <f t="shared" si="6"/>
        <v>1871.1</v>
      </c>
    </row>
    <row r="269">
      <c r="A269" s="11" t="s">
        <v>99</v>
      </c>
      <c r="B269" s="11" t="s">
        <v>20</v>
      </c>
      <c r="C269" s="11" t="s">
        <v>323</v>
      </c>
      <c r="D269" s="11" t="s">
        <v>159</v>
      </c>
      <c r="E269" s="11" t="s">
        <v>484</v>
      </c>
      <c r="F269" s="11" t="s">
        <v>485</v>
      </c>
      <c r="G269" s="22"/>
      <c r="H269" s="29">
        <v>27.0</v>
      </c>
      <c r="I269" s="21">
        <f t="shared" si="7"/>
        <v>1701</v>
      </c>
      <c r="J269" s="16">
        <f t="shared" si="1"/>
        <v>2551.5</v>
      </c>
      <c r="K269" s="16">
        <f t="shared" si="2"/>
        <v>2211.3</v>
      </c>
      <c r="L269" s="16">
        <f t="shared" si="3"/>
        <v>2211.3</v>
      </c>
      <c r="M269" s="16">
        <f t="shared" si="4"/>
        <v>2041.2</v>
      </c>
      <c r="N269" s="16">
        <f t="shared" si="5"/>
        <v>1956.15</v>
      </c>
      <c r="O269" s="16">
        <f t="shared" si="6"/>
        <v>1871.1</v>
      </c>
    </row>
    <row r="270">
      <c r="A270" s="11" t="s">
        <v>99</v>
      </c>
      <c r="B270" s="11" t="s">
        <v>20</v>
      </c>
      <c r="C270" s="11" t="s">
        <v>110</v>
      </c>
      <c r="D270" s="11" t="s">
        <v>101</v>
      </c>
      <c r="E270" s="11" t="s">
        <v>530</v>
      </c>
      <c r="F270" s="11" t="s">
        <v>531</v>
      </c>
      <c r="G270" s="22"/>
      <c r="H270" s="29">
        <v>235.0</v>
      </c>
      <c r="I270" s="21">
        <f t="shared" si="7"/>
        <v>14805</v>
      </c>
      <c r="J270" s="16">
        <f t="shared" si="1"/>
        <v>22207.5</v>
      </c>
      <c r="K270" s="16">
        <f t="shared" si="2"/>
        <v>19246.5</v>
      </c>
      <c r="L270" s="16">
        <f t="shared" si="3"/>
        <v>19246.5</v>
      </c>
      <c r="M270" s="16">
        <f t="shared" si="4"/>
        <v>17766</v>
      </c>
      <c r="N270" s="16">
        <f t="shared" si="5"/>
        <v>17025.75</v>
      </c>
      <c r="O270" s="16">
        <f t="shared" si="6"/>
        <v>16285.5</v>
      </c>
    </row>
    <row r="271">
      <c r="A271" s="11" t="s">
        <v>99</v>
      </c>
      <c r="B271" s="11" t="s">
        <v>20</v>
      </c>
      <c r="C271" s="11" t="s">
        <v>110</v>
      </c>
      <c r="D271" s="11" t="s">
        <v>101</v>
      </c>
      <c r="E271" s="11" t="s">
        <v>117</v>
      </c>
      <c r="F271" s="11" t="s">
        <v>118</v>
      </c>
      <c r="G271" s="22"/>
      <c r="H271" s="29">
        <v>122.5</v>
      </c>
      <c r="I271" s="21">
        <f t="shared" si="7"/>
        <v>7717.5</v>
      </c>
      <c r="J271" s="16">
        <f t="shared" si="1"/>
        <v>11576.25</v>
      </c>
      <c r="K271" s="16">
        <f t="shared" si="2"/>
        <v>10032.75</v>
      </c>
      <c r="L271" s="16">
        <f t="shared" si="3"/>
        <v>10032.75</v>
      </c>
      <c r="M271" s="16">
        <f t="shared" si="4"/>
        <v>9261</v>
      </c>
      <c r="N271" s="16">
        <f t="shared" si="5"/>
        <v>8875.125</v>
      </c>
      <c r="O271" s="16">
        <f t="shared" si="6"/>
        <v>8489.25</v>
      </c>
    </row>
    <row r="272">
      <c r="A272" s="11" t="s">
        <v>99</v>
      </c>
      <c r="B272" s="11" t="s">
        <v>20</v>
      </c>
      <c r="C272" s="11" t="s">
        <v>130</v>
      </c>
      <c r="D272" s="11" t="s">
        <v>101</v>
      </c>
      <c r="E272" s="11" t="s">
        <v>404</v>
      </c>
      <c r="F272" s="11" t="s">
        <v>405</v>
      </c>
      <c r="G272" s="22"/>
      <c r="H272" s="29">
        <v>183.0</v>
      </c>
      <c r="I272" s="21">
        <f t="shared" si="7"/>
        <v>11529</v>
      </c>
      <c r="J272" s="16">
        <f t="shared" si="1"/>
        <v>17293.5</v>
      </c>
      <c r="K272" s="16">
        <f t="shared" si="2"/>
        <v>14987.7</v>
      </c>
      <c r="L272" s="16">
        <f t="shared" si="3"/>
        <v>14987.7</v>
      </c>
      <c r="M272" s="16">
        <f t="shared" si="4"/>
        <v>13834.8</v>
      </c>
      <c r="N272" s="16">
        <f t="shared" si="5"/>
        <v>13258.35</v>
      </c>
      <c r="O272" s="16">
        <f t="shared" si="6"/>
        <v>12681.9</v>
      </c>
    </row>
    <row r="273">
      <c r="A273" s="11" t="s">
        <v>99</v>
      </c>
      <c r="B273" s="11" t="s">
        <v>20</v>
      </c>
      <c r="C273" s="11" t="s">
        <v>130</v>
      </c>
      <c r="D273" s="11" t="s">
        <v>101</v>
      </c>
      <c r="E273" s="11" t="s">
        <v>402</v>
      </c>
      <c r="F273" s="11" t="s">
        <v>403</v>
      </c>
      <c r="G273" s="22"/>
      <c r="H273" s="29">
        <v>143.0</v>
      </c>
      <c r="I273" s="21">
        <f t="shared" si="7"/>
        <v>9009</v>
      </c>
      <c r="J273" s="16">
        <f t="shared" si="1"/>
        <v>13513.5</v>
      </c>
      <c r="K273" s="16">
        <f t="shared" si="2"/>
        <v>11711.7</v>
      </c>
      <c r="L273" s="16">
        <f t="shared" si="3"/>
        <v>11711.7</v>
      </c>
      <c r="M273" s="16">
        <f t="shared" si="4"/>
        <v>10810.8</v>
      </c>
      <c r="N273" s="16">
        <f t="shared" si="5"/>
        <v>10360.35</v>
      </c>
      <c r="O273" s="16">
        <f t="shared" si="6"/>
        <v>9909.9</v>
      </c>
    </row>
    <row r="274">
      <c r="A274" s="11" t="s">
        <v>99</v>
      </c>
      <c r="B274" s="11" t="s">
        <v>20</v>
      </c>
      <c r="C274" s="11" t="s">
        <v>130</v>
      </c>
      <c r="D274" s="11" t="s">
        <v>101</v>
      </c>
      <c r="E274" s="11" t="s">
        <v>532</v>
      </c>
      <c r="F274" s="11" t="s">
        <v>533</v>
      </c>
      <c r="G274" s="22"/>
      <c r="H274" s="29">
        <v>30.0</v>
      </c>
      <c r="I274" s="21">
        <f t="shared" si="7"/>
        <v>1890</v>
      </c>
      <c r="J274" s="16">
        <f t="shared" si="1"/>
        <v>2835</v>
      </c>
      <c r="K274" s="16">
        <f t="shared" si="2"/>
        <v>2457</v>
      </c>
      <c r="L274" s="16">
        <f t="shared" si="3"/>
        <v>2457</v>
      </c>
      <c r="M274" s="16">
        <f t="shared" si="4"/>
        <v>2268</v>
      </c>
      <c r="N274" s="16">
        <f t="shared" si="5"/>
        <v>2173.5</v>
      </c>
      <c r="O274" s="16">
        <f t="shared" si="6"/>
        <v>2079</v>
      </c>
    </row>
    <row r="275">
      <c r="A275" s="11" t="s">
        <v>99</v>
      </c>
      <c r="B275" s="11" t="s">
        <v>20</v>
      </c>
      <c r="C275" s="11" t="s">
        <v>130</v>
      </c>
      <c r="D275" s="11" t="s">
        <v>101</v>
      </c>
      <c r="E275" s="11" t="s">
        <v>534</v>
      </c>
      <c r="F275" s="11" t="s">
        <v>535</v>
      </c>
      <c r="G275" s="22"/>
      <c r="H275" s="29">
        <v>24.0</v>
      </c>
      <c r="I275" s="21">
        <f t="shared" si="7"/>
        <v>1512</v>
      </c>
      <c r="J275" s="16">
        <f t="shared" si="1"/>
        <v>2268</v>
      </c>
      <c r="K275" s="16">
        <f t="shared" si="2"/>
        <v>1965.6</v>
      </c>
      <c r="L275" s="16">
        <f t="shared" si="3"/>
        <v>1965.6</v>
      </c>
      <c r="M275" s="16">
        <f t="shared" si="4"/>
        <v>1814.4</v>
      </c>
      <c r="N275" s="16">
        <f t="shared" si="5"/>
        <v>1738.8</v>
      </c>
      <c r="O275" s="16">
        <f t="shared" si="6"/>
        <v>1663.2</v>
      </c>
    </row>
    <row r="276">
      <c r="A276" s="11" t="s">
        <v>99</v>
      </c>
      <c r="B276" s="11" t="s">
        <v>20</v>
      </c>
      <c r="C276" s="11" t="s">
        <v>130</v>
      </c>
      <c r="D276" s="11" t="s">
        <v>101</v>
      </c>
      <c r="E276" s="11" t="s">
        <v>536</v>
      </c>
      <c r="F276" s="11" t="s">
        <v>537</v>
      </c>
      <c r="G276" s="22"/>
      <c r="H276" s="29">
        <v>176.5</v>
      </c>
      <c r="I276" s="21">
        <f t="shared" si="7"/>
        <v>11119.5</v>
      </c>
      <c r="J276" s="16">
        <f t="shared" si="1"/>
        <v>16679.25</v>
      </c>
      <c r="K276" s="16">
        <f t="shared" si="2"/>
        <v>14455.35</v>
      </c>
      <c r="L276" s="16">
        <f t="shared" si="3"/>
        <v>14455.35</v>
      </c>
      <c r="M276" s="16">
        <f t="shared" si="4"/>
        <v>13343.4</v>
      </c>
      <c r="N276" s="16">
        <f t="shared" si="5"/>
        <v>12787.425</v>
      </c>
      <c r="O276" s="16">
        <f t="shared" si="6"/>
        <v>12231.45</v>
      </c>
    </row>
    <row r="277">
      <c r="A277" s="11" t="s">
        <v>99</v>
      </c>
      <c r="B277" s="11" t="s">
        <v>20</v>
      </c>
      <c r="C277" s="11" t="s">
        <v>130</v>
      </c>
      <c r="D277" s="11" t="s">
        <v>101</v>
      </c>
      <c r="E277" s="11" t="s">
        <v>538</v>
      </c>
      <c r="F277" s="11" t="s">
        <v>539</v>
      </c>
      <c r="G277" s="22"/>
      <c r="H277" s="29">
        <v>44.5</v>
      </c>
      <c r="I277" s="21">
        <f t="shared" si="7"/>
        <v>2803.5</v>
      </c>
      <c r="J277" s="16">
        <f t="shared" si="1"/>
        <v>4205.25</v>
      </c>
      <c r="K277" s="16">
        <f t="shared" si="2"/>
        <v>3644.55</v>
      </c>
      <c r="L277" s="16">
        <f t="shared" si="3"/>
        <v>3644.55</v>
      </c>
      <c r="M277" s="16">
        <f t="shared" si="4"/>
        <v>3364.2</v>
      </c>
      <c r="N277" s="16">
        <f t="shared" si="5"/>
        <v>3224.025</v>
      </c>
      <c r="O277" s="16">
        <f t="shared" si="6"/>
        <v>3083.85</v>
      </c>
    </row>
    <row r="278">
      <c r="A278" s="11" t="s">
        <v>99</v>
      </c>
      <c r="B278" s="11" t="s">
        <v>20</v>
      </c>
      <c r="C278" s="11" t="s">
        <v>130</v>
      </c>
      <c r="D278" s="11" t="s">
        <v>101</v>
      </c>
      <c r="E278" s="11" t="s">
        <v>140</v>
      </c>
      <c r="F278" s="11" t="s">
        <v>141</v>
      </c>
      <c r="G278" s="22"/>
      <c r="H278" s="29">
        <v>122.5</v>
      </c>
      <c r="I278" s="21">
        <f t="shared" si="7"/>
        <v>7717.5</v>
      </c>
      <c r="J278" s="16">
        <f t="shared" si="1"/>
        <v>11576.25</v>
      </c>
      <c r="K278" s="16">
        <f t="shared" si="2"/>
        <v>10032.75</v>
      </c>
      <c r="L278" s="16">
        <f t="shared" si="3"/>
        <v>10032.75</v>
      </c>
      <c r="M278" s="16">
        <f t="shared" si="4"/>
        <v>9261</v>
      </c>
      <c r="N278" s="16">
        <f t="shared" si="5"/>
        <v>8875.125</v>
      </c>
      <c r="O278" s="16">
        <f t="shared" si="6"/>
        <v>8489.25</v>
      </c>
    </row>
    <row r="279">
      <c r="A279" s="11" t="s">
        <v>99</v>
      </c>
      <c r="B279" s="11" t="s">
        <v>20</v>
      </c>
      <c r="C279" s="11" t="s">
        <v>130</v>
      </c>
      <c r="D279" s="11" t="s">
        <v>101</v>
      </c>
      <c r="E279" s="11" t="s">
        <v>142</v>
      </c>
      <c r="F279" s="11" t="s">
        <v>143</v>
      </c>
      <c r="G279" s="22"/>
      <c r="H279" s="29">
        <v>77.5</v>
      </c>
      <c r="I279" s="21">
        <f t="shared" si="7"/>
        <v>4882.5</v>
      </c>
      <c r="J279" s="16">
        <f t="shared" si="1"/>
        <v>7323.75</v>
      </c>
      <c r="K279" s="16">
        <f t="shared" si="2"/>
        <v>6347.25</v>
      </c>
      <c r="L279" s="16">
        <f t="shared" si="3"/>
        <v>6347.25</v>
      </c>
      <c r="M279" s="16">
        <f t="shared" si="4"/>
        <v>5859</v>
      </c>
      <c r="N279" s="16">
        <f t="shared" si="5"/>
        <v>5614.875</v>
      </c>
      <c r="O279" s="16">
        <f t="shared" si="6"/>
        <v>5370.75</v>
      </c>
    </row>
    <row r="280">
      <c r="A280" s="11" t="s">
        <v>99</v>
      </c>
      <c r="B280" s="11" t="s">
        <v>20</v>
      </c>
      <c r="C280" s="11" t="s">
        <v>130</v>
      </c>
      <c r="D280" s="11" t="s">
        <v>101</v>
      </c>
      <c r="E280" s="11" t="s">
        <v>144</v>
      </c>
      <c r="F280" s="11" t="s">
        <v>145</v>
      </c>
      <c r="G280" s="22"/>
      <c r="H280" s="29">
        <v>10.0</v>
      </c>
      <c r="I280" s="21">
        <f t="shared" si="7"/>
        <v>630</v>
      </c>
      <c r="J280" s="16">
        <f t="shared" si="1"/>
        <v>945</v>
      </c>
      <c r="K280" s="16">
        <f t="shared" si="2"/>
        <v>819</v>
      </c>
      <c r="L280" s="16">
        <f t="shared" si="3"/>
        <v>819</v>
      </c>
      <c r="M280" s="16">
        <f t="shared" si="4"/>
        <v>756</v>
      </c>
      <c r="N280" s="16">
        <f t="shared" si="5"/>
        <v>724.5</v>
      </c>
      <c r="O280" s="16">
        <f t="shared" si="6"/>
        <v>693</v>
      </c>
    </row>
    <row r="281">
      <c r="A281" s="11" t="s">
        <v>99</v>
      </c>
      <c r="B281" s="11" t="s">
        <v>20</v>
      </c>
      <c r="C281" s="11" t="s">
        <v>130</v>
      </c>
      <c r="D281" s="11" t="s">
        <v>101</v>
      </c>
      <c r="E281" s="11" t="s">
        <v>146</v>
      </c>
      <c r="F281" s="11" t="s">
        <v>147</v>
      </c>
      <c r="G281" s="22"/>
      <c r="H281" s="29">
        <v>10.0</v>
      </c>
      <c r="I281" s="21">
        <f t="shared" si="7"/>
        <v>630</v>
      </c>
      <c r="J281" s="16">
        <f t="shared" si="1"/>
        <v>945</v>
      </c>
      <c r="K281" s="16">
        <f t="shared" si="2"/>
        <v>819</v>
      </c>
      <c r="L281" s="16">
        <f t="shared" si="3"/>
        <v>819</v>
      </c>
      <c r="M281" s="16">
        <f t="shared" si="4"/>
        <v>756</v>
      </c>
      <c r="N281" s="16">
        <f t="shared" si="5"/>
        <v>724.5</v>
      </c>
      <c r="O281" s="16">
        <f t="shared" si="6"/>
        <v>693</v>
      </c>
    </row>
    <row r="282">
      <c r="A282" s="11" t="s">
        <v>99</v>
      </c>
      <c r="B282" s="11" t="s">
        <v>20</v>
      </c>
      <c r="C282" s="11" t="s">
        <v>130</v>
      </c>
      <c r="D282" s="11" t="s">
        <v>101</v>
      </c>
      <c r="E282" s="11" t="s">
        <v>148</v>
      </c>
      <c r="F282" s="11" t="s">
        <v>149</v>
      </c>
      <c r="G282" s="22"/>
      <c r="H282" s="29">
        <v>10.0</v>
      </c>
      <c r="I282" s="21">
        <f t="shared" si="7"/>
        <v>630</v>
      </c>
      <c r="J282" s="16">
        <f t="shared" si="1"/>
        <v>945</v>
      </c>
      <c r="K282" s="16">
        <f t="shared" si="2"/>
        <v>819</v>
      </c>
      <c r="L282" s="16">
        <f t="shared" si="3"/>
        <v>819</v>
      </c>
      <c r="M282" s="16">
        <f t="shared" si="4"/>
        <v>756</v>
      </c>
      <c r="N282" s="16">
        <f t="shared" si="5"/>
        <v>724.5</v>
      </c>
      <c r="O282" s="16">
        <f t="shared" si="6"/>
        <v>693</v>
      </c>
    </row>
    <row r="283">
      <c r="A283" s="11" t="s">
        <v>99</v>
      </c>
      <c r="B283" s="11" t="s">
        <v>20</v>
      </c>
      <c r="C283" s="11" t="s">
        <v>130</v>
      </c>
      <c r="D283" s="11" t="s">
        <v>101</v>
      </c>
      <c r="E283" s="11" t="s">
        <v>497</v>
      </c>
      <c r="F283" s="11" t="s">
        <v>498</v>
      </c>
      <c r="G283" s="22"/>
      <c r="H283" s="29">
        <v>4.0</v>
      </c>
      <c r="I283" s="21">
        <f t="shared" si="7"/>
        <v>252</v>
      </c>
      <c r="J283" s="16">
        <f t="shared" si="1"/>
        <v>378</v>
      </c>
      <c r="K283" s="16">
        <f t="shared" si="2"/>
        <v>327.6</v>
      </c>
      <c r="L283" s="16">
        <f t="shared" si="3"/>
        <v>327.6</v>
      </c>
      <c r="M283" s="16">
        <f t="shared" si="4"/>
        <v>302.4</v>
      </c>
      <c r="N283" s="16">
        <f t="shared" si="5"/>
        <v>289.8</v>
      </c>
      <c r="O283" s="16">
        <f t="shared" si="6"/>
        <v>277.2</v>
      </c>
    </row>
    <row r="284">
      <c r="A284" s="11" t="s">
        <v>99</v>
      </c>
      <c r="B284" s="11" t="s">
        <v>20</v>
      </c>
      <c r="C284" s="11" t="s">
        <v>130</v>
      </c>
      <c r="D284" s="11" t="s">
        <v>101</v>
      </c>
      <c r="E284" s="11" t="s">
        <v>499</v>
      </c>
      <c r="F284" s="11" t="s">
        <v>500</v>
      </c>
      <c r="G284" s="22"/>
      <c r="H284" s="29">
        <v>12.0</v>
      </c>
      <c r="I284" s="21">
        <f t="shared" si="7"/>
        <v>756</v>
      </c>
      <c r="J284" s="16">
        <f t="shared" si="1"/>
        <v>1134</v>
      </c>
      <c r="K284" s="16">
        <f t="shared" si="2"/>
        <v>982.8</v>
      </c>
      <c r="L284" s="16">
        <f t="shared" si="3"/>
        <v>982.8</v>
      </c>
      <c r="M284" s="16">
        <f t="shared" si="4"/>
        <v>907.2</v>
      </c>
      <c r="N284" s="16">
        <f t="shared" si="5"/>
        <v>869.4</v>
      </c>
      <c r="O284" s="16">
        <f t="shared" si="6"/>
        <v>831.6</v>
      </c>
    </row>
    <row r="285">
      <c r="A285" s="11" t="s">
        <v>99</v>
      </c>
      <c r="B285" s="11" t="s">
        <v>20</v>
      </c>
      <c r="C285" s="11" t="s">
        <v>130</v>
      </c>
      <c r="D285" s="11" t="s">
        <v>101</v>
      </c>
      <c r="E285" s="11" t="s">
        <v>501</v>
      </c>
      <c r="F285" s="11" t="s">
        <v>502</v>
      </c>
      <c r="G285" s="22"/>
      <c r="H285" s="29">
        <v>11.5</v>
      </c>
      <c r="I285" s="21">
        <f t="shared" si="7"/>
        <v>724.5</v>
      </c>
      <c r="J285" s="16">
        <f t="shared" si="1"/>
        <v>1086.75</v>
      </c>
      <c r="K285" s="16">
        <f t="shared" si="2"/>
        <v>941.85</v>
      </c>
      <c r="L285" s="16">
        <f t="shared" si="3"/>
        <v>941.85</v>
      </c>
      <c r="M285" s="16">
        <f t="shared" si="4"/>
        <v>869.4</v>
      </c>
      <c r="N285" s="16">
        <f t="shared" si="5"/>
        <v>833.175</v>
      </c>
      <c r="O285" s="16">
        <f t="shared" si="6"/>
        <v>796.95</v>
      </c>
    </row>
    <row r="286">
      <c r="A286" s="11" t="s">
        <v>99</v>
      </c>
      <c r="B286" s="11" t="s">
        <v>20</v>
      </c>
      <c r="C286" s="11" t="s">
        <v>130</v>
      </c>
      <c r="D286" s="11" t="s">
        <v>101</v>
      </c>
      <c r="E286" s="11" t="s">
        <v>540</v>
      </c>
      <c r="F286" s="11" t="s">
        <v>541</v>
      </c>
      <c r="G286" s="22"/>
      <c r="H286" s="31">
        <v>431.0</v>
      </c>
      <c r="I286" s="21">
        <f t="shared" si="7"/>
        <v>27153</v>
      </c>
      <c r="J286" s="16">
        <f t="shared" si="1"/>
        <v>40729.5</v>
      </c>
      <c r="K286" s="16">
        <f t="shared" si="2"/>
        <v>35298.9</v>
      </c>
      <c r="L286" s="16">
        <f t="shared" si="3"/>
        <v>35298.9</v>
      </c>
      <c r="M286" s="16">
        <f t="shared" si="4"/>
        <v>32583.6</v>
      </c>
      <c r="N286" s="16">
        <f t="shared" si="5"/>
        <v>31225.95</v>
      </c>
      <c r="O286" s="16">
        <f t="shared" si="6"/>
        <v>29868.3</v>
      </c>
    </row>
    <row r="287">
      <c r="A287" s="11" t="s">
        <v>99</v>
      </c>
      <c r="B287" s="11" t="s">
        <v>20</v>
      </c>
      <c r="C287" s="11" t="s">
        <v>130</v>
      </c>
      <c r="D287" s="11" t="s">
        <v>101</v>
      </c>
      <c r="E287" s="11" t="s">
        <v>542</v>
      </c>
      <c r="F287" s="11" t="s">
        <v>543</v>
      </c>
      <c r="G287" s="22"/>
      <c r="H287" s="29">
        <v>453.0</v>
      </c>
      <c r="I287" s="21">
        <f t="shared" si="7"/>
        <v>28539</v>
      </c>
      <c r="J287" s="16">
        <f t="shared" si="1"/>
        <v>42808.5</v>
      </c>
      <c r="K287" s="16">
        <f t="shared" si="2"/>
        <v>37100.7</v>
      </c>
      <c r="L287" s="16">
        <f t="shared" si="3"/>
        <v>37100.7</v>
      </c>
      <c r="M287" s="16">
        <f t="shared" si="4"/>
        <v>34246.8</v>
      </c>
      <c r="N287" s="16">
        <f t="shared" si="5"/>
        <v>32819.85</v>
      </c>
      <c r="O287" s="16">
        <f t="shared" si="6"/>
        <v>31392.9</v>
      </c>
    </row>
    <row r="288">
      <c r="A288" s="11" t="s">
        <v>99</v>
      </c>
      <c r="B288" s="11" t="s">
        <v>20</v>
      </c>
      <c r="C288" s="11" t="s">
        <v>130</v>
      </c>
      <c r="D288" s="11" t="s">
        <v>101</v>
      </c>
      <c r="E288" s="11" t="s">
        <v>544</v>
      </c>
      <c r="F288" s="11" t="s">
        <v>545</v>
      </c>
      <c r="G288" s="22"/>
      <c r="H288" s="29">
        <v>626.5</v>
      </c>
      <c r="I288" s="21">
        <f t="shared" si="7"/>
        <v>39469.5</v>
      </c>
      <c r="J288" s="16">
        <f t="shared" si="1"/>
        <v>59204.25</v>
      </c>
      <c r="K288" s="16">
        <f t="shared" si="2"/>
        <v>51310.35</v>
      </c>
      <c r="L288" s="16">
        <f t="shared" si="3"/>
        <v>51310.35</v>
      </c>
      <c r="M288" s="16">
        <f t="shared" si="4"/>
        <v>47363.4</v>
      </c>
      <c r="N288" s="16">
        <f t="shared" si="5"/>
        <v>45389.925</v>
      </c>
      <c r="O288" s="16">
        <f t="shared" si="6"/>
        <v>43416.45</v>
      </c>
    </row>
    <row r="289">
      <c r="A289" s="11" t="s">
        <v>99</v>
      </c>
      <c r="B289" s="11" t="s">
        <v>20</v>
      </c>
      <c r="C289" s="11" t="s">
        <v>130</v>
      </c>
      <c r="D289" s="11" t="s">
        <v>101</v>
      </c>
      <c r="E289" s="11" t="s">
        <v>546</v>
      </c>
      <c r="F289" s="11" t="s">
        <v>547</v>
      </c>
      <c r="G289" s="22"/>
      <c r="H289" s="29">
        <v>161.0</v>
      </c>
      <c r="I289" s="21">
        <f t="shared" si="7"/>
        <v>10143</v>
      </c>
      <c r="J289" s="16">
        <f t="shared" si="1"/>
        <v>15214.5</v>
      </c>
      <c r="K289" s="16">
        <f t="shared" si="2"/>
        <v>13185.9</v>
      </c>
      <c r="L289" s="16">
        <f t="shared" si="3"/>
        <v>13185.9</v>
      </c>
      <c r="M289" s="16">
        <f t="shared" si="4"/>
        <v>12171.6</v>
      </c>
      <c r="N289" s="16">
        <f t="shared" si="5"/>
        <v>11664.45</v>
      </c>
      <c r="O289" s="16">
        <f t="shared" si="6"/>
        <v>11157.3</v>
      </c>
    </row>
    <row r="290">
      <c r="A290" s="11" t="s">
        <v>99</v>
      </c>
      <c r="B290" s="11" t="s">
        <v>20</v>
      </c>
      <c r="C290" s="11" t="s">
        <v>130</v>
      </c>
      <c r="D290" s="11" t="s">
        <v>101</v>
      </c>
      <c r="E290" s="11" t="s">
        <v>548</v>
      </c>
      <c r="F290" s="11" t="s">
        <v>549</v>
      </c>
      <c r="G290" s="22"/>
      <c r="H290" s="29">
        <v>191.0</v>
      </c>
      <c r="I290" s="21">
        <f t="shared" si="7"/>
        <v>12033</v>
      </c>
      <c r="J290" s="16">
        <f t="shared" si="1"/>
        <v>18049.5</v>
      </c>
      <c r="K290" s="16">
        <f t="shared" si="2"/>
        <v>15642.9</v>
      </c>
      <c r="L290" s="16">
        <f t="shared" si="3"/>
        <v>15642.9</v>
      </c>
      <c r="M290" s="16">
        <f t="shared" si="4"/>
        <v>14439.6</v>
      </c>
      <c r="N290" s="16">
        <f t="shared" si="5"/>
        <v>13837.95</v>
      </c>
      <c r="O290" s="16">
        <f t="shared" si="6"/>
        <v>13236.3</v>
      </c>
    </row>
    <row r="291">
      <c r="A291" s="11" t="s">
        <v>99</v>
      </c>
      <c r="B291" s="11" t="s">
        <v>20</v>
      </c>
      <c r="C291" s="11" t="s">
        <v>130</v>
      </c>
      <c r="D291" s="11" t="s">
        <v>101</v>
      </c>
      <c r="E291" s="11" t="s">
        <v>550</v>
      </c>
      <c r="F291" s="11" t="s">
        <v>551</v>
      </c>
      <c r="G291" s="22"/>
      <c r="H291" s="29">
        <v>221.0</v>
      </c>
      <c r="I291" s="21">
        <f t="shared" si="7"/>
        <v>13923</v>
      </c>
      <c r="J291" s="16">
        <f t="shared" si="1"/>
        <v>20884.5</v>
      </c>
      <c r="K291" s="16">
        <f t="shared" si="2"/>
        <v>18099.9</v>
      </c>
      <c r="L291" s="16">
        <f t="shared" si="3"/>
        <v>18099.9</v>
      </c>
      <c r="M291" s="16">
        <f t="shared" si="4"/>
        <v>16707.6</v>
      </c>
      <c r="N291" s="16">
        <f t="shared" si="5"/>
        <v>16011.45</v>
      </c>
      <c r="O291" s="16">
        <f t="shared" si="6"/>
        <v>15315.3</v>
      </c>
    </row>
    <row r="292">
      <c r="A292" s="11" t="s">
        <v>99</v>
      </c>
      <c r="B292" s="11" t="s">
        <v>20</v>
      </c>
      <c r="C292" s="11" t="s">
        <v>130</v>
      </c>
      <c r="D292" s="11" t="s">
        <v>101</v>
      </c>
      <c r="E292" s="11" t="s">
        <v>552</v>
      </c>
      <c r="F292" s="11" t="s">
        <v>553</v>
      </c>
      <c r="G292" s="22"/>
      <c r="H292" s="29">
        <v>371.0</v>
      </c>
      <c r="I292" s="21">
        <f t="shared" si="7"/>
        <v>23373</v>
      </c>
      <c r="J292" s="16">
        <f t="shared" si="1"/>
        <v>35059.5</v>
      </c>
      <c r="K292" s="16">
        <f t="shared" si="2"/>
        <v>30384.9</v>
      </c>
      <c r="L292" s="16">
        <f t="shared" si="3"/>
        <v>30384.9</v>
      </c>
      <c r="M292" s="16">
        <f t="shared" si="4"/>
        <v>28047.6</v>
      </c>
      <c r="N292" s="16">
        <f t="shared" si="5"/>
        <v>26878.95</v>
      </c>
      <c r="O292" s="16">
        <f t="shared" si="6"/>
        <v>25710.3</v>
      </c>
    </row>
    <row r="293">
      <c r="A293" s="11" t="s">
        <v>99</v>
      </c>
      <c r="B293" s="11" t="s">
        <v>20</v>
      </c>
      <c r="C293" s="11" t="s">
        <v>130</v>
      </c>
      <c r="D293" s="11" t="s">
        <v>101</v>
      </c>
      <c r="E293" s="11" t="s">
        <v>554</v>
      </c>
      <c r="F293" s="11" t="s">
        <v>555</v>
      </c>
      <c r="G293" s="22"/>
      <c r="H293" s="24">
        <v>102.0</v>
      </c>
      <c r="I293" s="21">
        <f t="shared" si="7"/>
        <v>6426</v>
      </c>
      <c r="J293" s="16">
        <f t="shared" si="1"/>
        <v>9639</v>
      </c>
      <c r="K293" s="16">
        <f t="shared" si="2"/>
        <v>8353.8</v>
      </c>
      <c r="L293" s="16">
        <f t="shared" si="3"/>
        <v>8353.8</v>
      </c>
      <c r="M293" s="16">
        <f t="shared" si="4"/>
        <v>7711.2</v>
      </c>
      <c r="N293" s="16">
        <f t="shared" si="5"/>
        <v>7389.9</v>
      </c>
      <c r="O293" s="16">
        <f t="shared" si="6"/>
        <v>7068.6</v>
      </c>
    </row>
    <row r="294">
      <c r="A294" s="11" t="s">
        <v>99</v>
      </c>
      <c r="B294" s="11" t="s">
        <v>20</v>
      </c>
      <c r="C294" s="11" t="s">
        <v>130</v>
      </c>
      <c r="D294" s="11" t="s">
        <v>101</v>
      </c>
      <c r="E294" s="11" t="s">
        <v>556</v>
      </c>
      <c r="F294" s="11" t="s">
        <v>557</v>
      </c>
      <c r="G294" s="22"/>
      <c r="H294" s="30">
        <v>102.0</v>
      </c>
      <c r="I294" s="21">
        <f t="shared" si="7"/>
        <v>6426</v>
      </c>
      <c r="J294" s="16">
        <f t="shared" si="1"/>
        <v>9639</v>
      </c>
      <c r="K294" s="16">
        <f t="shared" si="2"/>
        <v>8353.8</v>
      </c>
      <c r="L294" s="16">
        <f t="shared" si="3"/>
        <v>8353.8</v>
      </c>
      <c r="M294" s="16">
        <f t="shared" si="4"/>
        <v>7711.2</v>
      </c>
      <c r="N294" s="16">
        <f t="shared" si="5"/>
        <v>7389.9</v>
      </c>
      <c r="O294" s="16">
        <f t="shared" si="6"/>
        <v>7068.6</v>
      </c>
    </row>
    <row r="295">
      <c r="A295" s="11" t="s">
        <v>99</v>
      </c>
      <c r="B295" s="11" t="s">
        <v>20</v>
      </c>
      <c r="C295" s="11" t="s">
        <v>130</v>
      </c>
      <c r="D295" s="11" t="s">
        <v>101</v>
      </c>
      <c r="E295" s="11" t="s">
        <v>558</v>
      </c>
      <c r="F295" s="11" t="s">
        <v>559</v>
      </c>
      <c r="G295" s="22"/>
      <c r="H295" s="24">
        <v>124.0</v>
      </c>
      <c r="I295" s="21">
        <f t="shared" si="7"/>
        <v>7812</v>
      </c>
      <c r="J295" s="16">
        <f t="shared" si="1"/>
        <v>11718</v>
      </c>
      <c r="K295" s="16">
        <f t="shared" si="2"/>
        <v>10155.6</v>
      </c>
      <c r="L295" s="16">
        <f t="shared" si="3"/>
        <v>10155.6</v>
      </c>
      <c r="M295" s="16">
        <f t="shared" si="4"/>
        <v>9374.4</v>
      </c>
      <c r="N295" s="16">
        <f t="shared" si="5"/>
        <v>8983.8</v>
      </c>
      <c r="O295" s="16">
        <f t="shared" si="6"/>
        <v>8593.2</v>
      </c>
    </row>
    <row r="296">
      <c r="A296" s="11" t="s">
        <v>99</v>
      </c>
      <c r="B296" s="11" t="s">
        <v>20</v>
      </c>
      <c r="C296" s="11" t="s">
        <v>130</v>
      </c>
      <c r="D296" s="11" t="s">
        <v>101</v>
      </c>
      <c r="E296" s="11" t="s">
        <v>560</v>
      </c>
      <c r="F296" s="11" t="s">
        <v>561</v>
      </c>
      <c r="G296" s="22"/>
      <c r="H296" s="24">
        <v>124.0</v>
      </c>
      <c r="I296" s="21">
        <f t="shared" si="7"/>
        <v>7812</v>
      </c>
      <c r="J296" s="16">
        <f t="shared" si="1"/>
        <v>11718</v>
      </c>
      <c r="K296" s="16">
        <f t="shared" si="2"/>
        <v>10155.6</v>
      </c>
      <c r="L296" s="16">
        <f t="shared" si="3"/>
        <v>10155.6</v>
      </c>
      <c r="M296" s="16">
        <f t="shared" si="4"/>
        <v>9374.4</v>
      </c>
      <c r="N296" s="16">
        <f t="shared" si="5"/>
        <v>8983.8</v>
      </c>
      <c r="O296" s="16">
        <f t="shared" si="6"/>
        <v>8593.2</v>
      </c>
    </row>
    <row r="297">
      <c r="A297" s="11" t="s">
        <v>99</v>
      </c>
      <c r="B297" s="11" t="s">
        <v>20</v>
      </c>
      <c r="C297" s="11" t="s">
        <v>562</v>
      </c>
      <c r="D297" s="11" t="s">
        <v>101</v>
      </c>
      <c r="E297" s="11" t="s">
        <v>563</v>
      </c>
      <c r="F297" s="11" t="s">
        <v>564</v>
      </c>
      <c r="G297" s="22"/>
      <c r="H297" s="24">
        <v>25.0</v>
      </c>
      <c r="I297" s="21">
        <f t="shared" si="7"/>
        <v>1575</v>
      </c>
      <c r="J297" s="16">
        <f t="shared" si="1"/>
        <v>2362.5</v>
      </c>
      <c r="K297" s="16">
        <f t="shared" si="2"/>
        <v>2047.5</v>
      </c>
      <c r="L297" s="16">
        <f t="shared" si="3"/>
        <v>2047.5</v>
      </c>
      <c r="M297" s="16">
        <f t="shared" si="4"/>
        <v>1890</v>
      </c>
      <c r="N297" s="16">
        <f t="shared" si="5"/>
        <v>1811.25</v>
      </c>
      <c r="O297" s="16">
        <f t="shared" si="6"/>
        <v>1732.5</v>
      </c>
    </row>
    <row r="298">
      <c r="A298" s="11" t="s">
        <v>99</v>
      </c>
      <c r="B298" s="11" t="s">
        <v>20</v>
      </c>
      <c r="C298" s="11" t="s">
        <v>241</v>
      </c>
      <c r="D298" s="11" t="s">
        <v>159</v>
      </c>
      <c r="E298" s="11" t="s">
        <v>565</v>
      </c>
      <c r="F298" s="11" t="s">
        <v>566</v>
      </c>
      <c r="G298" s="22"/>
      <c r="H298" s="24">
        <v>50.0</v>
      </c>
      <c r="I298" s="21">
        <f t="shared" si="7"/>
        <v>3150</v>
      </c>
      <c r="J298" s="16">
        <f t="shared" si="1"/>
        <v>4725</v>
      </c>
      <c r="K298" s="16">
        <f t="shared" si="2"/>
        <v>4095</v>
      </c>
      <c r="L298" s="16">
        <f t="shared" si="3"/>
        <v>4095</v>
      </c>
      <c r="M298" s="16">
        <f t="shared" si="4"/>
        <v>3780</v>
      </c>
      <c r="N298" s="16">
        <f t="shared" si="5"/>
        <v>3622.5</v>
      </c>
      <c r="O298" s="16">
        <f t="shared" si="6"/>
        <v>3465</v>
      </c>
    </row>
    <row r="299">
      <c r="A299" s="11" t="s">
        <v>99</v>
      </c>
      <c r="B299" s="11" t="s">
        <v>20</v>
      </c>
      <c r="C299" s="11" t="s">
        <v>241</v>
      </c>
      <c r="D299" s="11" t="s">
        <v>159</v>
      </c>
      <c r="E299" s="11" t="s">
        <v>567</v>
      </c>
      <c r="F299" s="11" t="s">
        <v>568</v>
      </c>
      <c r="G299" s="22"/>
      <c r="H299" s="24">
        <v>65.0</v>
      </c>
      <c r="I299" s="21">
        <f t="shared" si="7"/>
        <v>4095</v>
      </c>
      <c r="J299" s="16">
        <f t="shared" si="1"/>
        <v>6142.5</v>
      </c>
      <c r="K299" s="16">
        <f t="shared" si="2"/>
        <v>5323.5</v>
      </c>
      <c r="L299" s="16">
        <f t="shared" si="3"/>
        <v>5323.5</v>
      </c>
      <c r="M299" s="16">
        <f t="shared" si="4"/>
        <v>4914</v>
      </c>
      <c r="N299" s="16">
        <f t="shared" si="5"/>
        <v>4709.25</v>
      </c>
      <c r="O299" s="16">
        <f t="shared" si="6"/>
        <v>4504.5</v>
      </c>
    </row>
    <row r="300">
      <c r="A300" s="11" t="s">
        <v>99</v>
      </c>
      <c r="B300" s="11" t="s">
        <v>20</v>
      </c>
      <c r="C300" s="11" t="s">
        <v>241</v>
      </c>
      <c r="D300" s="11" t="s">
        <v>159</v>
      </c>
      <c r="E300" s="11" t="s">
        <v>248</v>
      </c>
      <c r="F300" s="11" t="s">
        <v>249</v>
      </c>
      <c r="G300" s="22"/>
      <c r="H300" s="24">
        <v>3.0</v>
      </c>
      <c r="I300" s="21">
        <f t="shared" si="7"/>
        <v>189</v>
      </c>
      <c r="J300" s="16">
        <f t="shared" si="1"/>
        <v>283.5</v>
      </c>
      <c r="K300" s="16">
        <f t="shared" si="2"/>
        <v>245.7</v>
      </c>
      <c r="L300" s="16">
        <f t="shared" si="3"/>
        <v>245.7</v>
      </c>
      <c r="M300" s="16">
        <f t="shared" si="4"/>
        <v>226.8</v>
      </c>
      <c r="N300" s="16">
        <f t="shared" si="5"/>
        <v>217.35</v>
      </c>
      <c r="O300" s="16">
        <f t="shared" si="6"/>
        <v>207.9</v>
      </c>
    </row>
    <row r="301">
      <c r="A301" s="11" t="s">
        <v>99</v>
      </c>
      <c r="B301" s="11" t="s">
        <v>20</v>
      </c>
      <c r="C301" s="11" t="s">
        <v>241</v>
      </c>
      <c r="D301" s="11" t="s">
        <v>159</v>
      </c>
      <c r="E301" s="11" t="s">
        <v>250</v>
      </c>
      <c r="F301" s="11" t="s">
        <v>569</v>
      </c>
      <c r="G301" s="22"/>
      <c r="H301" s="24">
        <v>11.5</v>
      </c>
      <c r="I301" s="21">
        <f t="shared" si="7"/>
        <v>724.5</v>
      </c>
      <c r="J301" s="16">
        <f t="shared" si="1"/>
        <v>1086.75</v>
      </c>
      <c r="K301" s="16">
        <f t="shared" si="2"/>
        <v>941.85</v>
      </c>
      <c r="L301" s="16">
        <f t="shared" si="3"/>
        <v>941.85</v>
      </c>
      <c r="M301" s="16">
        <f t="shared" si="4"/>
        <v>869.4</v>
      </c>
      <c r="N301" s="16">
        <f t="shared" si="5"/>
        <v>833.175</v>
      </c>
      <c r="O301" s="16">
        <f t="shared" si="6"/>
        <v>796.95</v>
      </c>
    </row>
    <row r="302">
      <c r="A302" s="11" t="s">
        <v>99</v>
      </c>
      <c r="B302" s="11" t="s">
        <v>20</v>
      </c>
      <c r="C302" s="11" t="s">
        <v>241</v>
      </c>
      <c r="D302" s="11" t="s">
        <v>159</v>
      </c>
      <c r="E302" s="11" t="s">
        <v>570</v>
      </c>
      <c r="F302" s="11" t="s">
        <v>571</v>
      </c>
      <c r="G302" s="22"/>
      <c r="H302" s="24">
        <v>50.0</v>
      </c>
      <c r="I302" s="21">
        <f t="shared" si="7"/>
        <v>3150</v>
      </c>
      <c r="J302" s="16">
        <f t="shared" si="1"/>
        <v>4725</v>
      </c>
      <c r="K302" s="16">
        <f t="shared" si="2"/>
        <v>4095</v>
      </c>
      <c r="L302" s="16">
        <f t="shared" si="3"/>
        <v>4095</v>
      </c>
      <c r="M302" s="16">
        <f t="shared" si="4"/>
        <v>3780</v>
      </c>
      <c r="N302" s="16">
        <f t="shared" si="5"/>
        <v>3622.5</v>
      </c>
      <c r="O302" s="16">
        <f t="shared" si="6"/>
        <v>3465</v>
      </c>
    </row>
    <row r="303">
      <c r="A303" s="11" t="s">
        <v>99</v>
      </c>
      <c r="B303" s="11" t="s">
        <v>20</v>
      </c>
      <c r="C303" s="11" t="s">
        <v>241</v>
      </c>
      <c r="D303" s="11" t="s">
        <v>159</v>
      </c>
      <c r="E303" s="11" t="s">
        <v>572</v>
      </c>
      <c r="F303" s="11" t="s">
        <v>257</v>
      </c>
      <c r="G303" s="22"/>
      <c r="H303" s="24">
        <v>166.0</v>
      </c>
      <c r="I303" s="21">
        <f t="shared" si="7"/>
        <v>10458</v>
      </c>
      <c r="J303" s="16">
        <f t="shared" si="1"/>
        <v>15687</v>
      </c>
      <c r="K303" s="16">
        <f t="shared" si="2"/>
        <v>13595.4</v>
      </c>
      <c r="L303" s="16">
        <f t="shared" si="3"/>
        <v>13595.4</v>
      </c>
      <c r="M303" s="16">
        <f t="shared" si="4"/>
        <v>12549.6</v>
      </c>
      <c r="N303" s="16">
        <f t="shared" si="5"/>
        <v>12026.7</v>
      </c>
      <c r="O303" s="16">
        <f t="shared" si="6"/>
        <v>11503.8</v>
      </c>
    </row>
    <row r="304">
      <c r="A304" s="11" t="s">
        <v>99</v>
      </c>
      <c r="B304" s="11" t="s">
        <v>20</v>
      </c>
      <c r="C304" s="11" t="s">
        <v>241</v>
      </c>
      <c r="D304" s="11" t="s">
        <v>159</v>
      </c>
      <c r="E304" s="11" t="s">
        <v>258</v>
      </c>
      <c r="F304" s="11" t="s">
        <v>259</v>
      </c>
      <c r="G304" s="22"/>
      <c r="H304" s="24">
        <v>55.5</v>
      </c>
      <c r="I304" s="21">
        <f t="shared" si="7"/>
        <v>3496.5</v>
      </c>
      <c r="J304" s="16">
        <f t="shared" si="1"/>
        <v>5244.75</v>
      </c>
      <c r="K304" s="16">
        <f t="shared" si="2"/>
        <v>4545.45</v>
      </c>
      <c r="L304" s="16">
        <f t="shared" si="3"/>
        <v>4545.45</v>
      </c>
      <c r="M304" s="16">
        <f t="shared" si="4"/>
        <v>4195.8</v>
      </c>
      <c r="N304" s="16">
        <f t="shared" si="5"/>
        <v>4020.975</v>
      </c>
      <c r="O304" s="16">
        <f t="shared" si="6"/>
        <v>3846.15</v>
      </c>
    </row>
    <row r="305">
      <c r="A305" s="11" t="s">
        <v>99</v>
      </c>
      <c r="B305" s="11" t="s">
        <v>20</v>
      </c>
      <c r="C305" s="11" t="s">
        <v>260</v>
      </c>
      <c r="D305" s="11" t="s">
        <v>159</v>
      </c>
      <c r="E305" s="11" t="s">
        <v>573</v>
      </c>
      <c r="F305" s="11" t="s">
        <v>574</v>
      </c>
      <c r="G305" s="22"/>
      <c r="H305" s="24">
        <v>215.0</v>
      </c>
      <c r="I305" s="21">
        <f t="shared" si="7"/>
        <v>13545</v>
      </c>
      <c r="J305" s="16">
        <f t="shared" si="1"/>
        <v>20317.5</v>
      </c>
      <c r="K305" s="16">
        <f t="shared" si="2"/>
        <v>17608.5</v>
      </c>
      <c r="L305" s="16">
        <f t="shared" si="3"/>
        <v>17608.5</v>
      </c>
      <c r="M305" s="16">
        <f t="shared" si="4"/>
        <v>16254</v>
      </c>
      <c r="N305" s="16">
        <f t="shared" si="5"/>
        <v>15576.75</v>
      </c>
      <c r="O305" s="16">
        <f t="shared" si="6"/>
        <v>14899.5</v>
      </c>
    </row>
    <row r="306">
      <c r="A306" s="11" t="s">
        <v>99</v>
      </c>
      <c r="B306" s="11" t="s">
        <v>20</v>
      </c>
      <c r="C306" s="11" t="s">
        <v>260</v>
      </c>
      <c r="D306" s="11" t="s">
        <v>159</v>
      </c>
      <c r="E306" s="11" t="s">
        <v>575</v>
      </c>
      <c r="F306" s="11" t="s">
        <v>576</v>
      </c>
      <c r="G306" s="22"/>
      <c r="H306" s="24">
        <v>44.0</v>
      </c>
      <c r="I306" s="21">
        <f t="shared" si="7"/>
        <v>2772</v>
      </c>
      <c r="J306" s="16">
        <f t="shared" si="1"/>
        <v>4158</v>
      </c>
      <c r="K306" s="16">
        <f t="shared" si="2"/>
        <v>3603.6</v>
      </c>
      <c r="L306" s="16">
        <f t="shared" si="3"/>
        <v>3603.6</v>
      </c>
      <c r="M306" s="16">
        <f t="shared" si="4"/>
        <v>3326.4</v>
      </c>
      <c r="N306" s="16">
        <f t="shared" si="5"/>
        <v>3187.8</v>
      </c>
      <c r="O306" s="16">
        <f t="shared" si="6"/>
        <v>3049.2</v>
      </c>
    </row>
    <row r="307">
      <c r="A307" s="11" t="s">
        <v>99</v>
      </c>
      <c r="B307" s="11" t="s">
        <v>20</v>
      </c>
      <c r="C307" s="11" t="s">
        <v>271</v>
      </c>
      <c r="D307" s="11" t="s">
        <v>159</v>
      </c>
      <c r="E307" s="11" t="s">
        <v>503</v>
      </c>
      <c r="F307" s="11" t="s">
        <v>504</v>
      </c>
      <c r="G307" s="22"/>
      <c r="H307" s="24">
        <v>323.0</v>
      </c>
      <c r="I307" s="21">
        <f t="shared" si="7"/>
        <v>20349</v>
      </c>
      <c r="J307" s="16">
        <f t="shared" si="1"/>
        <v>30523.5</v>
      </c>
      <c r="K307" s="16">
        <f t="shared" si="2"/>
        <v>26453.7</v>
      </c>
      <c r="L307" s="16">
        <f t="shared" si="3"/>
        <v>26453.7</v>
      </c>
      <c r="M307" s="16">
        <f t="shared" si="4"/>
        <v>24418.8</v>
      </c>
      <c r="N307" s="16">
        <f t="shared" si="5"/>
        <v>23401.35</v>
      </c>
      <c r="O307" s="16">
        <f t="shared" si="6"/>
        <v>22383.9</v>
      </c>
    </row>
    <row r="308">
      <c r="A308" s="11" t="s">
        <v>99</v>
      </c>
      <c r="B308" s="11" t="s">
        <v>20</v>
      </c>
      <c r="C308" s="11" t="s">
        <v>271</v>
      </c>
      <c r="D308" s="11" t="s">
        <v>159</v>
      </c>
      <c r="E308" s="11" t="s">
        <v>505</v>
      </c>
      <c r="F308" s="11" t="s">
        <v>506</v>
      </c>
      <c r="G308" s="22"/>
      <c r="H308" s="24">
        <v>125.0</v>
      </c>
      <c r="I308" s="21">
        <f t="shared" si="7"/>
        <v>7875</v>
      </c>
      <c r="J308" s="16">
        <f t="shared" si="1"/>
        <v>11812.5</v>
      </c>
      <c r="K308" s="16">
        <f t="shared" si="2"/>
        <v>10237.5</v>
      </c>
      <c r="L308" s="16">
        <f t="shared" si="3"/>
        <v>10237.5</v>
      </c>
      <c r="M308" s="16">
        <f t="shared" si="4"/>
        <v>9450</v>
      </c>
      <c r="N308" s="16">
        <f t="shared" si="5"/>
        <v>9056.25</v>
      </c>
      <c r="O308" s="16">
        <f t="shared" si="6"/>
        <v>8662.5</v>
      </c>
    </row>
    <row r="309">
      <c r="A309" s="11" t="s">
        <v>99</v>
      </c>
      <c r="B309" s="11" t="s">
        <v>20</v>
      </c>
      <c r="C309" s="11" t="s">
        <v>306</v>
      </c>
      <c r="D309" s="11" t="s">
        <v>159</v>
      </c>
      <c r="E309" s="11" t="s">
        <v>577</v>
      </c>
      <c r="F309" s="11" t="s">
        <v>578</v>
      </c>
      <c r="G309" s="22"/>
      <c r="H309" s="24">
        <v>28.0</v>
      </c>
      <c r="I309" s="21">
        <f t="shared" si="7"/>
        <v>1764</v>
      </c>
      <c r="J309" s="16">
        <f t="shared" si="1"/>
        <v>2646</v>
      </c>
      <c r="K309" s="16">
        <f t="shared" si="2"/>
        <v>2293.2</v>
      </c>
      <c r="L309" s="16">
        <f t="shared" si="3"/>
        <v>2293.2</v>
      </c>
      <c r="M309" s="16">
        <f t="shared" si="4"/>
        <v>2116.8</v>
      </c>
      <c r="N309" s="16">
        <f t="shared" si="5"/>
        <v>2028.6</v>
      </c>
      <c r="O309" s="16">
        <f t="shared" si="6"/>
        <v>1940.4</v>
      </c>
    </row>
    <row r="310">
      <c r="A310" s="11" t="s">
        <v>99</v>
      </c>
      <c r="B310" s="11" t="s">
        <v>20</v>
      </c>
      <c r="C310" s="11" t="s">
        <v>306</v>
      </c>
      <c r="D310" s="11" t="s">
        <v>159</v>
      </c>
      <c r="E310" s="11" t="s">
        <v>579</v>
      </c>
      <c r="F310" s="11" t="s">
        <v>580</v>
      </c>
      <c r="G310" s="22"/>
      <c r="H310" s="24">
        <v>32.0</v>
      </c>
      <c r="I310" s="21">
        <f t="shared" si="7"/>
        <v>2016</v>
      </c>
      <c r="J310" s="16">
        <f t="shared" si="1"/>
        <v>3024</v>
      </c>
      <c r="K310" s="16">
        <f t="shared" si="2"/>
        <v>2620.8</v>
      </c>
      <c r="L310" s="16">
        <f t="shared" si="3"/>
        <v>2620.8</v>
      </c>
      <c r="M310" s="16">
        <f t="shared" si="4"/>
        <v>2419.2</v>
      </c>
      <c r="N310" s="16">
        <f t="shared" si="5"/>
        <v>2318.4</v>
      </c>
      <c r="O310" s="16">
        <f t="shared" si="6"/>
        <v>2217.6</v>
      </c>
    </row>
    <row r="311">
      <c r="A311" s="11" t="s">
        <v>99</v>
      </c>
      <c r="B311" s="11" t="s">
        <v>20</v>
      </c>
      <c r="C311" s="11" t="s">
        <v>306</v>
      </c>
      <c r="D311" s="11" t="s">
        <v>159</v>
      </c>
      <c r="E311" s="11" t="s">
        <v>581</v>
      </c>
      <c r="F311" s="11" t="s">
        <v>582</v>
      </c>
      <c r="G311" s="22"/>
      <c r="H311" s="24">
        <v>38.5</v>
      </c>
      <c r="I311" s="21">
        <f t="shared" si="7"/>
        <v>2425.5</v>
      </c>
      <c r="J311" s="16">
        <f t="shared" si="1"/>
        <v>3638.25</v>
      </c>
      <c r="K311" s="16">
        <f t="shared" si="2"/>
        <v>3153.15</v>
      </c>
      <c r="L311" s="16">
        <f t="shared" si="3"/>
        <v>3153.15</v>
      </c>
      <c r="M311" s="16">
        <f t="shared" si="4"/>
        <v>2910.6</v>
      </c>
      <c r="N311" s="16">
        <f t="shared" si="5"/>
        <v>2789.325</v>
      </c>
      <c r="O311" s="16">
        <f t="shared" si="6"/>
        <v>2668.05</v>
      </c>
    </row>
    <row r="312">
      <c r="A312" s="11" t="s">
        <v>99</v>
      </c>
      <c r="B312" s="11" t="s">
        <v>20</v>
      </c>
      <c r="C312" s="11" t="s">
        <v>306</v>
      </c>
      <c r="D312" s="11" t="s">
        <v>159</v>
      </c>
      <c r="E312" s="11" t="s">
        <v>583</v>
      </c>
      <c r="F312" s="11" t="s">
        <v>584</v>
      </c>
      <c r="G312" s="22"/>
      <c r="H312" s="24">
        <v>43.0</v>
      </c>
      <c r="I312" s="21">
        <f t="shared" si="7"/>
        <v>2709</v>
      </c>
      <c r="J312" s="16">
        <f t="shared" si="1"/>
        <v>4063.5</v>
      </c>
      <c r="K312" s="16">
        <f t="shared" si="2"/>
        <v>3521.7</v>
      </c>
      <c r="L312" s="16">
        <f t="shared" si="3"/>
        <v>3521.7</v>
      </c>
      <c r="M312" s="16">
        <f t="shared" si="4"/>
        <v>3250.8</v>
      </c>
      <c r="N312" s="16">
        <f t="shared" si="5"/>
        <v>3115.35</v>
      </c>
      <c r="O312" s="16">
        <f t="shared" si="6"/>
        <v>2979.9</v>
      </c>
    </row>
    <row r="313">
      <c r="A313" s="11" t="s">
        <v>99</v>
      </c>
      <c r="B313" s="11" t="s">
        <v>20</v>
      </c>
      <c r="C313" s="11" t="s">
        <v>306</v>
      </c>
      <c r="D313" s="11" t="s">
        <v>159</v>
      </c>
      <c r="E313" s="11" t="s">
        <v>585</v>
      </c>
      <c r="F313" s="11" t="s">
        <v>586</v>
      </c>
      <c r="G313" s="22"/>
      <c r="H313" s="24">
        <v>46.5</v>
      </c>
      <c r="I313" s="21">
        <f t="shared" si="7"/>
        <v>2929.5</v>
      </c>
      <c r="J313" s="16">
        <f t="shared" si="1"/>
        <v>4394.25</v>
      </c>
      <c r="K313" s="16">
        <f t="shared" si="2"/>
        <v>3808.35</v>
      </c>
      <c r="L313" s="16">
        <f t="shared" si="3"/>
        <v>3808.35</v>
      </c>
      <c r="M313" s="16">
        <f t="shared" si="4"/>
        <v>3515.4</v>
      </c>
      <c r="N313" s="16">
        <f t="shared" si="5"/>
        <v>3368.925</v>
      </c>
      <c r="O313" s="16">
        <f t="shared" si="6"/>
        <v>3222.45</v>
      </c>
    </row>
    <row r="314">
      <c r="A314" s="11" t="s">
        <v>99</v>
      </c>
      <c r="B314" s="11" t="s">
        <v>20</v>
      </c>
      <c r="C314" s="11" t="s">
        <v>306</v>
      </c>
      <c r="D314" s="11" t="s">
        <v>159</v>
      </c>
      <c r="E314" s="11" t="s">
        <v>587</v>
      </c>
      <c r="F314" s="11" t="s">
        <v>588</v>
      </c>
      <c r="G314" s="22"/>
      <c r="H314" s="24">
        <v>52.0</v>
      </c>
      <c r="I314" s="21">
        <f t="shared" si="7"/>
        <v>3276</v>
      </c>
      <c r="J314" s="16">
        <f t="shared" si="1"/>
        <v>4914</v>
      </c>
      <c r="K314" s="16">
        <f t="shared" si="2"/>
        <v>4258.8</v>
      </c>
      <c r="L314" s="16">
        <f t="shared" si="3"/>
        <v>4258.8</v>
      </c>
      <c r="M314" s="16">
        <f t="shared" si="4"/>
        <v>3931.2</v>
      </c>
      <c r="N314" s="16">
        <f t="shared" si="5"/>
        <v>3767.4</v>
      </c>
      <c r="O314" s="16">
        <f t="shared" si="6"/>
        <v>3603.6</v>
      </c>
    </row>
    <row r="315">
      <c r="A315" s="11" t="s">
        <v>99</v>
      </c>
      <c r="B315" s="11" t="s">
        <v>20</v>
      </c>
      <c r="C315" s="11" t="s">
        <v>589</v>
      </c>
      <c r="D315" s="11" t="s">
        <v>159</v>
      </c>
      <c r="E315" s="11" t="s">
        <v>590</v>
      </c>
      <c r="F315" s="11" t="s">
        <v>591</v>
      </c>
      <c r="G315" s="22"/>
      <c r="H315" s="24">
        <v>323.0</v>
      </c>
      <c r="I315" s="21">
        <f t="shared" si="7"/>
        <v>20349</v>
      </c>
      <c r="J315" s="16">
        <f t="shared" si="1"/>
        <v>30523.5</v>
      </c>
      <c r="K315" s="16">
        <f t="shared" si="2"/>
        <v>26453.7</v>
      </c>
      <c r="L315" s="16">
        <f t="shared" si="3"/>
        <v>26453.7</v>
      </c>
      <c r="M315" s="16">
        <f t="shared" si="4"/>
        <v>24418.8</v>
      </c>
      <c r="N315" s="16">
        <f t="shared" si="5"/>
        <v>23401.35</v>
      </c>
      <c r="O315" s="16">
        <f t="shared" si="6"/>
        <v>22383.9</v>
      </c>
    </row>
    <row r="316">
      <c r="A316" s="11" t="s">
        <v>99</v>
      </c>
      <c r="B316" s="11" t="s">
        <v>20</v>
      </c>
      <c r="C316" s="11" t="s">
        <v>589</v>
      </c>
      <c r="D316" s="11" t="s">
        <v>159</v>
      </c>
      <c r="E316" s="11" t="s">
        <v>592</v>
      </c>
      <c r="F316" s="11" t="s">
        <v>593</v>
      </c>
      <c r="G316" s="22"/>
      <c r="H316" s="24">
        <v>60.0</v>
      </c>
      <c r="I316" s="21">
        <f t="shared" si="7"/>
        <v>3780</v>
      </c>
      <c r="J316" s="16">
        <f t="shared" si="1"/>
        <v>5670</v>
      </c>
      <c r="K316" s="16">
        <f t="shared" si="2"/>
        <v>4914</v>
      </c>
      <c r="L316" s="16">
        <f t="shared" si="3"/>
        <v>4914</v>
      </c>
      <c r="M316" s="16">
        <f t="shared" si="4"/>
        <v>4536</v>
      </c>
      <c r="N316" s="16">
        <f t="shared" si="5"/>
        <v>4347</v>
      </c>
      <c r="O316" s="16">
        <f t="shared" si="6"/>
        <v>4158</v>
      </c>
    </row>
    <row r="317">
      <c r="A317" s="11" t="s">
        <v>99</v>
      </c>
      <c r="B317" s="11" t="s">
        <v>20</v>
      </c>
      <c r="C317" s="11" t="s">
        <v>589</v>
      </c>
      <c r="D317" s="11" t="s">
        <v>159</v>
      </c>
      <c r="E317" s="11" t="s">
        <v>594</v>
      </c>
      <c r="F317" s="11" t="s">
        <v>595</v>
      </c>
      <c r="G317" s="22"/>
      <c r="H317" s="24">
        <v>66.0</v>
      </c>
      <c r="I317" s="21">
        <f t="shared" si="7"/>
        <v>4158</v>
      </c>
      <c r="J317" s="16">
        <f t="shared" si="1"/>
        <v>6237</v>
      </c>
      <c r="K317" s="16">
        <f t="shared" si="2"/>
        <v>5405.4</v>
      </c>
      <c r="L317" s="16">
        <f t="shared" si="3"/>
        <v>5405.4</v>
      </c>
      <c r="M317" s="16">
        <f t="shared" si="4"/>
        <v>4989.6</v>
      </c>
      <c r="N317" s="16">
        <f t="shared" si="5"/>
        <v>4781.7</v>
      </c>
      <c r="O317" s="16">
        <f t="shared" si="6"/>
        <v>4573.8</v>
      </c>
    </row>
    <row r="318">
      <c r="A318" s="11" t="s">
        <v>99</v>
      </c>
      <c r="B318" s="11" t="s">
        <v>20</v>
      </c>
      <c r="C318" s="11" t="s">
        <v>589</v>
      </c>
      <c r="D318" s="11" t="s">
        <v>159</v>
      </c>
      <c r="E318" s="11" t="s">
        <v>596</v>
      </c>
      <c r="F318" s="11" t="s">
        <v>597</v>
      </c>
      <c r="G318" s="22"/>
      <c r="H318" s="24">
        <v>70.5</v>
      </c>
      <c r="I318" s="21">
        <f t="shared" si="7"/>
        <v>4441.5</v>
      </c>
      <c r="J318" s="16">
        <f t="shared" si="1"/>
        <v>6662.25</v>
      </c>
      <c r="K318" s="16">
        <f t="shared" si="2"/>
        <v>5773.95</v>
      </c>
      <c r="L318" s="16">
        <f t="shared" si="3"/>
        <v>5773.95</v>
      </c>
      <c r="M318" s="16">
        <f t="shared" si="4"/>
        <v>5329.8</v>
      </c>
      <c r="N318" s="16">
        <f t="shared" si="5"/>
        <v>5107.725</v>
      </c>
      <c r="O318" s="16">
        <f t="shared" si="6"/>
        <v>4885.65</v>
      </c>
    </row>
    <row r="319">
      <c r="A319" s="11" t="s">
        <v>99</v>
      </c>
      <c r="B319" s="11" t="s">
        <v>20</v>
      </c>
      <c r="C319" s="11" t="s">
        <v>589</v>
      </c>
      <c r="D319" s="11" t="s">
        <v>159</v>
      </c>
      <c r="E319" s="11" t="s">
        <v>598</v>
      </c>
      <c r="F319" s="11" t="s">
        <v>287</v>
      </c>
      <c r="G319" s="22"/>
      <c r="H319" s="24">
        <v>13.0</v>
      </c>
      <c r="I319" s="21">
        <f t="shared" si="7"/>
        <v>819</v>
      </c>
      <c r="J319" s="16">
        <f t="shared" si="1"/>
        <v>1228.5</v>
      </c>
      <c r="K319" s="16">
        <f t="shared" si="2"/>
        <v>1064.7</v>
      </c>
      <c r="L319" s="16">
        <f t="shared" si="3"/>
        <v>1064.7</v>
      </c>
      <c r="M319" s="16">
        <f t="shared" si="4"/>
        <v>982.8</v>
      </c>
      <c r="N319" s="16">
        <f t="shared" si="5"/>
        <v>941.85</v>
      </c>
      <c r="O319" s="16">
        <f t="shared" si="6"/>
        <v>900.9</v>
      </c>
    </row>
    <row r="320">
      <c r="A320" s="11" t="s">
        <v>99</v>
      </c>
      <c r="B320" s="11" t="s">
        <v>20</v>
      </c>
      <c r="C320" s="11" t="s">
        <v>589</v>
      </c>
      <c r="D320" s="11" t="s">
        <v>159</v>
      </c>
      <c r="E320" s="11" t="s">
        <v>599</v>
      </c>
      <c r="F320" s="11" t="s">
        <v>600</v>
      </c>
      <c r="G320" s="22"/>
      <c r="H320" s="24">
        <v>22.0</v>
      </c>
      <c r="I320" s="21">
        <f t="shared" si="7"/>
        <v>1386</v>
      </c>
      <c r="J320" s="16">
        <f t="shared" si="1"/>
        <v>2079</v>
      </c>
      <c r="K320" s="16">
        <f t="shared" si="2"/>
        <v>1801.8</v>
      </c>
      <c r="L320" s="16">
        <f t="shared" si="3"/>
        <v>1801.8</v>
      </c>
      <c r="M320" s="16">
        <f t="shared" si="4"/>
        <v>1663.2</v>
      </c>
      <c r="N320" s="16">
        <f t="shared" si="5"/>
        <v>1593.9</v>
      </c>
      <c r="O320" s="16">
        <f t="shared" si="6"/>
        <v>1524.6</v>
      </c>
    </row>
    <row r="321">
      <c r="A321" s="11" t="s">
        <v>99</v>
      </c>
      <c r="B321" s="11" t="s">
        <v>20</v>
      </c>
      <c r="C321" s="11" t="s">
        <v>589</v>
      </c>
      <c r="D321" s="11" t="s">
        <v>159</v>
      </c>
      <c r="E321" s="11" t="s">
        <v>601</v>
      </c>
      <c r="F321" s="11" t="s">
        <v>602</v>
      </c>
      <c r="G321" s="22"/>
      <c r="H321" s="24">
        <v>26.0</v>
      </c>
      <c r="I321" s="21">
        <f t="shared" si="7"/>
        <v>1638</v>
      </c>
      <c r="J321" s="16">
        <f t="shared" si="1"/>
        <v>2457</v>
      </c>
      <c r="K321" s="16">
        <f t="shared" si="2"/>
        <v>2129.4</v>
      </c>
      <c r="L321" s="16">
        <f t="shared" si="3"/>
        <v>2129.4</v>
      </c>
      <c r="M321" s="16">
        <f t="shared" si="4"/>
        <v>1965.6</v>
      </c>
      <c r="N321" s="16">
        <f t="shared" si="5"/>
        <v>1883.7</v>
      </c>
      <c r="O321" s="16">
        <f t="shared" si="6"/>
        <v>1801.8</v>
      </c>
    </row>
    <row r="322">
      <c r="A322" s="11" t="s">
        <v>99</v>
      </c>
      <c r="B322" s="11" t="s">
        <v>20</v>
      </c>
      <c r="C322" s="11" t="s">
        <v>589</v>
      </c>
      <c r="D322" s="11" t="s">
        <v>159</v>
      </c>
      <c r="E322" s="11" t="s">
        <v>603</v>
      </c>
      <c r="F322" s="11" t="s">
        <v>604</v>
      </c>
      <c r="G322" s="22"/>
      <c r="H322" s="24">
        <v>31.0</v>
      </c>
      <c r="I322" s="21">
        <f t="shared" si="7"/>
        <v>1953</v>
      </c>
      <c r="J322" s="16">
        <f t="shared" si="1"/>
        <v>2929.5</v>
      </c>
      <c r="K322" s="16">
        <f t="shared" si="2"/>
        <v>2538.9</v>
      </c>
      <c r="L322" s="16">
        <f t="shared" si="3"/>
        <v>2538.9</v>
      </c>
      <c r="M322" s="16">
        <f t="shared" si="4"/>
        <v>2343.6</v>
      </c>
      <c r="N322" s="16">
        <f t="shared" si="5"/>
        <v>2245.95</v>
      </c>
      <c r="O322" s="16">
        <f t="shared" si="6"/>
        <v>2148.3</v>
      </c>
    </row>
    <row r="323">
      <c r="A323" s="11" t="s">
        <v>99</v>
      </c>
      <c r="B323" s="11" t="s">
        <v>20</v>
      </c>
      <c r="C323" s="11" t="s">
        <v>589</v>
      </c>
      <c r="D323" s="11" t="s">
        <v>159</v>
      </c>
      <c r="E323" s="11" t="s">
        <v>605</v>
      </c>
      <c r="F323" s="11" t="s">
        <v>606</v>
      </c>
      <c r="G323" s="22"/>
      <c r="H323" s="24">
        <v>35.0</v>
      </c>
      <c r="I323" s="21">
        <f t="shared" si="7"/>
        <v>2205</v>
      </c>
      <c r="J323" s="16">
        <f t="shared" si="1"/>
        <v>3307.5</v>
      </c>
      <c r="K323" s="16">
        <f t="shared" si="2"/>
        <v>2866.5</v>
      </c>
      <c r="L323" s="16">
        <f t="shared" si="3"/>
        <v>2866.5</v>
      </c>
      <c r="M323" s="16">
        <f t="shared" si="4"/>
        <v>2646</v>
      </c>
      <c r="N323" s="16">
        <f t="shared" si="5"/>
        <v>2535.75</v>
      </c>
      <c r="O323" s="16">
        <f t="shared" si="6"/>
        <v>2425.5</v>
      </c>
    </row>
    <row r="324">
      <c r="A324" s="11" t="s">
        <v>99</v>
      </c>
      <c r="B324" s="11" t="s">
        <v>20</v>
      </c>
      <c r="C324" s="11" t="s">
        <v>589</v>
      </c>
      <c r="D324" s="11" t="s">
        <v>159</v>
      </c>
      <c r="E324" s="11" t="s">
        <v>607</v>
      </c>
      <c r="F324" s="11" t="s">
        <v>608</v>
      </c>
      <c r="G324" s="22"/>
      <c r="H324" s="24">
        <v>26.5</v>
      </c>
      <c r="I324" s="21">
        <f t="shared" si="7"/>
        <v>1669.5</v>
      </c>
      <c r="J324" s="16">
        <f t="shared" si="1"/>
        <v>2504.25</v>
      </c>
      <c r="K324" s="16">
        <f t="shared" si="2"/>
        <v>2170.35</v>
      </c>
      <c r="L324" s="16">
        <f t="shared" si="3"/>
        <v>2170.35</v>
      </c>
      <c r="M324" s="16">
        <f t="shared" si="4"/>
        <v>2003.4</v>
      </c>
      <c r="N324" s="16">
        <f t="shared" si="5"/>
        <v>1919.925</v>
      </c>
      <c r="O324" s="16">
        <f t="shared" si="6"/>
        <v>1836.45</v>
      </c>
    </row>
    <row r="325">
      <c r="A325" s="11" t="s">
        <v>99</v>
      </c>
      <c r="B325" s="11" t="s">
        <v>20</v>
      </c>
      <c r="C325" s="11" t="s">
        <v>589</v>
      </c>
      <c r="D325" s="11" t="s">
        <v>159</v>
      </c>
      <c r="E325" s="11" t="s">
        <v>609</v>
      </c>
      <c r="F325" s="11" t="s">
        <v>610</v>
      </c>
      <c r="G325" s="22"/>
      <c r="H325" s="24">
        <v>34.5</v>
      </c>
      <c r="I325" s="21">
        <f t="shared" si="7"/>
        <v>2173.5</v>
      </c>
      <c r="J325" s="16">
        <f t="shared" si="1"/>
        <v>3260.25</v>
      </c>
      <c r="K325" s="16">
        <f t="shared" si="2"/>
        <v>2825.55</v>
      </c>
      <c r="L325" s="16">
        <f t="shared" si="3"/>
        <v>2825.55</v>
      </c>
      <c r="M325" s="16">
        <f t="shared" si="4"/>
        <v>2608.2</v>
      </c>
      <c r="N325" s="16">
        <f t="shared" si="5"/>
        <v>2499.525</v>
      </c>
      <c r="O325" s="16">
        <f t="shared" si="6"/>
        <v>2390.85</v>
      </c>
    </row>
    <row r="326">
      <c r="A326" s="11" t="s">
        <v>99</v>
      </c>
      <c r="B326" s="11" t="s">
        <v>20</v>
      </c>
      <c r="C326" s="11" t="s">
        <v>589</v>
      </c>
      <c r="D326" s="11" t="s">
        <v>159</v>
      </c>
      <c r="E326" s="11" t="s">
        <v>611</v>
      </c>
      <c r="F326" s="11" t="s">
        <v>612</v>
      </c>
      <c r="G326" s="22"/>
      <c r="H326" s="24">
        <v>40.5</v>
      </c>
      <c r="I326" s="21">
        <f t="shared" si="7"/>
        <v>2551.5</v>
      </c>
      <c r="J326" s="16">
        <f t="shared" si="1"/>
        <v>3827.25</v>
      </c>
      <c r="K326" s="16">
        <f t="shared" si="2"/>
        <v>3316.95</v>
      </c>
      <c r="L326" s="16">
        <f t="shared" si="3"/>
        <v>3316.95</v>
      </c>
      <c r="M326" s="16">
        <f t="shared" si="4"/>
        <v>3061.8</v>
      </c>
      <c r="N326" s="16">
        <f t="shared" si="5"/>
        <v>2934.225</v>
      </c>
      <c r="O326" s="16">
        <f t="shared" si="6"/>
        <v>2806.65</v>
      </c>
    </row>
    <row r="327">
      <c r="A327" s="11" t="s">
        <v>99</v>
      </c>
      <c r="B327" s="11" t="s">
        <v>20</v>
      </c>
      <c r="C327" s="11" t="s">
        <v>589</v>
      </c>
      <c r="D327" s="11" t="s">
        <v>159</v>
      </c>
      <c r="E327" s="11" t="s">
        <v>613</v>
      </c>
      <c r="F327" s="11" t="s">
        <v>614</v>
      </c>
      <c r="G327" s="22"/>
      <c r="H327" s="24">
        <v>48.0</v>
      </c>
      <c r="I327" s="21">
        <f t="shared" si="7"/>
        <v>3024</v>
      </c>
      <c r="J327" s="16">
        <f t="shared" si="1"/>
        <v>4536</v>
      </c>
      <c r="K327" s="16">
        <f t="shared" si="2"/>
        <v>3931.2</v>
      </c>
      <c r="L327" s="16">
        <f t="shared" si="3"/>
        <v>3931.2</v>
      </c>
      <c r="M327" s="16">
        <f t="shared" si="4"/>
        <v>3628.8</v>
      </c>
      <c r="N327" s="16">
        <f t="shared" si="5"/>
        <v>3477.6</v>
      </c>
      <c r="O327" s="16">
        <f t="shared" si="6"/>
        <v>3326.4</v>
      </c>
    </row>
    <row r="328">
      <c r="A328" s="11" t="s">
        <v>99</v>
      </c>
      <c r="B328" s="11" t="s">
        <v>20</v>
      </c>
      <c r="C328" s="11" t="s">
        <v>589</v>
      </c>
      <c r="D328" s="11" t="s">
        <v>159</v>
      </c>
      <c r="E328" s="11" t="s">
        <v>615</v>
      </c>
      <c r="F328" s="11" t="s">
        <v>616</v>
      </c>
      <c r="G328" s="22"/>
      <c r="H328" s="24">
        <v>22.5</v>
      </c>
      <c r="I328" s="21">
        <f t="shared" si="7"/>
        <v>1417.5</v>
      </c>
      <c r="J328" s="16">
        <f t="shared" si="1"/>
        <v>2126.25</v>
      </c>
      <c r="K328" s="16">
        <f t="shared" si="2"/>
        <v>1842.75</v>
      </c>
      <c r="L328" s="16">
        <f t="shared" si="3"/>
        <v>1842.75</v>
      </c>
      <c r="M328" s="16">
        <f t="shared" si="4"/>
        <v>1701</v>
      </c>
      <c r="N328" s="16">
        <f t="shared" si="5"/>
        <v>1630.125</v>
      </c>
      <c r="O328" s="16">
        <f t="shared" si="6"/>
        <v>1559.25</v>
      </c>
    </row>
    <row r="329">
      <c r="A329" s="11" t="s">
        <v>99</v>
      </c>
      <c r="B329" s="11" t="s">
        <v>20</v>
      </c>
      <c r="C329" s="11" t="s">
        <v>589</v>
      </c>
      <c r="D329" s="11" t="s">
        <v>159</v>
      </c>
      <c r="E329" s="11" t="s">
        <v>617</v>
      </c>
      <c r="F329" s="11" t="s">
        <v>289</v>
      </c>
      <c r="G329" s="22"/>
      <c r="H329" s="24">
        <v>21.0</v>
      </c>
      <c r="I329" s="21">
        <f t="shared" si="7"/>
        <v>1323</v>
      </c>
      <c r="J329" s="16">
        <f t="shared" si="1"/>
        <v>1984.5</v>
      </c>
      <c r="K329" s="16">
        <f t="shared" si="2"/>
        <v>1719.9</v>
      </c>
      <c r="L329" s="16">
        <f t="shared" si="3"/>
        <v>1719.9</v>
      </c>
      <c r="M329" s="16">
        <f t="shared" si="4"/>
        <v>1587.6</v>
      </c>
      <c r="N329" s="16">
        <f t="shared" si="5"/>
        <v>1521.45</v>
      </c>
      <c r="O329" s="16">
        <f t="shared" si="6"/>
        <v>1455.3</v>
      </c>
    </row>
    <row r="330">
      <c r="A330" s="11" t="s">
        <v>99</v>
      </c>
      <c r="B330" s="11" t="s">
        <v>20</v>
      </c>
      <c r="C330" s="11" t="s">
        <v>589</v>
      </c>
      <c r="D330" s="11" t="s">
        <v>159</v>
      </c>
      <c r="E330" s="11" t="s">
        <v>618</v>
      </c>
      <c r="F330" s="11" t="s">
        <v>291</v>
      </c>
      <c r="G330" s="22"/>
      <c r="H330" s="24">
        <v>23.0</v>
      </c>
      <c r="I330" s="21">
        <f t="shared" si="7"/>
        <v>1449</v>
      </c>
      <c r="J330" s="16">
        <f t="shared" si="1"/>
        <v>2173.5</v>
      </c>
      <c r="K330" s="16">
        <f t="shared" si="2"/>
        <v>1883.7</v>
      </c>
      <c r="L330" s="16">
        <f t="shared" si="3"/>
        <v>1883.7</v>
      </c>
      <c r="M330" s="16">
        <f t="shared" si="4"/>
        <v>1738.8</v>
      </c>
      <c r="N330" s="16">
        <f t="shared" si="5"/>
        <v>1666.35</v>
      </c>
      <c r="O330" s="16">
        <f t="shared" si="6"/>
        <v>1593.9</v>
      </c>
    </row>
    <row r="331">
      <c r="A331" s="11" t="s">
        <v>99</v>
      </c>
      <c r="B331" s="11" t="s">
        <v>20</v>
      </c>
      <c r="C331" s="11" t="s">
        <v>589</v>
      </c>
      <c r="D331" s="11" t="s">
        <v>159</v>
      </c>
      <c r="E331" s="11" t="s">
        <v>619</v>
      </c>
      <c r="F331" s="11" t="s">
        <v>293</v>
      </c>
      <c r="G331" s="22"/>
      <c r="H331" s="24">
        <v>27.0</v>
      </c>
      <c r="I331" s="21">
        <f t="shared" si="7"/>
        <v>1701</v>
      </c>
      <c r="J331" s="16">
        <f t="shared" si="1"/>
        <v>2551.5</v>
      </c>
      <c r="K331" s="16">
        <f t="shared" si="2"/>
        <v>2211.3</v>
      </c>
      <c r="L331" s="16">
        <f t="shared" si="3"/>
        <v>2211.3</v>
      </c>
      <c r="M331" s="16">
        <f t="shared" si="4"/>
        <v>2041.2</v>
      </c>
      <c r="N331" s="16">
        <f t="shared" si="5"/>
        <v>1956.15</v>
      </c>
      <c r="O331" s="16">
        <f t="shared" si="6"/>
        <v>1871.1</v>
      </c>
    </row>
    <row r="332">
      <c r="A332" s="11" t="s">
        <v>99</v>
      </c>
      <c r="B332" s="11" t="s">
        <v>20</v>
      </c>
      <c r="C332" s="11" t="s">
        <v>589</v>
      </c>
      <c r="D332" s="11" t="s">
        <v>159</v>
      </c>
      <c r="E332" s="11" t="s">
        <v>620</v>
      </c>
      <c r="F332" s="11" t="s">
        <v>621</v>
      </c>
      <c r="G332" s="22"/>
      <c r="H332" s="24">
        <v>30.5</v>
      </c>
      <c r="I332" s="21">
        <f t="shared" si="7"/>
        <v>1921.5</v>
      </c>
      <c r="J332" s="16">
        <f t="shared" si="1"/>
        <v>2882.25</v>
      </c>
      <c r="K332" s="16">
        <f t="shared" si="2"/>
        <v>2497.95</v>
      </c>
      <c r="L332" s="16">
        <f t="shared" si="3"/>
        <v>2497.95</v>
      </c>
      <c r="M332" s="16">
        <f t="shared" si="4"/>
        <v>2305.8</v>
      </c>
      <c r="N332" s="16">
        <f t="shared" si="5"/>
        <v>2209.725</v>
      </c>
      <c r="O332" s="16">
        <f t="shared" si="6"/>
        <v>2113.65</v>
      </c>
    </row>
    <row r="333">
      <c r="A333" s="11" t="s">
        <v>99</v>
      </c>
      <c r="B333" s="11" t="s">
        <v>20</v>
      </c>
      <c r="C333" s="11" t="s">
        <v>589</v>
      </c>
      <c r="D333" s="11" t="s">
        <v>159</v>
      </c>
      <c r="E333" s="11" t="s">
        <v>622</v>
      </c>
      <c r="F333" s="11" t="s">
        <v>623</v>
      </c>
      <c r="G333" s="22"/>
      <c r="H333" s="24">
        <v>42.0</v>
      </c>
      <c r="I333" s="21">
        <f t="shared" si="7"/>
        <v>2646</v>
      </c>
      <c r="J333" s="16">
        <f t="shared" si="1"/>
        <v>3969</v>
      </c>
      <c r="K333" s="16">
        <f t="shared" si="2"/>
        <v>3439.8</v>
      </c>
      <c r="L333" s="16">
        <f t="shared" si="3"/>
        <v>3439.8</v>
      </c>
      <c r="M333" s="16">
        <f t="shared" si="4"/>
        <v>3175.2</v>
      </c>
      <c r="N333" s="16">
        <f t="shared" si="5"/>
        <v>3042.9</v>
      </c>
      <c r="O333" s="16">
        <f t="shared" si="6"/>
        <v>2910.6</v>
      </c>
    </row>
    <row r="334">
      <c r="A334" s="11" t="s">
        <v>99</v>
      </c>
      <c r="B334" s="11" t="s">
        <v>20</v>
      </c>
      <c r="C334" s="11" t="s">
        <v>589</v>
      </c>
      <c r="D334" s="11" t="s">
        <v>159</v>
      </c>
      <c r="E334" s="11" t="s">
        <v>624</v>
      </c>
      <c r="F334" s="11" t="s">
        <v>625</v>
      </c>
      <c r="G334" s="22"/>
      <c r="H334" s="24">
        <v>54.0</v>
      </c>
      <c r="I334" s="21">
        <f t="shared" si="7"/>
        <v>3402</v>
      </c>
      <c r="J334" s="16">
        <f t="shared" si="1"/>
        <v>5103</v>
      </c>
      <c r="K334" s="16">
        <f t="shared" si="2"/>
        <v>4422.6</v>
      </c>
      <c r="L334" s="16">
        <f t="shared" si="3"/>
        <v>4422.6</v>
      </c>
      <c r="M334" s="16">
        <f t="shared" si="4"/>
        <v>4082.4</v>
      </c>
      <c r="N334" s="16">
        <f t="shared" si="5"/>
        <v>3912.3</v>
      </c>
      <c r="O334" s="16">
        <f t="shared" si="6"/>
        <v>3742.2</v>
      </c>
    </row>
    <row r="335">
      <c r="A335" s="11" t="s">
        <v>99</v>
      </c>
      <c r="B335" s="11" t="s">
        <v>20</v>
      </c>
      <c r="C335" s="11" t="s">
        <v>589</v>
      </c>
      <c r="D335" s="11" t="s">
        <v>159</v>
      </c>
      <c r="E335" s="11" t="s">
        <v>626</v>
      </c>
      <c r="F335" s="11" t="s">
        <v>627</v>
      </c>
      <c r="G335" s="22"/>
      <c r="H335" s="24">
        <v>68.0</v>
      </c>
      <c r="I335" s="21">
        <f t="shared" si="7"/>
        <v>4284</v>
      </c>
      <c r="J335" s="16">
        <f t="shared" si="1"/>
        <v>6426</v>
      </c>
      <c r="K335" s="16">
        <f t="shared" si="2"/>
        <v>5569.2</v>
      </c>
      <c r="L335" s="16">
        <f t="shared" si="3"/>
        <v>5569.2</v>
      </c>
      <c r="M335" s="16">
        <f t="shared" si="4"/>
        <v>5140.8</v>
      </c>
      <c r="N335" s="16">
        <f t="shared" si="5"/>
        <v>4926.6</v>
      </c>
      <c r="O335" s="16">
        <f t="shared" si="6"/>
        <v>4712.4</v>
      </c>
    </row>
    <row r="336">
      <c r="A336" s="11" t="s">
        <v>99</v>
      </c>
      <c r="B336" s="11" t="s">
        <v>20</v>
      </c>
      <c r="C336" s="11" t="s">
        <v>589</v>
      </c>
      <c r="D336" s="11" t="s">
        <v>159</v>
      </c>
      <c r="E336" s="11" t="s">
        <v>628</v>
      </c>
      <c r="F336" s="11" t="s">
        <v>629</v>
      </c>
      <c r="G336" s="22"/>
      <c r="H336" s="24">
        <v>82.0</v>
      </c>
      <c r="I336" s="21">
        <f t="shared" si="7"/>
        <v>5166</v>
      </c>
      <c r="J336" s="16">
        <f t="shared" si="1"/>
        <v>7749</v>
      </c>
      <c r="K336" s="16">
        <f t="shared" si="2"/>
        <v>6715.8</v>
      </c>
      <c r="L336" s="16">
        <f t="shared" si="3"/>
        <v>6715.8</v>
      </c>
      <c r="M336" s="16">
        <f t="shared" si="4"/>
        <v>6199.2</v>
      </c>
      <c r="N336" s="16">
        <f t="shared" si="5"/>
        <v>5940.9</v>
      </c>
      <c r="O336" s="16">
        <f t="shared" si="6"/>
        <v>5682.6</v>
      </c>
    </row>
    <row r="337">
      <c r="A337" s="11" t="s">
        <v>99</v>
      </c>
      <c r="B337" s="11" t="s">
        <v>20</v>
      </c>
      <c r="C337" s="11" t="s">
        <v>589</v>
      </c>
      <c r="D337" s="11" t="s">
        <v>159</v>
      </c>
      <c r="E337" s="11" t="s">
        <v>630</v>
      </c>
      <c r="F337" s="11" t="s">
        <v>631</v>
      </c>
      <c r="G337" s="22"/>
      <c r="H337" s="24">
        <v>111.0</v>
      </c>
      <c r="I337" s="21">
        <f t="shared" si="7"/>
        <v>6993</v>
      </c>
      <c r="J337" s="16">
        <f t="shared" si="1"/>
        <v>10489.5</v>
      </c>
      <c r="K337" s="16">
        <f t="shared" si="2"/>
        <v>9090.9</v>
      </c>
      <c r="L337" s="16">
        <f t="shared" si="3"/>
        <v>9090.9</v>
      </c>
      <c r="M337" s="16">
        <f t="shared" si="4"/>
        <v>8391.6</v>
      </c>
      <c r="N337" s="16">
        <f t="shared" si="5"/>
        <v>8041.95</v>
      </c>
      <c r="O337" s="16">
        <f t="shared" si="6"/>
        <v>7692.3</v>
      </c>
    </row>
    <row r="338">
      <c r="A338" s="11" t="s">
        <v>99</v>
      </c>
      <c r="B338" s="11" t="s">
        <v>20</v>
      </c>
      <c r="C338" s="11" t="s">
        <v>589</v>
      </c>
      <c r="D338" s="11" t="s">
        <v>159</v>
      </c>
      <c r="E338" s="11" t="s">
        <v>632</v>
      </c>
      <c r="F338" s="11" t="s">
        <v>633</v>
      </c>
      <c r="G338" s="22"/>
      <c r="H338" s="24">
        <v>119.0</v>
      </c>
      <c r="I338" s="21">
        <f t="shared" si="7"/>
        <v>7497</v>
      </c>
      <c r="J338" s="16">
        <f t="shared" si="1"/>
        <v>11245.5</v>
      </c>
      <c r="K338" s="16">
        <f t="shared" si="2"/>
        <v>9746.1</v>
      </c>
      <c r="L338" s="16">
        <f t="shared" si="3"/>
        <v>9746.1</v>
      </c>
      <c r="M338" s="16">
        <f t="shared" si="4"/>
        <v>8996.4</v>
      </c>
      <c r="N338" s="16">
        <f t="shared" si="5"/>
        <v>8621.55</v>
      </c>
      <c r="O338" s="16">
        <f t="shared" si="6"/>
        <v>8246.7</v>
      </c>
    </row>
    <row r="339">
      <c r="A339" s="11" t="s">
        <v>99</v>
      </c>
      <c r="B339" s="11" t="s">
        <v>20</v>
      </c>
      <c r="C339" s="11" t="s">
        <v>589</v>
      </c>
      <c r="D339" s="11" t="s">
        <v>159</v>
      </c>
      <c r="E339" s="11" t="s">
        <v>634</v>
      </c>
      <c r="F339" s="11" t="s">
        <v>635</v>
      </c>
      <c r="G339" s="22"/>
      <c r="H339" s="24">
        <v>79.0</v>
      </c>
      <c r="I339" s="21">
        <f t="shared" si="7"/>
        <v>4977</v>
      </c>
      <c r="J339" s="16">
        <f t="shared" si="1"/>
        <v>7465.5</v>
      </c>
      <c r="K339" s="16">
        <f t="shared" si="2"/>
        <v>6470.1</v>
      </c>
      <c r="L339" s="16">
        <f t="shared" si="3"/>
        <v>6470.1</v>
      </c>
      <c r="M339" s="16">
        <f t="shared" si="4"/>
        <v>5972.4</v>
      </c>
      <c r="N339" s="16">
        <f t="shared" si="5"/>
        <v>5723.55</v>
      </c>
      <c r="O339" s="16">
        <f t="shared" si="6"/>
        <v>5474.7</v>
      </c>
    </row>
    <row r="340">
      <c r="A340" s="11" t="s">
        <v>99</v>
      </c>
      <c r="B340" s="11" t="s">
        <v>20</v>
      </c>
      <c r="C340" s="11" t="s">
        <v>589</v>
      </c>
      <c r="D340" s="11" t="s">
        <v>159</v>
      </c>
      <c r="E340" s="11" t="s">
        <v>636</v>
      </c>
      <c r="F340" s="11" t="s">
        <v>637</v>
      </c>
      <c r="G340" s="22"/>
      <c r="H340" s="24">
        <v>101.0</v>
      </c>
      <c r="I340" s="21">
        <f t="shared" si="7"/>
        <v>6363</v>
      </c>
      <c r="J340" s="16">
        <f t="shared" si="1"/>
        <v>9544.5</v>
      </c>
      <c r="K340" s="16">
        <f t="shared" si="2"/>
        <v>8271.9</v>
      </c>
      <c r="L340" s="16">
        <f t="shared" si="3"/>
        <v>8271.9</v>
      </c>
      <c r="M340" s="16">
        <f t="shared" si="4"/>
        <v>7635.6</v>
      </c>
      <c r="N340" s="16">
        <f t="shared" si="5"/>
        <v>7317.45</v>
      </c>
      <c r="O340" s="16">
        <f t="shared" si="6"/>
        <v>6999.3</v>
      </c>
    </row>
    <row r="341">
      <c r="A341" s="11" t="s">
        <v>99</v>
      </c>
      <c r="B341" s="11" t="s">
        <v>20</v>
      </c>
      <c r="C341" s="11" t="s">
        <v>589</v>
      </c>
      <c r="D341" s="11" t="s">
        <v>159</v>
      </c>
      <c r="E341" s="11" t="s">
        <v>638</v>
      </c>
      <c r="F341" s="11" t="s">
        <v>639</v>
      </c>
      <c r="G341" s="22"/>
      <c r="H341" s="24">
        <v>125.0</v>
      </c>
      <c r="I341" s="21">
        <f t="shared" si="7"/>
        <v>7875</v>
      </c>
      <c r="J341" s="16">
        <f t="shared" si="1"/>
        <v>11812.5</v>
      </c>
      <c r="K341" s="16">
        <f t="shared" si="2"/>
        <v>10237.5</v>
      </c>
      <c r="L341" s="16">
        <f t="shared" si="3"/>
        <v>10237.5</v>
      </c>
      <c r="M341" s="16">
        <f t="shared" si="4"/>
        <v>9450</v>
      </c>
      <c r="N341" s="16">
        <f t="shared" si="5"/>
        <v>9056.25</v>
      </c>
      <c r="O341" s="16">
        <f t="shared" si="6"/>
        <v>8662.5</v>
      </c>
    </row>
    <row r="342">
      <c r="A342" s="11" t="s">
        <v>99</v>
      </c>
      <c r="B342" s="11" t="s">
        <v>20</v>
      </c>
      <c r="C342" s="11" t="s">
        <v>589</v>
      </c>
      <c r="D342" s="11" t="s">
        <v>159</v>
      </c>
      <c r="E342" s="11" t="s">
        <v>640</v>
      </c>
      <c r="F342" s="11" t="s">
        <v>641</v>
      </c>
      <c r="G342" s="22"/>
      <c r="H342" s="24">
        <v>151.0</v>
      </c>
      <c r="I342" s="21">
        <f t="shared" si="7"/>
        <v>9513</v>
      </c>
      <c r="J342" s="16">
        <f t="shared" si="1"/>
        <v>14269.5</v>
      </c>
      <c r="K342" s="16">
        <f t="shared" si="2"/>
        <v>12366.9</v>
      </c>
      <c r="L342" s="16">
        <f t="shared" si="3"/>
        <v>12366.9</v>
      </c>
      <c r="M342" s="16">
        <f t="shared" si="4"/>
        <v>11415.6</v>
      </c>
      <c r="N342" s="16">
        <f t="shared" si="5"/>
        <v>10939.95</v>
      </c>
      <c r="O342" s="16">
        <f t="shared" si="6"/>
        <v>10464.3</v>
      </c>
    </row>
    <row r="343">
      <c r="A343" s="11" t="s">
        <v>99</v>
      </c>
      <c r="B343" s="11" t="s">
        <v>20</v>
      </c>
      <c r="C343" s="11" t="s">
        <v>589</v>
      </c>
      <c r="D343" s="11" t="s">
        <v>159</v>
      </c>
      <c r="E343" s="11" t="s">
        <v>642</v>
      </c>
      <c r="F343" s="11" t="s">
        <v>641</v>
      </c>
      <c r="G343" s="22"/>
      <c r="H343" s="24">
        <v>185.0</v>
      </c>
      <c r="I343" s="21">
        <f t="shared" si="7"/>
        <v>11655</v>
      </c>
      <c r="J343" s="16">
        <f t="shared" si="1"/>
        <v>17482.5</v>
      </c>
      <c r="K343" s="16">
        <f t="shared" si="2"/>
        <v>15151.5</v>
      </c>
      <c r="L343" s="16">
        <f t="shared" si="3"/>
        <v>15151.5</v>
      </c>
      <c r="M343" s="16">
        <f t="shared" si="4"/>
        <v>13986</v>
      </c>
      <c r="N343" s="16">
        <f t="shared" si="5"/>
        <v>13403.25</v>
      </c>
      <c r="O343" s="16">
        <f t="shared" si="6"/>
        <v>12820.5</v>
      </c>
    </row>
    <row r="344">
      <c r="A344" s="11" t="s">
        <v>99</v>
      </c>
      <c r="B344" s="11" t="s">
        <v>20</v>
      </c>
      <c r="C344" s="11" t="s">
        <v>323</v>
      </c>
      <c r="D344" s="11" t="s">
        <v>159</v>
      </c>
      <c r="E344" s="11" t="s">
        <v>643</v>
      </c>
      <c r="F344" s="11" t="s">
        <v>644</v>
      </c>
      <c r="G344" s="22"/>
      <c r="H344" s="24">
        <v>132.5</v>
      </c>
      <c r="I344" s="21">
        <f t="shared" si="7"/>
        <v>8347.5</v>
      </c>
      <c r="J344" s="16">
        <f t="shared" si="1"/>
        <v>12521.25</v>
      </c>
      <c r="K344" s="16">
        <f t="shared" si="2"/>
        <v>10851.75</v>
      </c>
      <c r="L344" s="16">
        <f t="shared" si="3"/>
        <v>10851.75</v>
      </c>
      <c r="M344" s="16">
        <f t="shared" si="4"/>
        <v>10017</v>
      </c>
      <c r="N344" s="16">
        <f t="shared" si="5"/>
        <v>9599.625</v>
      </c>
      <c r="O344" s="16">
        <f t="shared" si="6"/>
        <v>9182.25</v>
      </c>
    </row>
    <row r="345">
      <c r="A345" s="11" t="s">
        <v>99</v>
      </c>
      <c r="B345" s="11" t="s">
        <v>20</v>
      </c>
      <c r="C345" s="11" t="s">
        <v>323</v>
      </c>
      <c r="D345" s="11" t="s">
        <v>159</v>
      </c>
      <c r="E345" s="11" t="s">
        <v>645</v>
      </c>
      <c r="F345" s="11" t="s">
        <v>646</v>
      </c>
      <c r="G345" s="22"/>
      <c r="H345" s="24">
        <v>81.0</v>
      </c>
      <c r="I345" s="21">
        <f t="shared" si="7"/>
        <v>5103</v>
      </c>
      <c r="J345" s="16">
        <f t="shared" si="1"/>
        <v>7654.5</v>
      </c>
      <c r="K345" s="16">
        <f t="shared" si="2"/>
        <v>6633.9</v>
      </c>
      <c r="L345" s="16">
        <f t="shared" si="3"/>
        <v>6633.9</v>
      </c>
      <c r="M345" s="16">
        <f t="shared" si="4"/>
        <v>6123.6</v>
      </c>
      <c r="N345" s="16">
        <f t="shared" si="5"/>
        <v>5868.45</v>
      </c>
      <c r="O345" s="16">
        <f t="shared" si="6"/>
        <v>5613.3</v>
      </c>
    </row>
    <row r="346">
      <c r="A346" s="11" t="s">
        <v>99</v>
      </c>
      <c r="B346" s="11" t="s">
        <v>20</v>
      </c>
      <c r="C346" s="11" t="s">
        <v>323</v>
      </c>
      <c r="D346" s="11" t="s">
        <v>159</v>
      </c>
      <c r="E346" s="11">
        <v>1471.0</v>
      </c>
      <c r="F346" s="11" t="s">
        <v>647</v>
      </c>
      <c r="G346" s="22"/>
      <c r="H346" s="24">
        <v>35.5</v>
      </c>
      <c r="I346" s="21">
        <f t="shared" si="7"/>
        <v>2236.5</v>
      </c>
      <c r="J346" s="16">
        <f t="shared" si="1"/>
        <v>3354.75</v>
      </c>
      <c r="K346" s="16">
        <f t="shared" si="2"/>
        <v>2907.45</v>
      </c>
      <c r="L346" s="16">
        <f t="shared" si="3"/>
        <v>2907.45</v>
      </c>
      <c r="M346" s="16">
        <f t="shared" si="4"/>
        <v>2683.8</v>
      </c>
      <c r="N346" s="16">
        <f t="shared" si="5"/>
        <v>2571.975</v>
      </c>
      <c r="O346" s="16">
        <f t="shared" si="6"/>
        <v>2460.15</v>
      </c>
    </row>
    <row r="347">
      <c r="A347" s="11" t="s">
        <v>99</v>
      </c>
      <c r="B347" s="11" t="s">
        <v>20</v>
      </c>
      <c r="C347" s="11" t="s">
        <v>323</v>
      </c>
      <c r="D347" s="11" t="s">
        <v>159</v>
      </c>
      <c r="E347" s="11" t="s">
        <v>477</v>
      </c>
      <c r="F347" s="11" t="s">
        <v>478</v>
      </c>
      <c r="G347" s="22"/>
      <c r="H347" s="24">
        <v>39.0</v>
      </c>
      <c r="I347" s="21">
        <f t="shared" si="7"/>
        <v>2457</v>
      </c>
      <c r="J347" s="16">
        <f t="shared" si="1"/>
        <v>3685.5</v>
      </c>
      <c r="K347" s="16">
        <f t="shared" si="2"/>
        <v>3194.1</v>
      </c>
      <c r="L347" s="16">
        <f t="shared" si="3"/>
        <v>3194.1</v>
      </c>
      <c r="M347" s="16">
        <f t="shared" si="4"/>
        <v>2948.4</v>
      </c>
      <c r="N347" s="16">
        <f t="shared" si="5"/>
        <v>2825.55</v>
      </c>
      <c r="O347" s="16">
        <f t="shared" si="6"/>
        <v>2702.7</v>
      </c>
    </row>
    <row r="348">
      <c r="A348" s="11" t="s">
        <v>99</v>
      </c>
      <c r="B348" s="11" t="s">
        <v>20</v>
      </c>
      <c r="C348" s="11" t="s">
        <v>323</v>
      </c>
      <c r="D348" s="11" t="s">
        <v>159</v>
      </c>
      <c r="E348" s="11">
        <v>1472.0</v>
      </c>
      <c r="F348" s="11" t="s">
        <v>479</v>
      </c>
      <c r="G348" s="22"/>
      <c r="H348" s="24">
        <v>39.5</v>
      </c>
      <c r="I348" s="21">
        <f t="shared" si="7"/>
        <v>2488.5</v>
      </c>
      <c r="J348" s="16">
        <f t="shared" si="1"/>
        <v>3732.75</v>
      </c>
      <c r="K348" s="16">
        <f t="shared" si="2"/>
        <v>3235.05</v>
      </c>
      <c r="L348" s="16">
        <f t="shared" si="3"/>
        <v>3235.05</v>
      </c>
      <c r="M348" s="16">
        <f t="shared" si="4"/>
        <v>2986.2</v>
      </c>
      <c r="N348" s="16">
        <f t="shared" si="5"/>
        <v>2861.775</v>
      </c>
      <c r="O348" s="16">
        <f t="shared" si="6"/>
        <v>2737.35</v>
      </c>
    </row>
    <row r="349">
      <c r="A349" s="11" t="s">
        <v>99</v>
      </c>
      <c r="B349" s="11" t="s">
        <v>20</v>
      </c>
      <c r="C349" s="11" t="s">
        <v>323</v>
      </c>
      <c r="D349" s="11" t="s">
        <v>159</v>
      </c>
      <c r="E349" s="11">
        <v>1473.0</v>
      </c>
      <c r="F349" s="11" t="s">
        <v>480</v>
      </c>
      <c r="G349" s="22"/>
      <c r="H349" s="24">
        <v>72.5</v>
      </c>
      <c r="I349" s="21">
        <f t="shared" si="7"/>
        <v>4567.5</v>
      </c>
      <c r="J349" s="16">
        <f t="shared" si="1"/>
        <v>6851.25</v>
      </c>
      <c r="K349" s="16">
        <f t="shared" si="2"/>
        <v>5937.75</v>
      </c>
      <c r="L349" s="16">
        <f t="shared" si="3"/>
        <v>5937.75</v>
      </c>
      <c r="M349" s="16">
        <f t="shared" si="4"/>
        <v>5481</v>
      </c>
      <c r="N349" s="16">
        <f t="shared" si="5"/>
        <v>5252.625</v>
      </c>
      <c r="O349" s="16">
        <f t="shared" si="6"/>
        <v>5024.25</v>
      </c>
    </row>
    <row r="350">
      <c r="A350" s="11" t="s">
        <v>99</v>
      </c>
      <c r="B350" s="11" t="s">
        <v>20</v>
      </c>
      <c r="C350" s="11" t="s">
        <v>323</v>
      </c>
      <c r="D350" s="11" t="s">
        <v>159</v>
      </c>
      <c r="E350" s="11" t="s">
        <v>648</v>
      </c>
      <c r="F350" s="11" t="s">
        <v>649</v>
      </c>
      <c r="G350" s="22"/>
      <c r="H350" s="24">
        <v>6.5</v>
      </c>
      <c r="I350" s="21">
        <f t="shared" si="7"/>
        <v>409.5</v>
      </c>
      <c r="J350" s="16">
        <f t="shared" si="1"/>
        <v>614.25</v>
      </c>
      <c r="K350" s="16">
        <f t="shared" si="2"/>
        <v>532.35</v>
      </c>
      <c r="L350" s="16">
        <f t="shared" si="3"/>
        <v>532.35</v>
      </c>
      <c r="M350" s="16">
        <f t="shared" si="4"/>
        <v>491.4</v>
      </c>
      <c r="N350" s="16">
        <f t="shared" si="5"/>
        <v>470.925</v>
      </c>
      <c r="O350" s="16">
        <f t="shared" si="6"/>
        <v>450.45</v>
      </c>
    </row>
    <row r="351">
      <c r="A351" s="11" t="s">
        <v>99</v>
      </c>
      <c r="B351" s="11" t="s">
        <v>20</v>
      </c>
      <c r="C351" s="11" t="s">
        <v>323</v>
      </c>
      <c r="D351" s="11" t="s">
        <v>159</v>
      </c>
      <c r="E351" s="11" t="s">
        <v>650</v>
      </c>
      <c r="F351" s="11" t="s">
        <v>651</v>
      </c>
      <c r="G351" s="22"/>
      <c r="H351" s="24">
        <v>9.0</v>
      </c>
      <c r="I351" s="21">
        <f t="shared" si="7"/>
        <v>567</v>
      </c>
      <c r="J351" s="16">
        <f t="shared" si="1"/>
        <v>850.5</v>
      </c>
      <c r="K351" s="16">
        <f t="shared" si="2"/>
        <v>737.1</v>
      </c>
      <c r="L351" s="16">
        <f t="shared" si="3"/>
        <v>737.1</v>
      </c>
      <c r="M351" s="16">
        <f t="shared" si="4"/>
        <v>680.4</v>
      </c>
      <c r="N351" s="16">
        <f t="shared" si="5"/>
        <v>652.05</v>
      </c>
      <c r="O351" s="16">
        <f t="shared" si="6"/>
        <v>623.7</v>
      </c>
    </row>
    <row r="352">
      <c r="A352" s="11" t="s">
        <v>99</v>
      </c>
      <c r="B352" s="11" t="s">
        <v>20</v>
      </c>
      <c r="C352" s="11" t="s">
        <v>323</v>
      </c>
      <c r="D352" s="11" t="s">
        <v>159</v>
      </c>
      <c r="E352" s="11" t="s">
        <v>490</v>
      </c>
      <c r="F352" s="11" t="s">
        <v>652</v>
      </c>
      <c r="G352" s="22"/>
      <c r="H352" s="24">
        <v>21.0</v>
      </c>
      <c r="I352" s="21">
        <f t="shared" si="7"/>
        <v>1323</v>
      </c>
      <c r="J352" s="16">
        <f t="shared" si="1"/>
        <v>1984.5</v>
      </c>
      <c r="K352" s="16">
        <f t="shared" si="2"/>
        <v>1719.9</v>
      </c>
      <c r="L352" s="16">
        <f t="shared" si="3"/>
        <v>1719.9</v>
      </c>
      <c r="M352" s="16">
        <f t="shared" si="4"/>
        <v>1587.6</v>
      </c>
      <c r="N352" s="16">
        <f t="shared" si="5"/>
        <v>1521.45</v>
      </c>
      <c r="O352" s="16">
        <f t="shared" si="6"/>
        <v>1455.3</v>
      </c>
    </row>
    <row r="353">
      <c r="A353" s="11" t="s">
        <v>99</v>
      </c>
      <c r="B353" s="11" t="s">
        <v>20</v>
      </c>
      <c r="C353" s="11" t="s">
        <v>323</v>
      </c>
      <c r="D353" s="11" t="s">
        <v>159</v>
      </c>
      <c r="E353" s="11" t="s">
        <v>529</v>
      </c>
      <c r="F353" s="11" t="s">
        <v>653</v>
      </c>
      <c r="G353" s="22"/>
      <c r="H353" s="24">
        <v>27.0</v>
      </c>
      <c r="I353" s="21">
        <f t="shared" si="7"/>
        <v>1701</v>
      </c>
      <c r="J353" s="16">
        <f t="shared" si="1"/>
        <v>2551.5</v>
      </c>
      <c r="K353" s="16">
        <f t="shared" si="2"/>
        <v>2211.3</v>
      </c>
      <c r="L353" s="16">
        <f t="shared" si="3"/>
        <v>2211.3</v>
      </c>
      <c r="M353" s="16">
        <f t="shared" si="4"/>
        <v>2041.2</v>
      </c>
      <c r="N353" s="16">
        <f t="shared" si="5"/>
        <v>1956.15</v>
      </c>
      <c r="O353" s="16">
        <f t="shared" si="6"/>
        <v>1871.1</v>
      </c>
    </row>
    <row r="354">
      <c r="A354" s="11" t="s">
        <v>99</v>
      </c>
      <c r="B354" s="11" t="s">
        <v>20</v>
      </c>
      <c r="C354" s="11" t="s">
        <v>323</v>
      </c>
      <c r="D354" s="11" t="s">
        <v>159</v>
      </c>
      <c r="E354" s="11" t="s">
        <v>474</v>
      </c>
      <c r="F354" s="11" t="s">
        <v>654</v>
      </c>
      <c r="G354" s="22"/>
      <c r="H354" s="24">
        <v>29.0</v>
      </c>
      <c r="I354" s="21">
        <f t="shared" si="7"/>
        <v>1827</v>
      </c>
      <c r="J354" s="16">
        <f t="shared" si="1"/>
        <v>2740.5</v>
      </c>
      <c r="K354" s="16">
        <f t="shared" si="2"/>
        <v>2375.1</v>
      </c>
      <c r="L354" s="16">
        <f t="shared" si="3"/>
        <v>2375.1</v>
      </c>
      <c r="M354" s="16">
        <f t="shared" si="4"/>
        <v>2192.4</v>
      </c>
      <c r="N354" s="16">
        <f t="shared" si="5"/>
        <v>2101.05</v>
      </c>
      <c r="O354" s="16">
        <f t="shared" si="6"/>
        <v>2009.7</v>
      </c>
    </row>
    <row r="355">
      <c r="A355" s="11" t="s">
        <v>99</v>
      </c>
      <c r="B355" s="11" t="s">
        <v>20</v>
      </c>
      <c r="C355" s="11" t="s">
        <v>323</v>
      </c>
      <c r="D355" s="11" t="s">
        <v>159</v>
      </c>
      <c r="E355" s="11" t="s">
        <v>655</v>
      </c>
      <c r="F355" s="11" t="s">
        <v>656</v>
      </c>
      <c r="G355" s="22"/>
      <c r="H355" s="24">
        <v>42.0</v>
      </c>
      <c r="I355" s="21">
        <f t="shared" si="7"/>
        <v>2646</v>
      </c>
      <c r="J355" s="16">
        <f t="shared" si="1"/>
        <v>3969</v>
      </c>
      <c r="K355" s="16">
        <f t="shared" si="2"/>
        <v>3439.8</v>
      </c>
      <c r="L355" s="16">
        <f t="shared" si="3"/>
        <v>3439.8</v>
      </c>
      <c r="M355" s="16">
        <f t="shared" si="4"/>
        <v>3175.2</v>
      </c>
      <c r="N355" s="16">
        <f t="shared" si="5"/>
        <v>3042.9</v>
      </c>
      <c r="O355" s="16">
        <f t="shared" si="6"/>
        <v>2910.6</v>
      </c>
    </row>
    <row r="356">
      <c r="A356" s="11" t="s">
        <v>99</v>
      </c>
      <c r="B356" s="11" t="s">
        <v>20</v>
      </c>
      <c r="C356" s="11" t="s">
        <v>323</v>
      </c>
      <c r="D356" s="11" t="s">
        <v>159</v>
      </c>
      <c r="E356" s="11" t="s">
        <v>657</v>
      </c>
      <c r="F356" s="11" t="s">
        <v>658</v>
      </c>
      <c r="G356" s="22"/>
      <c r="H356" s="24">
        <v>16.5</v>
      </c>
      <c r="I356" s="21">
        <f t="shared" si="7"/>
        <v>1039.5</v>
      </c>
      <c r="J356" s="16">
        <f t="shared" si="1"/>
        <v>1559.25</v>
      </c>
      <c r="K356" s="16">
        <f t="shared" si="2"/>
        <v>1351.35</v>
      </c>
      <c r="L356" s="16">
        <f t="shared" si="3"/>
        <v>1351.35</v>
      </c>
      <c r="M356" s="16">
        <f t="shared" si="4"/>
        <v>1247.4</v>
      </c>
      <c r="N356" s="16">
        <f t="shared" si="5"/>
        <v>1195.425</v>
      </c>
      <c r="O356" s="16">
        <f t="shared" si="6"/>
        <v>1143.45</v>
      </c>
    </row>
    <row r="357">
      <c r="A357" s="11" t="s">
        <v>99</v>
      </c>
      <c r="B357" s="11" t="s">
        <v>20</v>
      </c>
      <c r="C357" s="11" t="s">
        <v>323</v>
      </c>
      <c r="D357" s="11" t="s">
        <v>159</v>
      </c>
      <c r="E357" s="11" t="s">
        <v>659</v>
      </c>
      <c r="F357" s="11" t="s">
        <v>660</v>
      </c>
      <c r="G357" s="22"/>
      <c r="H357" s="24">
        <v>66.0</v>
      </c>
      <c r="I357" s="21">
        <f t="shared" si="7"/>
        <v>4158</v>
      </c>
      <c r="J357" s="16">
        <f t="shared" si="1"/>
        <v>6237</v>
      </c>
      <c r="K357" s="16">
        <f t="shared" si="2"/>
        <v>5405.4</v>
      </c>
      <c r="L357" s="16">
        <f t="shared" si="3"/>
        <v>5405.4</v>
      </c>
      <c r="M357" s="16">
        <f t="shared" si="4"/>
        <v>4989.6</v>
      </c>
      <c r="N357" s="16">
        <f t="shared" si="5"/>
        <v>4781.7</v>
      </c>
      <c r="O357" s="16">
        <f t="shared" si="6"/>
        <v>4573.8</v>
      </c>
    </row>
    <row r="358">
      <c r="A358" s="11" t="s">
        <v>99</v>
      </c>
      <c r="B358" s="11" t="s">
        <v>20</v>
      </c>
      <c r="C358" s="11" t="s">
        <v>323</v>
      </c>
      <c r="D358" s="11" t="s">
        <v>159</v>
      </c>
      <c r="E358" s="11" t="s">
        <v>661</v>
      </c>
      <c r="F358" s="11" t="s">
        <v>662</v>
      </c>
      <c r="G358" s="22"/>
      <c r="H358" s="24">
        <v>14.5</v>
      </c>
      <c r="I358" s="21">
        <f t="shared" si="7"/>
        <v>913.5</v>
      </c>
      <c r="J358" s="16">
        <f t="shared" si="1"/>
        <v>1370.25</v>
      </c>
      <c r="K358" s="16">
        <f t="shared" si="2"/>
        <v>1187.55</v>
      </c>
      <c r="L358" s="16">
        <f t="shared" si="3"/>
        <v>1187.55</v>
      </c>
      <c r="M358" s="16">
        <f t="shared" si="4"/>
        <v>1096.2</v>
      </c>
      <c r="N358" s="16">
        <f t="shared" si="5"/>
        <v>1050.525</v>
      </c>
      <c r="O358" s="16">
        <f t="shared" si="6"/>
        <v>1004.85</v>
      </c>
    </row>
    <row r="359">
      <c r="A359" s="11" t="s">
        <v>99</v>
      </c>
      <c r="B359" s="11" t="s">
        <v>20</v>
      </c>
      <c r="C359" s="11" t="s">
        <v>323</v>
      </c>
      <c r="D359" s="11" t="s">
        <v>159</v>
      </c>
      <c r="E359" s="11" t="s">
        <v>484</v>
      </c>
      <c r="F359" s="11" t="s">
        <v>663</v>
      </c>
      <c r="G359" s="22"/>
      <c r="H359" s="24">
        <v>27.0</v>
      </c>
      <c r="I359" s="21">
        <f t="shared" si="7"/>
        <v>1701</v>
      </c>
      <c r="J359" s="16">
        <f t="shared" si="1"/>
        <v>2551.5</v>
      </c>
      <c r="K359" s="16">
        <f t="shared" si="2"/>
        <v>2211.3</v>
      </c>
      <c r="L359" s="16">
        <f t="shared" si="3"/>
        <v>2211.3</v>
      </c>
      <c r="M359" s="16">
        <f t="shared" si="4"/>
        <v>2041.2</v>
      </c>
      <c r="N359" s="16">
        <f t="shared" si="5"/>
        <v>1956.15</v>
      </c>
      <c r="O359" s="16">
        <f t="shared" si="6"/>
        <v>1871.1</v>
      </c>
    </row>
    <row r="360">
      <c r="A360" s="11" t="s">
        <v>99</v>
      </c>
      <c r="B360" s="11" t="s">
        <v>20</v>
      </c>
      <c r="C360" s="11" t="s">
        <v>323</v>
      </c>
      <c r="D360" s="11" t="s">
        <v>159</v>
      </c>
      <c r="E360" s="11" t="s">
        <v>664</v>
      </c>
      <c r="F360" s="11" t="s">
        <v>665</v>
      </c>
      <c r="G360" s="22"/>
      <c r="H360" s="24">
        <v>8.5</v>
      </c>
      <c r="I360" s="21">
        <f t="shared" si="7"/>
        <v>535.5</v>
      </c>
      <c r="J360" s="16">
        <f t="shared" si="1"/>
        <v>803.25</v>
      </c>
      <c r="K360" s="16">
        <f t="shared" si="2"/>
        <v>696.15</v>
      </c>
      <c r="L360" s="16">
        <f t="shared" si="3"/>
        <v>696.15</v>
      </c>
      <c r="M360" s="16">
        <f t="shared" si="4"/>
        <v>642.6</v>
      </c>
      <c r="N360" s="16">
        <f t="shared" si="5"/>
        <v>615.825</v>
      </c>
      <c r="O360" s="16">
        <f t="shared" si="6"/>
        <v>589.05</v>
      </c>
    </row>
    <row r="361">
      <c r="A361" s="11" t="s">
        <v>99</v>
      </c>
      <c r="B361" s="11" t="s">
        <v>20</v>
      </c>
      <c r="C361" s="11" t="s">
        <v>130</v>
      </c>
      <c r="D361" s="11" t="s">
        <v>101</v>
      </c>
      <c r="E361" s="11" t="s">
        <v>666</v>
      </c>
      <c r="F361" s="11" t="s">
        <v>535</v>
      </c>
      <c r="G361" s="22"/>
      <c r="H361" s="24">
        <v>23.5</v>
      </c>
      <c r="I361" s="21">
        <f t="shared" si="7"/>
        <v>1480.5</v>
      </c>
      <c r="J361" s="16">
        <f t="shared" si="1"/>
        <v>2220.75</v>
      </c>
      <c r="K361" s="16">
        <f t="shared" si="2"/>
        <v>1924.65</v>
      </c>
      <c r="L361" s="16">
        <f t="shared" si="3"/>
        <v>1924.65</v>
      </c>
      <c r="M361" s="16">
        <f t="shared" si="4"/>
        <v>1776.6</v>
      </c>
      <c r="N361" s="16">
        <f t="shared" si="5"/>
        <v>1702.575</v>
      </c>
      <c r="O361" s="16">
        <f t="shared" si="6"/>
        <v>1628.55</v>
      </c>
    </row>
    <row r="362">
      <c r="A362" s="11" t="s">
        <v>99</v>
      </c>
      <c r="B362" s="11" t="s">
        <v>20</v>
      </c>
      <c r="C362" s="11" t="s">
        <v>130</v>
      </c>
      <c r="D362" s="11" t="s">
        <v>101</v>
      </c>
      <c r="E362" s="11" t="s">
        <v>667</v>
      </c>
      <c r="F362" s="11" t="s">
        <v>668</v>
      </c>
      <c r="G362" s="22"/>
      <c r="H362" s="24">
        <v>33.0</v>
      </c>
      <c r="I362" s="21">
        <f t="shared" si="7"/>
        <v>2079</v>
      </c>
      <c r="J362" s="16">
        <f t="shared" si="1"/>
        <v>3118.5</v>
      </c>
      <c r="K362" s="16">
        <f t="shared" si="2"/>
        <v>2702.7</v>
      </c>
      <c r="L362" s="16">
        <f t="shared" si="3"/>
        <v>2702.7</v>
      </c>
      <c r="M362" s="16">
        <f t="shared" si="4"/>
        <v>2494.8</v>
      </c>
      <c r="N362" s="16">
        <f t="shared" si="5"/>
        <v>2390.85</v>
      </c>
      <c r="O362" s="16">
        <f t="shared" si="6"/>
        <v>2286.9</v>
      </c>
    </row>
    <row r="363">
      <c r="A363" s="11" t="s">
        <v>99</v>
      </c>
      <c r="B363" s="11" t="s">
        <v>20</v>
      </c>
      <c r="C363" s="11" t="s">
        <v>130</v>
      </c>
      <c r="D363" s="11" t="s">
        <v>101</v>
      </c>
      <c r="E363" s="11" t="s">
        <v>669</v>
      </c>
      <c r="F363" s="11" t="s">
        <v>670</v>
      </c>
      <c r="G363" s="22"/>
      <c r="H363" s="24">
        <v>41.5</v>
      </c>
      <c r="I363" s="21">
        <f t="shared" si="7"/>
        <v>2614.5</v>
      </c>
      <c r="J363" s="16">
        <f t="shared" si="1"/>
        <v>3921.75</v>
      </c>
      <c r="K363" s="16">
        <f t="shared" si="2"/>
        <v>3398.85</v>
      </c>
      <c r="L363" s="16">
        <f t="shared" si="3"/>
        <v>3398.85</v>
      </c>
      <c r="M363" s="16">
        <f t="shared" si="4"/>
        <v>3137.4</v>
      </c>
      <c r="N363" s="16">
        <f t="shared" si="5"/>
        <v>3006.675</v>
      </c>
      <c r="O363" s="16">
        <f t="shared" si="6"/>
        <v>2875.95</v>
      </c>
    </row>
    <row r="364">
      <c r="A364" s="11" t="s">
        <v>99</v>
      </c>
      <c r="B364" s="11" t="s">
        <v>20</v>
      </c>
      <c r="C364" s="11" t="s">
        <v>130</v>
      </c>
      <c r="D364" s="11" t="s">
        <v>101</v>
      </c>
      <c r="E364" s="11" t="s">
        <v>671</v>
      </c>
      <c r="F364" s="11" t="s">
        <v>672</v>
      </c>
      <c r="G364" s="22"/>
      <c r="H364" s="24">
        <v>94.0</v>
      </c>
      <c r="I364" s="21">
        <f t="shared" si="7"/>
        <v>5922</v>
      </c>
      <c r="J364" s="16">
        <f t="shared" si="1"/>
        <v>8883</v>
      </c>
      <c r="K364" s="16">
        <f t="shared" si="2"/>
        <v>7698.6</v>
      </c>
      <c r="L364" s="16">
        <f t="shared" si="3"/>
        <v>7698.6</v>
      </c>
      <c r="M364" s="16">
        <f t="shared" si="4"/>
        <v>7106.4</v>
      </c>
      <c r="N364" s="16">
        <f t="shared" si="5"/>
        <v>6810.3</v>
      </c>
      <c r="O364" s="16">
        <f t="shared" si="6"/>
        <v>6514.2</v>
      </c>
    </row>
    <row r="365">
      <c r="A365" s="11" t="s">
        <v>99</v>
      </c>
      <c r="B365" s="11" t="s">
        <v>20</v>
      </c>
      <c r="C365" s="11" t="s">
        <v>130</v>
      </c>
      <c r="D365" s="11" t="s">
        <v>101</v>
      </c>
      <c r="E365" s="11" t="s">
        <v>673</v>
      </c>
      <c r="F365" s="11" t="s">
        <v>674</v>
      </c>
      <c r="G365" s="22"/>
      <c r="H365" s="24">
        <v>94.0</v>
      </c>
      <c r="I365" s="21">
        <f t="shared" si="7"/>
        <v>5922</v>
      </c>
      <c r="J365" s="16">
        <f t="shared" si="1"/>
        <v>8883</v>
      </c>
      <c r="K365" s="16">
        <f t="shared" si="2"/>
        <v>7698.6</v>
      </c>
      <c r="L365" s="16">
        <f t="shared" si="3"/>
        <v>7698.6</v>
      </c>
      <c r="M365" s="16">
        <f t="shared" si="4"/>
        <v>7106.4</v>
      </c>
      <c r="N365" s="16">
        <f t="shared" si="5"/>
        <v>6810.3</v>
      </c>
      <c r="O365" s="16">
        <f t="shared" si="6"/>
        <v>6514.2</v>
      </c>
    </row>
    <row r="366">
      <c r="A366" s="11" t="s">
        <v>99</v>
      </c>
      <c r="B366" s="11" t="s">
        <v>20</v>
      </c>
      <c r="C366" s="11" t="s">
        <v>130</v>
      </c>
      <c r="D366" s="11" t="s">
        <v>101</v>
      </c>
      <c r="E366" s="11" t="s">
        <v>675</v>
      </c>
      <c r="F366" s="11" t="s">
        <v>676</v>
      </c>
      <c r="G366" s="22"/>
      <c r="H366" s="24">
        <v>114.5</v>
      </c>
      <c r="I366" s="21">
        <f t="shared" si="7"/>
        <v>7213.5</v>
      </c>
      <c r="J366" s="16">
        <f t="shared" si="1"/>
        <v>10820.25</v>
      </c>
      <c r="K366" s="16">
        <f t="shared" si="2"/>
        <v>9377.55</v>
      </c>
      <c r="L366" s="16">
        <f t="shared" si="3"/>
        <v>9377.55</v>
      </c>
      <c r="M366" s="16">
        <f t="shared" si="4"/>
        <v>8656.2</v>
      </c>
      <c r="N366" s="16">
        <f t="shared" si="5"/>
        <v>8295.525</v>
      </c>
      <c r="O366" s="16">
        <f t="shared" si="6"/>
        <v>7934.85</v>
      </c>
    </row>
    <row r="367">
      <c r="A367" s="11" t="s">
        <v>99</v>
      </c>
      <c r="B367" s="11" t="s">
        <v>20</v>
      </c>
      <c r="C367" s="11" t="s">
        <v>130</v>
      </c>
      <c r="D367" s="11" t="s">
        <v>101</v>
      </c>
      <c r="E367" s="11" t="s">
        <v>677</v>
      </c>
      <c r="F367" s="11" t="s">
        <v>678</v>
      </c>
      <c r="G367" s="22"/>
      <c r="H367" s="24">
        <v>114.5</v>
      </c>
      <c r="I367" s="21">
        <f t="shared" si="7"/>
        <v>7213.5</v>
      </c>
      <c r="J367" s="16">
        <f t="shared" si="1"/>
        <v>10820.25</v>
      </c>
      <c r="K367" s="16">
        <f t="shared" si="2"/>
        <v>9377.55</v>
      </c>
      <c r="L367" s="16">
        <f t="shared" si="3"/>
        <v>9377.55</v>
      </c>
      <c r="M367" s="16">
        <f t="shared" si="4"/>
        <v>8656.2</v>
      </c>
      <c r="N367" s="16">
        <f t="shared" si="5"/>
        <v>8295.525</v>
      </c>
      <c r="O367" s="16">
        <f t="shared" si="6"/>
        <v>7934.85</v>
      </c>
    </row>
    <row r="368">
      <c r="A368" s="11" t="s">
        <v>99</v>
      </c>
      <c r="B368" s="11" t="s">
        <v>20</v>
      </c>
      <c r="C368" s="11" t="s">
        <v>130</v>
      </c>
      <c r="D368" s="11" t="s">
        <v>101</v>
      </c>
      <c r="E368" s="11" t="s">
        <v>679</v>
      </c>
      <c r="F368" s="11" t="s">
        <v>680</v>
      </c>
      <c r="G368" s="22"/>
      <c r="H368" s="24">
        <v>165.0</v>
      </c>
      <c r="I368" s="21">
        <f t="shared" si="7"/>
        <v>10395</v>
      </c>
      <c r="J368" s="16">
        <f t="shared" si="1"/>
        <v>15592.5</v>
      </c>
      <c r="K368" s="16">
        <f t="shared" si="2"/>
        <v>13513.5</v>
      </c>
      <c r="L368" s="16">
        <f t="shared" si="3"/>
        <v>13513.5</v>
      </c>
      <c r="M368" s="16">
        <f t="shared" si="4"/>
        <v>12474</v>
      </c>
      <c r="N368" s="16">
        <f t="shared" si="5"/>
        <v>11954.25</v>
      </c>
      <c r="O368" s="16">
        <f t="shared" si="6"/>
        <v>11434.5</v>
      </c>
    </row>
    <row r="369">
      <c r="A369" s="11" t="s">
        <v>99</v>
      </c>
      <c r="B369" s="11" t="s">
        <v>20</v>
      </c>
      <c r="C369" s="11" t="s">
        <v>130</v>
      </c>
      <c r="D369" s="11" t="s">
        <v>101</v>
      </c>
      <c r="E369" s="11" t="s">
        <v>681</v>
      </c>
      <c r="F369" s="11" t="s">
        <v>682</v>
      </c>
      <c r="G369" s="22"/>
      <c r="H369" s="24">
        <v>198.0</v>
      </c>
      <c r="I369" s="21">
        <f t="shared" si="7"/>
        <v>12474</v>
      </c>
      <c r="J369" s="16">
        <f t="shared" si="1"/>
        <v>18711</v>
      </c>
      <c r="K369" s="16">
        <f t="shared" si="2"/>
        <v>16216.2</v>
      </c>
      <c r="L369" s="16">
        <f t="shared" si="3"/>
        <v>16216.2</v>
      </c>
      <c r="M369" s="16">
        <f t="shared" si="4"/>
        <v>14968.8</v>
      </c>
      <c r="N369" s="16">
        <f t="shared" si="5"/>
        <v>14345.1</v>
      </c>
      <c r="O369" s="16">
        <f t="shared" si="6"/>
        <v>13721.4</v>
      </c>
    </row>
    <row r="370">
      <c r="A370" s="11" t="s">
        <v>99</v>
      </c>
      <c r="B370" s="11" t="s">
        <v>20</v>
      </c>
      <c r="C370" s="11" t="s">
        <v>562</v>
      </c>
      <c r="D370" s="11" t="s">
        <v>101</v>
      </c>
      <c r="E370" s="11" t="s">
        <v>683</v>
      </c>
      <c r="F370" s="11" t="s">
        <v>684</v>
      </c>
      <c r="G370" s="22"/>
      <c r="H370" s="24">
        <v>25.0</v>
      </c>
      <c r="I370" s="21">
        <f t="shared" si="7"/>
        <v>1575</v>
      </c>
      <c r="J370" s="16">
        <f t="shared" si="1"/>
        <v>2362.5</v>
      </c>
      <c r="K370" s="16">
        <f t="shared" si="2"/>
        <v>2047.5</v>
      </c>
      <c r="L370" s="16">
        <f t="shared" si="3"/>
        <v>2047.5</v>
      </c>
      <c r="M370" s="16">
        <f t="shared" si="4"/>
        <v>1890</v>
      </c>
      <c r="N370" s="16">
        <f t="shared" si="5"/>
        <v>1811.25</v>
      </c>
      <c r="O370" s="16">
        <f t="shared" si="6"/>
        <v>1732.5</v>
      </c>
    </row>
    <row r="371">
      <c r="A371" s="11" t="s">
        <v>99</v>
      </c>
      <c r="B371" s="11" t="s">
        <v>20</v>
      </c>
      <c r="C371" s="11" t="s">
        <v>562</v>
      </c>
      <c r="D371" s="11" t="s">
        <v>101</v>
      </c>
      <c r="E371" s="11" t="s">
        <v>685</v>
      </c>
      <c r="F371" s="11" t="s">
        <v>686</v>
      </c>
      <c r="G371" s="22"/>
      <c r="H371" s="24">
        <v>26.0</v>
      </c>
      <c r="I371" s="21">
        <f t="shared" si="7"/>
        <v>1638</v>
      </c>
      <c r="J371" s="16">
        <f t="shared" si="1"/>
        <v>2457</v>
      </c>
      <c r="K371" s="16">
        <f t="shared" si="2"/>
        <v>2129.4</v>
      </c>
      <c r="L371" s="16">
        <f t="shared" si="3"/>
        <v>2129.4</v>
      </c>
      <c r="M371" s="16">
        <f t="shared" si="4"/>
        <v>1965.6</v>
      </c>
      <c r="N371" s="16">
        <f t="shared" si="5"/>
        <v>1883.7</v>
      </c>
      <c r="O371" s="16">
        <f t="shared" si="6"/>
        <v>1801.8</v>
      </c>
    </row>
    <row r="372">
      <c r="A372" s="11" t="s">
        <v>99</v>
      </c>
      <c r="B372" s="11" t="s">
        <v>20</v>
      </c>
      <c r="C372" s="11" t="s">
        <v>562</v>
      </c>
      <c r="D372" s="11" t="s">
        <v>101</v>
      </c>
      <c r="E372" s="11" t="s">
        <v>687</v>
      </c>
      <c r="F372" s="11" t="s">
        <v>688</v>
      </c>
      <c r="G372" s="22"/>
      <c r="H372" s="24">
        <v>4.5</v>
      </c>
      <c r="I372" s="21">
        <f t="shared" si="7"/>
        <v>283.5</v>
      </c>
      <c r="J372" s="16">
        <f t="shared" si="1"/>
        <v>425.25</v>
      </c>
      <c r="K372" s="16">
        <f t="shared" si="2"/>
        <v>368.55</v>
      </c>
      <c r="L372" s="16">
        <f t="shared" si="3"/>
        <v>368.55</v>
      </c>
      <c r="M372" s="16">
        <f t="shared" si="4"/>
        <v>340.2</v>
      </c>
      <c r="N372" s="16">
        <f t="shared" si="5"/>
        <v>326.025</v>
      </c>
      <c r="O372" s="16">
        <f t="shared" si="6"/>
        <v>311.85</v>
      </c>
    </row>
    <row r="373">
      <c r="A373" s="11" t="s">
        <v>99</v>
      </c>
      <c r="B373" s="11" t="s">
        <v>20</v>
      </c>
      <c r="C373" s="11" t="s">
        <v>562</v>
      </c>
      <c r="D373" s="11" t="s">
        <v>101</v>
      </c>
      <c r="E373" s="11" t="s">
        <v>689</v>
      </c>
      <c r="F373" s="11" t="s">
        <v>690</v>
      </c>
      <c r="G373" s="22"/>
      <c r="H373" s="24">
        <v>197.0</v>
      </c>
      <c r="I373" s="21">
        <f t="shared" si="7"/>
        <v>12411</v>
      </c>
      <c r="J373" s="16">
        <f t="shared" si="1"/>
        <v>18616.5</v>
      </c>
      <c r="K373" s="16">
        <f t="shared" si="2"/>
        <v>16134.3</v>
      </c>
      <c r="L373" s="16">
        <f t="shared" si="3"/>
        <v>16134.3</v>
      </c>
      <c r="M373" s="16">
        <f t="shared" si="4"/>
        <v>14893.2</v>
      </c>
      <c r="N373" s="16">
        <f t="shared" si="5"/>
        <v>14272.65</v>
      </c>
      <c r="O373" s="16">
        <f t="shared" si="6"/>
        <v>13652.1</v>
      </c>
    </row>
    <row r="374">
      <c r="A374" s="11" t="s">
        <v>99</v>
      </c>
      <c r="B374" s="11" t="s">
        <v>20</v>
      </c>
      <c r="C374" s="11" t="s">
        <v>562</v>
      </c>
      <c r="D374" s="11" t="s">
        <v>101</v>
      </c>
      <c r="E374" s="11" t="s">
        <v>691</v>
      </c>
      <c r="F374" s="11" t="s">
        <v>692</v>
      </c>
      <c r="G374" s="22"/>
      <c r="H374" s="24">
        <v>259.0</v>
      </c>
      <c r="I374" s="21">
        <f t="shared" si="7"/>
        <v>16317</v>
      </c>
      <c r="J374" s="16">
        <f t="shared" si="1"/>
        <v>24475.5</v>
      </c>
      <c r="K374" s="16">
        <f t="shared" si="2"/>
        <v>21212.1</v>
      </c>
      <c r="L374" s="16">
        <f t="shared" si="3"/>
        <v>21212.1</v>
      </c>
      <c r="M374" s="16">
        <f t="shared" si="4"/>
        <v>19580.4</v>
      </c>
      <c r="N374" s="16">
        <f t="shared" si="5"/>
        <v>18764.55</v>
      </c>
      <c r="O374" s="16">
        <f t="shared" si="6"/>
        <v>17948.7</v>
      </c>
    </row>
    <row r="375">
      <c r="A375" s="11" t="s">
        <v>99</v>
      </c>
      <c r="B375" s="11" t="s">
        <v>20</v>
      </c>
      <c r="C375" s="11" t="s">
        <v>562</v>
      </c>
      <c r="D375" s="11" t="s">
        <v>101</v>
      </c>
      <c r="E375" s="11" t="s">
        <v>693</v>
      </c>
      <c r="F375" s="11" t="s">
        <v>694</v>
      </c>
      <c r="G375" s="22"/>
      <c r="H375" s="24">
        <v>302.0</v>
      </c>
      <c r="I375" s="21">
        <f t="shared" si="7"/>
        <v>19026</v>
      </c>
      <c r="J375" s="16">
        <f t="shared" si="1"/>
        <v>28539</v>
      </c>
      <c r="K375" s="16">
        <f t="shared" si="2"/>
        <v>24733.8</v>
      </c>
      <c r="L375" s="16">
        <f t="shared" si="3"/>
        <v>24733.8</v>
      </c>
      <c r="M375" s="16">
        <f t="shared" si="4"/>
        <v>22831.2</v>
      </c>
      <c r="N375" s="16">
        <f t="shared" si="5"/>
        <v>21879.9</v>
      </c>
      <c r="O375" s="16">
        <f t="shared" si="6"/>
        <v>20928.6</v>
      </c>
    </row>
    <row r="376">
      <c r="A376" s="11" t="s">
        <v>99</v>
      </c>
      <c r="B376" s="11" t="s">
        <v>20</v>
      </c>
      <c r="C376" s="11" t="s">
        <v>562</v>
      </c>
      <c r="D376" s="11" t="s">
        <v>101</v>
      </c>
      <c r="E376" s="11" t="s">
        <v>695</v>
      </c>
      <c r="F376" s="11" t="s">
        <v>696</v>
      </c>
      <c r="G376" s="22"/>
      <c r="H376" s="24">
        <v>352.0</v>
      </c>
      <c r="I376" s="21">
        <f t="shared" si="7"/>
        <v>22176</v>
      </c>
      <c r="J376" s="16">
        <f t="shared" si="1"/>
        <v>33264</v>
      </c>
      <c r="K376" s="16">
        <f t="shared" si="2"/>
        <v>28828.8</v>
      </c>
      <c r="L376" s="16">
        <f t="shared" si="3"/>
        <v>28828.8</v>
      </c>
      <c r="M376" s="16">
        <f t="shared" si="4"/>
        <v>26611.2</v>
      </c>
      <c r="N376" s="16">
        <f t="shared" si="5"/>
        <v>25502.4</v>
      </c>
      <c r="O376" s="16">
        <f t="shared" si="6"/>
        <v>24393.6</v>
      </c>
    </row>
    <row r="377">
      <c r="A377" s="11" t="s">
        <v>99</v>
      </c>
      <c r="B377" s="11" t="s">
        <v>20</v>
      </c>
      <c r="C377" s="11" t="s">
        <v>562</v>
      </c>
      <c r="D377" s="11" t="s">
        <v>101</v>
      </c>
      <c r="E377" s="11" t="s">
        <v>697</v>
      </c>
      <c r="F377" s="11" t="s">
        <v>698</v>
      </c>
      <c r="G377" s="22"/>
      <c r="H377" s="24">
        <v>399.0</v>
      </c>
      <c r="I377" s="21">
        <f t="shared" si="7"/>
        <v>25137</v>
      </c>
      <c r="J377" s="16">
        <f t="shared" si="1"/>
        <v>37705.5</v>
      </c>
      <c r="K377" s="16">
        <f t="shared" si="2"/>
        <v>32678.1</v>
      </c>
      <c r="L377" s="16">
        <f t="shared" si="3"/>
        <v>32678.1</v>
      </c>
      <c r="M377" s="16">
        <f t="shared" si="4"/>
        <v>30164.4</v>
      </c>
      <c r="N377" s="16">
        <f t="shared" si="5"/>
        <v>28907.55</v>
      </c>
      <c r="O377" s="16">
        <f t="shared" si="6"/>
        <v>27650.7</v>
      </c>
    </row>
    <row r="378">
      <c r="A378" s="11" t="s">
        <v>99</v>
      </c>
      <c r="B378" s="11" t="s">
        <v>20</v>
      </c>
      <c r="C378" s="11" t="s">
        <v>562</v>
      </c>
      <c r="D378" s="11" t="s">
        <v>101</v>
      </c>
      <c r="E378" s="11" t="s">
        <v>699</v>
      </c>
      <c r="F378" s="11" t="s">
        <v>700</v>
      </c>
      <c r="G378" s="22"/>
      <c r="H378" s="24">
        <v>189.0</v>
      </c>
      <c r="I378" s="21">
        <f t="shared" si="7"/>
        <v>11907</v>
      </c>
      <c r="J378" s="16">
        <f t="shared" si="1"/>
        <v>17860.5</v>
      </c>
      <c r="K378" s="16">
        <f t="shared" si="2"/>
        <v>15479.1</v>
      </c>
      <c r="L378" s="16">
        <f t="shared" si="3"/>
        <v>15479.1</v>
      </c>
      <c r="M378" s="16">
        <f t="shared" si="4"/>
        <v>14288.4</v>
      </c>
      <c r="N378" s="16">
        <f t="shared" si="5"/>
        <v>13693.05</v>
      </c>
      <c r="O378" s="16">
        <f t="shared" si="6"/>
        <v>13097.7</v>
      </c>
    </row>
    <row r="379">
      <c r="A379" s="11" t="s">
        <v>99</v>
      </c>
      <c r="B379" s="11" t="s">
        <v>20</v>
      </c>
      <c r="C379" s="11" t="s">
        <v>562</v>
      </c>
      <c r="D379" s="11" t="s">
        <v>101</v>
      </c>
      <c r="E379" s="11" t="s">
        <v>701</v>
      </c>
      <c r="F379" s="11" t="s">
        <v>702</v>
      </c>
      <c r="G379" s="22"/>
      <c r="H379" s="24">
        <v>235.0</v>
      </c>
      <c r="I379" s="21">
        <f t="shared" si="7"/>
        <v>14805</v>
      </c>
      <c r="J379" s="16">
        <f t="shared" si="1"/>
        <v>22207.5</v>
      </c>
      <c r="K379" s="16">
        <f t="shared" si="2"/>
        <v>19246.5</v>
      </c>
      <c r="L379" s="16">
        <f t="shared" si="3"/>
        <v>19246.5</v>
      </c>
      <c r="M379" s="16">
        <f t="shared" si="4"/>
        <v>17766</v>
      </c>
      <c r="N379" s="16">
        <f t="shared" si="5"/>
        <v>17025.75</v>
      </c>
      <c r="O379" s="16">
        <f t="shared" si="6"/>
        <v>16285.5</v>
      </c>
    </row>
    <row r="380">
      <c r="A380" s="11" t="s">
        <v>99</v>
      </c>
      <c r="B380" s="11" t="s">
        <v>20</v>
      </c>
      <c r="C380" s="11" t="s">
        <v>562</v>
      </c>
      <c r="D380" s="11" t="s">
        <v>101</v>
      </c>
      <c r="E380" s="11" t="s">
        <v>703</v>
      </c>
      <c r="F380" s="11" t="s">
        <v>704</v>
      </c>
      <c r="G380" s="22"/>
      <c r="H380" s="24">
        <v>283.0</v>
      </c>
      <c r="I380" s="21">
        <f t="shared" si="7"/>
        <v>17829</v>
      </c>
      <c r="J380" s="16">
        <f t="shared" si="1"/>
        <v>26743.5</v>
      </c>
      <c r="K380" s="16">
        <f t="shared" si="2"/>
        <v>23177.7</v>
      </c>
      <c r="L380" s="16">
        <f t="shared" si="3"/>
        <v>23177.7</v>
      </c>
      <c r="M380" s="16">
        <f t="shared" si="4"/>
        <v>21394.8</v>
      </c>
      <c r="N380" s="16">
        <f t="shared" si="5"/>
        <v>20503.35</v>
      </c>
      <c r="O380" s="16">
        <f t="shared" si="6"/>
        <v>19611.9</v>
      </c>
    </row>
    <row r="381">
      <c r="A381" s="11" t="s">
        <v>99</v>
      </c>
      <c r="B381" s="11" t="s">
        <v>20</v>
      </c>
      <c r="C381" s="11" t="s">
        <v>562</v>
      </c>
      <c r="D381" s="11" t="s">
        <v>101</v>
      </c>
      <c r="E381" s="11" t="s">
        <v>705</v>
      </c>
      <c r="F381" s="11" t="s">
        <v>706</v>
      </c>
      <c r="G381" s="22"/>
      <c r="H381" s="24">
        <v>329.0</v>
      </c>
      <c r="I381" s="21">
        <f t="shared" si="7"/>
        <v>20727</v>
      </c>
      <c r="J381" s="16">
        <f t="shared" si="1"/>
        <v>31090.5</v>
      </c>
      <c r="K381" s="16">
        <f t="shared" si="2"/>
        <v>26945.1</v>
      </c>
      <c r="L381" s="16">
        <f t="shared" si="3"/>
        <v>26945.1</v>
      </c>
      <c r="M381" s="16">
        <f t="shared" si="4"/>
        <v>24872.4</v>
      </c>
      <c r="N381" s="16">
        <f t="shared" si="5"/>
        <v>23836.05</v>
      </c>
      <c r="O381" s="16">
        <f t="shared" si="6"/>
        <v>22799.7</v>
      </c>
    </row>
    <row r="382">
      <c r="A382" s="11" t="s">
        <v>99</v>
      </c>
      <c r="B382" s="11" t="s">
        <v>20</v>
      </c>
      <c r="C382" s="11" t="s">
        <v>562</v>
      </c>
      <c r="D382" s="11" t="s">
        <v>101</v>
      </c>
      <c r="E382" s="11" t="s">
        <v>707</v>
      </c>
      <c r="F382" s="11" t="s">
        <v>708</v>
      </c>
      <c r="G382" s="22"/>
      <c r="H382" s="24">
        <v>371.0</v>
      </c>
      <c r="I382" s="21">
        <f t="shared" si="7"/>
        <v>23373</v>
      </c>
      <c r="J382" s="16">
        <f t="shared" si="1"/>
        <v>35059.5</v>
      </c>
      <c r="K382" s="16">
        <f t="shared" si="2"/>
        <v>30384.9</v>
      </c>
      <c r="L382" s="16">
        <f t="shared" si="3"/>
        <v>30384.9</v>
      </c>
      <c r="M382" s="16">
        <f t="shared" si="4"/>
        <v>28047.6</v>
      </c>
      <c r="N382" s="16">
        <f t="shared" si="5"/>
        <v>26878.95</v>
      </c>
      <c r="O382" s="16">
        <f t="shared" si="6"/>
        <v>25710.3</v>
      </c>
    </row>
    <row r="383">
      <c r="A383" s="11" t="s">
        <v>99</v>
      </c>
      <c r="B383" s="11" t="s">
        <v>20</v>
      </c>
      <c r="C383" s="11" t="s">
        <v>306</v>
      </c>
      <c r="D383" s="11" t="s">
        <v>159</v>
      </c>
      <c r="E383" s="11" t="s">
        <v>709</v>
      </c>
      <c r="F383" s="11" t="s">
        <v>710</v>
      </c>
      <c r="G383" s="22"/>
      <c r="H383" s="24">
        <v>269.0</v>
      </c>
      <c r="I383" s="21">
        <f t="shared" si="7"/>
        <v>16947</v>
      </c>
      <c r="J383" s="16">
        <f t="shared" si="1"/>
        <v>25420.5</v>
      </c>
      <c r="K383" s="16">
        <f t="shared" si="2"/>
        <v>22031.1</v>
      </c>
      <c r="L383" s="16">
        <f t="shared" si="3"/>
        <v>22031.1</v>
      </c>
      <c r="M383" s="16">
        <f t="shared" si="4"/>
        <v>20336.4</v>
      </c>
      <c r="N383" s="16">
        <f t="shared" si="5"/>
        <v>19489.05</v>
      </c>
      <c r="O383" s="16">
        <f t="shared" si="6"/>
        <v>18641.7</v>
      </c>
    </row>
    <row r="384">
      <c r="A384" s="11" t="s">
        <v>99</v>
      </c>
      <c r="B384" s="11" t="s">
        <v>20</v>
      </c>
      <c r="C384" s="11" t="s">
        <v>306</v>
      </c>
      <c r="D384" s="11" t="s">
        <v>159</v>
      </c>
      <c r="E384" s="11" t="s">
        <v>711</v>
      </c>
      <c r="F384" s="11" t="s">
        <v>712</v>
      </c>
      <c r="G384" s="22"/>
      <c r="H384" s="24">
        <v>291.0</v>
      </c>
      <c r="I384" s="21">
        <f t="shared" si="7"/>
        <v>18333</v>
      </c>
      <c r="J384" s="16">
        <f t="shared" si="1"/>
        <v>27499.5</v>
      </c>
      <c r="K384" s="16">
        <f t="shared" si="2"/>
        <v>23832.9</v>
      </c>
      <c r="L384" s="16">
        <f t="shared" si="3"/>
        <v>23832.9</v>
      </c>
      <c r="M384" s="16">
        <f t="shared" si="4"/>
        <v>21999.6</v>
      </c>
      <c r="N384" s="16">
        <f t="shared" si="5"/>
        <v>21082.95</v>
      </c>
      <c r="O384" s="16">
        <f t="shared" si="6"/>
        <v>20166.3</v>
      </c>
    </row>
    <row r="385">
      <c r="A385" s="11" t="s">
        <v>99</v>
      </c>
      <c r="B385" s="11" t="s">
        <v>20</v>
      </c>
      <c r="C385" s="11" t="s">
        <v>306</v>
      </c>
      <c r="D385" s="11" t="s">
        <v>159</v>
      </c>
      <c r="E385" s="11" t="s">
        <v>713</v>
      </c>
      <c r="F385" s="11" t="s">
        <v>714</v>
      </c>
      <c r="G385" s="22"/>
      <c r="H385" s="24">
        <v>297.0</v>
      </c>
      <c r="I385" s="21">
        <f t="shared" si="7"/>
        <v>18711</v>
      </c>
      <c r="J385" s="16">
        <f t="shared" si="1"/>
        <v>28066.5</v>
      </c>
      <c r="K385" s="16">
        <f t="shared" si="2"/>
        <v>24324.3</v>
      </c>
      <c r="L385" s="16">
        <f t="shared" si="3"/>
        <v>24324.3</v>
      </c>
      <c r="M385" s="16">
        <f t="shared" si="4"/>
        <v>22453.2</v>
      </c>
      <c r="N385" s="16">
        <f t="shared" si="5"/>
        <v>21517.65</v>
      </c>
      <c r="O385" s="16">
        <f t="shared" si="6"/>
        <v>20582.1</v>
      </c>
    </row>
    <row r="386">
      <c r="A386" s="11" t="s">
        <v>99</v>
      </c>
      <c r="B386" s="11" t="s">
        <v>20</v>
      </c>
      <c r="C386" s="11" t="s">
        <v>306</v>
      </c>
      <c r="D386" s="11" t="s">
        <v>159</v>
      </c>
      <c r="E386" s="11" t="s">
        <v>715</v>
      </c>
      <c r="F386" s="11" t="s">
        <v>716</v>
      </c>
      <c r="G386" s="22"/>
      <c r="H386" s="24">
        <v>297.0</v>
      </c>
      <c r="I386" s="21">
        <f t="shared" si="7"/>
        <v>18711</v>
      </c>
      <c r="J386" s="16">
        <f t="shared" si="1"/>
        <v>28066.5</v>
      </c>
      <c r="K386" s="16">
        <f t="shared" si="2"/>
        <v>24324.3</v>
      </c>
      <c r="L386" s="16">
        <f t="shared" si="3"/>
        <v>24324.3</v>
      </c>
      <c r="M386" s="16">
        <f t="shared" si="4"/>
        <v>22453.2</v>
      </c>
      <c r="N386" s="16">
        <f t="shared" si="5"/>
        <v>21517.65</v>
      </c>
      <c r="O386" s="16">
        <f t="shared" si="6"/>
        <v>20582.1</v>
      </c>
    </row>
    <row r="387">
      <c r="A387" s="11" t="s">
        <v>99</v>
      </c>
      <c r="B387" s="11" t="s">
        <v>20</v>
      </c>
      <c r="C387" s="11" t="s">
        <v>306</v>
      </c>
      <c r="D387" s="11" t="s">
        <v>159</v>
      </c>
      <c r="E387" s="11" t="s">
        <v>717</v>
      </c>
      <c r="F387" s="11" t="s">
        <v>718</v>
      </c>
      <c r="G387" s="22"/>
      <c r="H387" s="24">
        <v>312.5</v>
      </c>
      <c r="I387" s="21">
        <f t="shared" si="7"/>
        <v>19687.5</v>
      </c>
      <c r="J387" s="16">
        <f t="shared" si="1"/>
        <v>29531.25</v>
      </c>
      <c r="K387" s="16">
        <f t="shared" si="2"/>
        <v>25593.75</v>
      </c>
      <c r="L387" s="16">
        <f t="shared" si="3"/>
        <v>25593.75</v>
      </c>
      <c r="M387" s="16">
        <f t="shared" si="4"/>
        <v>23625</v>
      </c>
      <c r="N387" s="16">
        <f t="shared" si="5"/>
        <v>22640.625</v>
      </c>
      <c r="O387" s="16">
        <f t="shared" si="6"/>
        <v>21656.25</v>
      </c>
    </row>
    <row r="388">
      <c r="A388" s="11" t="s">
        <v>99</v>
      </c>
      <c r="B388" s="11" t="s">
        <v>20</v>
      </c>
      <c r="C388" s="11" t="s">
        <v>306</v>
      </c>
      <c r="D388" s="11" t="s">
        <v>159</v>
      </c>
      <c r="E388" s="11" t="s">
        <v>719</v>
      </c>
      <c r="F388" s="11" t="s">
        <v>435</v>
      </c>
      <c r="G388" s="22"/>
      <c r="H388" s="24">
        <v>73.0</v>
      </c>
      <c r="I388" s="21">
        <f t="shared" si="7"/>
        <v>4599</v>
      </c>
      <c r="J388" s="16">
        <f t="shared" si="1"/>
        <v>6898.5</v>
      </c>
      <c r="K388" s="16">
        <f t="shared" si="2"/>
        <v>5978.7</v>
      </c>
      <c r="L388" s="16">
        <f t="shared" si="3"/>
        <v>5978.7</v>
      </c>
      <c r="M388" s="16">
        <f t="shared" si="4"/>
        <v>5518.8</v>
      </c>
      <c r="N388" s="16">
        <f t="shared" si="5"/>
        <v>5288.85</v>
      </c>
      <c r="O388" s="16">
        <f t="shared" si="6"/>
        <v>5058.9</v>
      </c>
    </row>
    <row r="389">
      <c r="A389" s="11" t="s">
        <v>99</v>
      </c>
      <c r="B389" s="11" t="s">
        <v>20</v>
      </c>
      <c r="C389" s="11" t="s">
        <v>306</v>
      </c>
      <c r="D389" s="11" t="s">
        <v>159</v>
      </c>
      <c r="E389" s="11" t="s">
        <v>720</v>
      </c>
      <c r="F389" s="11" t="s">
        <v>721</v>
      </c>
      <c r="G389" s="22"/>
      <c r="H389" s="24">
        <v>77.5</v>
      </c>
      <c r="I389" s="21">
        <f t="shared" si="7"/>
        <v>4882.5</v>
      </c>
      <c r="J389" s="16">
        <f t="shared" si="1"/>
        <v>7323.75</v>
      </c>
      <c r="K389" s="16">
        <f t="shared" si="2"/>
        <v>6347.25</v>
      </c>
      <c r="L389" s="16">
        <f t="shared" si="3"/>
        <v>6347.25</v>
      </c>
      <c r="M389" s="16">
        <f t="shared" si="4"/>
        <v>5859</v>
      </c>
      <c r="N389" s="16">
        <f t="shared" si="5"/>
        <v>5614.875</v>
      </c>
      <c r="O389" s="16">
        <f t="shared" si="6"/>
        <v>5370.75</v>
      </c>
    </row>
    <row r="390">
      <c r="A390" s="11" t="s">
        <v>99</v>
      </c>
      <c r="B390" s="11" t="s">
        <v>20</v>
      </c>
      <c r="C390" s="11" t="s">
        <v>589</v>
      </c>
      <c r="D390" s="11" t="s">
        <v>159</v>
      </c>
      <c r="E390" s="11" t="s">
        <v>722</v>
      </c>
      <c r="F390" s="11" t="s">
        <v>723</v>
      </c>
      <c r="G390" s="22"/>
      <c r="H390" s="24">
        <v>35.0</v>
      </c>
      <c r="I390" s="21">
        <f t="shared" si="7"/>
        <v>2205</v>
      </c>
      <c r="J390" s="16">
        <f t="shared" si="1"/>
        <v>3307.5</v>
      </c>
      <c r="K390" s="16">
        <f t="shared" si="2"/>
        <v>2866.5</v>
      </c>
      <c r="L390" s="16">
        <f t="shared" si="3"/>
        <v>2866.5</v>
      </c>
      <c r="M390" s="16">
        <f t="shared" si="4"/>
        <v>2646</v>
      </c>
      <c r="N390" s="16">
        <f t="shared" si="5"/>
        <v>2535.75</v>
      </c>
      <c r="O390" s="16">
        <f t="shared" si="6"/>
        <v>2425.5</v>
      </c>
    </row>
    <row r="391">
      <c r="A391" s="11" t="s">
        <v>99</v>
      </c>
      <c r="B391" s="11" t="s">
        <v>20</v>
      </c>
      <c r="C391" s="11" t="s">
        <v>589</v>
      </c>
      <c r="D391" s="11" t="s">
        <v>159</v>
      </c>
      <c r="E391" s="11" t="s">
        <v>724</v>
      </c>
      <c r="F391" s="11" t="s">
        <v>725</v>
      </c>
      <c r="G391" s="22"/>
      <c r="H391" s="24">
        <v>20.0</v>
      </c>
      <c r="I391" s="21">
        <f t="shared" si="7"/>
        <v>1260</v>
      </c>
      <c r="J391" s="16">
        <f t="shared" si="1"/>
        <v>1890</v>
      </c>
      <c r="K391" s="16">
        <f t="shared" si="2"/>
        <v>1638</v>
      </c>
      <c r="L391" s="16">
        <f t="shared" si="3"/>
        <v>1638</v>
      </c>
      <c r="M391" s="16">
        <f t="shared" si="4"/>
        <v>1512</v>
      </c>
      <c r="N391" s="16">
        <f t="shared" si="5"/>
        <v>1449</v>
      </c>
      <c r="O391" s="16">
        <f t="shared" si="6"/>
        <v>1386</v>
      </c>
    </row>
    <row r="392">
      <c r="A392" s="11" t="s">
        <v>99</v>
      </c>
      <c r="B392" s="11" t="s">
        <v>20</v>
      </c>
      <c r="C392" s="11" t="s">
        <v>589</v>
      </c>
      <c r="D392" s="11" t="s">
        <v>159</v>
      </c>
      <c r="E392" s="11" t="s">
        <v>726</v>
      </c>
      <c r="F392" s="11" t="s">
        <v>727</v>
      </c>
      <c r="G392" s="22"/>
      <c r="H392" s="24">
        <v>24.5</v>
      </c>
      <c r="I392" s="21">
        <f t="shared" si="7"/>
        <v>1543.5</v>
      </c>
      <c r="J392" s="16">
        <f t="shared" si="1"/>
        <v>2315.25</v>
      </c>
      <c r="K392" s="16">
        <f t="shared" si="2"/>
        <v>2006.55</v>
      </c>
      <c r="L392" s="16">
        <f t="shared" si="3"/>
        <v>2006.55</v>
      </c>
      <c r="M392" s="16">
        <f t="shared" si="4"/>
        <v>1852.2</v>
      </c>
      <c r="N392" s="16">
        <f t="shared" si="5"/>
        <v>1775.025</v>
      </c>
      <c r="O392" s="16">
        <f t="shared" si="6"/>
        <v>1697.85</v>
      </c>
    </row>
    <row r="393">
      <c r="A393" s="11" t="s">
        <v>99</v>
      </c>
      <c r="B393" s="11" t="s">
        <v>20</v>
      </c>
      <c r="C393" s="11" t="s">
        <v>589</v>
      </c>
      <c r="D393" s="11" t="s">
        <v>159</v>
      </c>
      <c r="E393" s="11" t="s">
        <v>728</v>
      </c>
      <c r="F393" s="11" t="s">
        <v>729</v>
      </c>
      <c r="G393" s="22"/>
      <c r="H393" s="24">
        <v>29.0</v>
      </c>
      <c r="I393" s="21">
        <f t="shared" si="7"/>
        <v>1827</v>
      </c>
      <c r="J393" s="16">
        <f t="shared" si="1"/>
        <v>2740.5</v>
      </c>
      <c r="K393" s="16">
        <f t="shared" si="2"/>
        <v>2375.1</v>
      </c>
      <c r="L393" s="16">
        <f t="shared" si="3"/>
        <v>2375.1</v>
      </c>
      <c r="M393" s="16">
        <f t="shared" si="4"/>
        <v>2192.4</v>
      </c>
      <c r="N393" s="16">
        <f t="shared" si="5"/>
        <v>2101.05</v>
      </c>
      <c r="O393" s="16">
        <f t="shared" si="6"/>
        <v>2009.7</v>
      </c>
    </row>
    <row r="394">
      <c r="A394" s="11" t="s">
        <v>99</v>
      </c>
      <c r="B394" s="11" t="s">
        <v>20</v>
      </c>
      <c r="C394" s="11" t="s">
        <v>589</v>
      </c>
      <c r="D394" s="11" t="s">
        <v>159</v>
      </c>
      <c r="E394" s="11" t="s">
        <v>730</v>
      </c>
      <c r="F394" s="11" t="s">
        <v>731</v>
      </c>
      <c r="G394" s="22"/>
      <c r="H394" s="24">
        <v>30.0</v>
      </c>
      <c r="I394" s="21">
        <f t="shared" si="7"/>
        <v>1890</v>
      </c>
      <c r="J394" s="16">
        <f t="shared" si="1"/>
        <v>2835</v>
      </c>
      <c r="K394" s="16">
        <f t="shared" si="2"/>
        <v>2457</v>
      </c>
      <c r="L394" s="16">
        <f t="shared" si="3"/>
        <v>2457</v>
      </c>
      <c r="M394" s="16">
        <f t="shared" si="4"/>
        <v>2268</v>
      </c>
      <c r="N394" s="16">
        <f t="shared" si="5"/>
        <v>2173.5</v>
      </c>
      <c r="O394" s="16">
        <f t="shared" si="6"/>
        <v>2079</v>
      </c>
    </row>
    <row r="395">
      <c r="A395" s="11" t="s">
        <v>99</v>
      </c>
      <c r="B395" s="11" t="s">
        <v>20</v>
      </c>
      <c r="C395" s="11" t="s">
        <v>589</v>
      </c>
      <c r="D395" s="11" t="s">
        <v>159</v>
      </c>
      <c r="E395" s="11" t="s">
        <v>732</v>
      </c>
      <c r="F395" s="11" t="s">
        <v>733</v>
      </c>
      <c r="G395" s="22"/>
      <c r="H395" s="24">
        <v>34.5</v>
      </c>
      <c r="I395" s="21">
        <f t="shared" si="7"/>
        <v>2173.5</v>
      </c>
      <c r="J395" s="16">
        <f t="shared" si="1"/>
        <v>3260.25</v>
      </c>
      <c r="K395" s="16">
        <f t="shared" si="2"/>
        <v>2825.55</v>
      </c>
      <c r="L395" s="16">
        <f t="shared" si="3"/>
        <v>2825.55</v>
      </c>
      <c r="M395" s="16">
        <f t="shared" si="4"/>
        <v>2608.2</v>
      </c>
      <c r="N395" s="16">
        <f t="shared" si="5"/>
        <v>2499.525</v>
      </c>
      <c r="O395" s="16">
        <f t="shared" si="6"/>
        <v>2390.85</v>
      </c>
    </row>
    <row r="396">
      <c r="A396" s="11" t="s">
        <v>99</v>
      </c>
      <c r="B396" s="11" t="s">
        <v>20</v>
      </c>
      <c r="C396" s="11" t="s">
        <v>589</v>
      </c>
      <c r="D396" s="11" t="s">
        <v>159</v>
      </c>
      <c r="E396" s="11" t="s">
        <v>734</v>
      </c>
      <c r="F396" s="11" t="s">
        <v>735</v>
      </c>
      <c r="G396" s="22"/>
      <c r="H396" s="24">
        <v>53.0</v>
      </c>
      <c r="I396" s="21">
        <f t="shared" si="7"/>
        <v>3339</v>
      </c>
      <c r="J396" s="16">
        <f t="shared" si="1"/>
        <v>5008.5</v>
      </c>
      <c r="K396" s="16">
        <f t="shared" si="2"/>
        <v>4340.7</v>
      </c>
      <c r="L396" s="16">
        <f t="shared" si="3"/>
        <v>4340.7</v>
      </c>
      <c r="M396" s="16">
        <f t="shared" si="4"/>
        <v>4006.8</v>
      </c>
      <c r="N396" s="16">
        <f t="shared" si="5"/>
        <v>3839.85</v>
      </c>
      <c r="O396" s="16">
        <f t="shared" si="6"/>
        <v>3672.9</v>
      </c>
    </row>
    <row r="397">
      <c r="A397" s="11" t="s">
        <v>99</v>
      </c>
      <c r="B397" s="11" t="s">
        <v>20</v>
      </c>
      <c r="C397" s="11" t="s">
        <v>589</v>
      </c>
      <c r="D397" s="11" t="s">
        <v>159</v>
      </c>
      <c r="E397" s="11" t="s">
        <v>736</v>
      </c>
      <c r="F397" s="11" t="s">
        <v>737</v>
      </c>
      <c r="G397" s="22"/>
      <c r="H397" s="24">
        <v>60.5</v>
      </c>
      <c r="I397" s="21">
        <f t="shared" si="7"/>
        <v>3811.5</v>
      </c>
      <c r="J397" s="16">
        <f t="shared" si="1"/>
        <v>5717.25</v>
      </c>
      <c r="K397" s="16">
        <f t="shared" si="2"/>
        <v>4954.95</v>
      </c>
      <c r="L397" s="16">
        <f t="shared" si="3"/>
        <v>4954.95</v>
      </c>
      <c r="M397" s="16">
        <f t="shared" si="4"/>
        <v>4573.8</v>
      </c>
      <c r="N397" s="16">
        <f t="shared" si="5"/>
        <v>4383.225</v>
      </c>
      <c r="O397" s="16">
        <f t="shared" si="6"/>
        <v>4192.65</v>
      </c>
    </row>
    <row r="398">
      <c r="A398" s="11" t="s">
        <v>99</v>
      </c>
      <c r="B398" s="11" t="s">
        <v>20</v>
      </c>
      <c r="C398" s="11" t="s">
        <v>323</v>
      </c>
      <c r="D398" s="11" t="s">
        <v>159</v>
      </c>
      <c r="E398" s="11">
        <v>1281.0</v>
      </c>
      <c r="F398" s="11" t="s">
        <v>473</v>
      </c>
      <c r="G398" s="22"/>
      <c r="H398" s="24">
        <v>151.0</v>
      </c>
      <c r="I398" s="21">
        <f t="shared" si="7"/>
        <v>9513</v>
      </c>
      <c r="J398" s="16">
        <f t="shared" si="1"/>
        <v>14269.5</v>
      </c>
      <c r="K398" s="16">
        <f t="shared" si="2"/>
        <v>12366.9</v>
      </c>
      <c r="L398" s="16">
        <f t="shared" si="3"/>
        <v>12366.9</v>
      </c>
      <c r="M398" s="16">
        <f t="shared" si="4"/>
        <v>11415.6</v>
      </c>
      <c r="N398" s="16">
        <f t="shared" si="5"/>
        <v>10939.95</v>
      </c>
      <c r="O398" s="16">
        <f t="shared" si="6"/>
        <v>10464.3</v>
      </c>
    </row>
    <row r="399">
      <c r="A399" s="11" t="s">
        <v>99</v>
      </c>
      <c r="B399" s="11" t="s">
        <v>20</v>
      </c>
      <c r="C399" s="11" t="s">
        <v>323</v>
      </c>
      <c r="D399" s="11" t="s">
        <v>159</v>
      </c>
      <c r="E399" s="11" t="s">
        <v>738</v>
      </c>
      <c r="F399" s="11" t="s">
        <v>739</v>
      </c>
      <c r="G399" s="22"/>
      <c r="H399" s="24">
        <v>164.0</v>
      </c>
      <c r="I399" s="21">
        <f t="shared" si="7"/>
        <v>10332</v>
      </c>
      <c r="J399" s="16">
        <f t="shared" si="1"/>
        <v>15498</v>
      </c>
      <c r="K399" s="16">
        <f t="shared" si="2"/>
        <v>13431.6</v>
      </c>
      <c r="L399" s="16">
        <f t="shared" si="3"/>
        <v>13431.6</v>
      </c>
      <c r="M399" s="16">
        <f t="shared" si="4"/>
        <v>12398.4</v>
      </c>
      <c r="N399" s="16">
        <f t="shared" si="5"/>
        <v>11881.8</v>
      </c>
      <c r="O399" s="16">
        <f t="shared" si="6"/>
        <v>11365.2</v>
      </c>
    </row>
    <row r="400">
      <c r="A400" s="11" t="s">
        <v>99</v>
      </c>
      <c r="B400" s="11" t="s">
        <v>20</v>
      </c>
      <c r="C400" s="11" t="s">
        <v>323</v>
      </c>
      <c r="D400" s="11" t="s">
        <v>159</v>
      </c>
      <c r="E400" s="11" t="s">
        <v>740</v>
      </c>
      <c r="F400" s="11" t="s">
        <v>741</v>
      </c>
      <c r="G400" s="22"/>
      <c r="H400" s="24">
        <v>96.0</v>
      </c>
      <c r="I400" s="21">
        <f t="shared" si="7"/>
        <v>6048</v>
      </c>
      <c r="J400" s="16">
        <f t="shared" si="1"/>
        <v>9072</v>
      </c>
      <c r="K400" s="16">
        <f t="shared" si="2"/>
        <v>7862.4</v>
      </c>
      <c r="L400" s="16">
        <f t="shared" si="3"/>
        <v>7862.4</v>
      </c>
      <c r="M400" s="16">
        <f t="shared" si="4"/>
        <v>7257.6</v>
      </c>
      <c r="N400" s="16">
        <f t="shared" si="5"/>
        <v>6955.2</v>
      </c>
      <c r="O400" s="16">
        <f t="shared" si="6"/>
        <v>6652.8</v>
      </c>
    </row>
    <row r="401">
      <c r="A401" s="11" t="s">
        <v>99</v>
      </c>
      <c r="B401" s="11" t="s">
        <v>20</v>
      </c>
      <c r="C401" s="11" t="s">
        <v>323</v>
      </c>
      <c r="D401" s="11" t="s">
        <v>159</v>
      </c>
      <c r="E401" s="11" t="s">
        <v>742</v>
      </c>
      <c r="F401" s="11" t="s">
        <v>743</v>
      </c>
      <c r="G401" s="22"/>
      <c r="H401" s="24">
        <v>70.0</v>
      </c>
      <c r="I401" s="21">
        <f t="shared" si="7"/>
        <v>4410</v>
      </c>
      <c r="J401" s="16">
        <f t="shared" si="1"/>
        <v>6615</v>
      </c>
      <c r="K401" s="16">
        <f t="shared" si="2"/>
        <v>5733</v>
      </c>
      <c r="L401" s="16">
        <f t="shared" si="3"/>
        <v>5733</v>
      </c>
      <c r="M401" s="16">
        <f t="shared" si="4"/>
        <v>5292</v>
      </c>
      <c r="N401" s="16">
        <f t="shared" si="5"/>
        <v>5071.5</v>
      </c>
      <c r="O401" s="16">
        <f t="shared" si="6"/>
        <v>4851</v>
      </c>
    </row>
    <row r="402">
      <c r="A402" s="11" t="s">
        <v>99</v>
      </c>
      <c r="B402" s="11" t="s">
        <v>20</v>
      </c>
      <c r="C402" s="11" t="s">
        <v>323</v>
      </c>
      <c r="D402" s="11" t="s">
        <v>159</v>
      </c>
      <c r="E402" s="11" t="s">
        <v>744</v>
      </c>
      <c r="F402" s="11" t="s">
        <v>745</v>
      </c>
      <c r="G402" s="22"/>
      <c r="H402" s="24">
        <v>112.5</v>
      </c>
      <c r="I402" s="21">
        <f t="shared" si="7"/>
        <v>7087.5</v>
      </c>
      <c r="J402" s="16">
        <f t="shared" si="1"/>
        <v>10631.25</v>
      </c>
      <c r="K402" s="16">
        <f t="shared" si="2"/>
        <v>9213.75</v>
      </c>
      <c r="L402" s="16">
        <f t="shared" si="3"/>
        <v>9213.75</v>
      </c>
      <c r="M402" s="16">
        <f t="shared" si="4"/>
        <v>8505</v>
      </c>
      <c r="N402" s="16">
        <f t="shared" si="5"/>
        <v>8150.625</v>
      </c>
      <c r="O402" s="16">
        <f t="shared" si="6"/>
        <v>7796.25</v>
      </c>
    </row>
    <row r="403">
      <c r="A403" s="11" t="s">
        <v>99</v>
      </c>
      <c r="B403" s="11" t="s">
        <v>20</v>
      </c>
      <c r="C403" s="11" t="s">
        <v>323</v>
      </c>
      <c r="D403" s="11" t="s">
        <v>159</v>
      </c>
      <c r="E403" s="11" t="s">
        <v>746</v>
      </c>
      <c r="F403" s="11" t="s">
        <v>747</v>
      </c>
      <c r="G403" s="22"/>
      <c r="H403" s="24">
        <v>146.0</v>
      </c>
      <c r="I403" s="21">
        <f t="shared" si="7"/>
        <v>9198</v>
      </c>
      <c r="J403" s="16">
        <f t="shared" si="1"/>
        <v>13797</v>
      </c>
      <c r="K403" s="16">
        <f t="shared" si="2"/>
        <v>11957.4</v>
      </c>
      <c r="L403" s="16">
        <f t="shared" si="3"/>
        <v>11957.4</v>
      </c>
      <c r="M403" s="16">
        <f t="shared" si="4"/>
        <v>11037.6</v>
      </c>
      <c r="N403" s="16">
        <f t="shared" si="5"/>
        <v>10577.7</v>
      </c>
      <c r="O403" s="16">
        <f t="shared" si="6"/>
        <v>10117.8</v>
      </c>
    </row>
    <row r="404">
      <c r="A404" s="11" t="s">
        <v>99</v>
      </c>
      <c r="B404" s="11" t="s">
        <v>20</v>
      </c>
      <c r="C404" s="11" t="s">
        <v>323</v>
      </c>
      <c r="D404" s="11" t="s">
        <v>159</v>
      </c>
      <c r="E404" s="11" t="s">
        <v>748</v>
      </c>
      <c r="F404" s="11" t="s">
        <v>749</v>
      </c>
      <c r="G404" s="22"/>
      <c r="H404" s="24">
        <v>42.5</v>
      </c>
      <c r="I404" s="21">
        <f t="shared" si="7"/>
        <v>2677.5</v>
      </c>
      <c r="J404" s="16">
        <f t="shared" si="1"/>
        <v>4016.25</v>
      </c>
      <c r="K404" s="16">
        <f t="shared" si="2"/>
        <v>3480.75</v>
      </c>
      <c r="L404" s="16">
        <f t="shared" si="3"/>
        <v>3480.75</v>
      </c>
      <c r="M404" s="16">
        <f t="shared" si="4"/>
        <v>3213</v>
      </c>
      <c r="N404" s="16">
        <f t="shared" si="5"/>
        <v>3079.125</v>
      </c>
      <c r="O404" s="16">
        <f t="shared" si="6"/>
        <v>2945.25</v>
      </c>
    </row>
    <row r="405">
      <c r="A405" s="11" t="s">
        <v>99</v>
      </c>
      <c r="B405" s="11" t="s">
        <v>20</v>
      </c>
      <c r="C405" s="11" t="s">
        <v>323</v>
      </c>
      <c r="D405" s="11" t="s">
        <v>159</v>
      </c>
      <c r="E405" s="11" t="s">
        <v>750</v>
      </c>
      <c r="F405" s="11" t="s">
        <v>751</v>
      </c>
      <c r="G405" s="22"/>
      <c r="H405" s="24">
        <v>16.5</v>
      </c>
      <c r="I405" s="21">
        <f t="shared" si="7"/>
        <v>1039.5</v>
      </c>
      <c r="J405" s="16">
        <f t="shared" si="1"/>
        <v>1559.25</v>
      </c>
      <c r="K405" s="16">
        <f t="shared" si="2"/>
        <v>1351.35</v>
      </c>
      <c r="L405" s="16">
        <f t="shared" si="3"/>
        <v>1351.35</v>
      </c>
      <c r="M405" s="16">
        <f t="shared" si="4"/>
        <v>1247.4</v>
      </c>
      <c r="N405" s="16">
        <f t="shared" si="5"/>
        <v>1195.425</v>
      </c>
      <c r="O405" s="16">
        <f t="shared" si="6"/>
        <v>1143.45</v>
      </c>
    </row>
    <row r="406">
      <c r="A406" s="11" t="s">
        <v>99</v>
      </c>
      <c r="B406" s="11" t="s">
        <v>20</v>
      </c>
      <c r="C406" s="11" t="s">
        <v>323</v>
      </c>
      <c r="D406" s="11" t="s">
        <v>159</v>
      </c>
      <c r="E406" s="11" t="s">
        <v>752</v>
      </c>
      <c r="F406" s="11" t="s">
        <v>753</v>
      </c>
      <c r="G406" s="22"/>
      <c r="H406" s="24">
        <v>66.0</v>
      </c>
      <c r="I406" s="21">
        <f t="shared" si="7"/>
        <v>4158</v>
      </c>
      <c r="J406" s="16">
        <f t="shared" si="1"/>
        <v>6237</v>
      </c>
      <c r="K406" s="16">
        <f t="shared" si="2"/>
        <v>5405.4</v>
      </c>
      <c r="L406" s="16">
        <f t="shared" si="3"/>
        <v>5405.4</v>
      </c>
      <c r="M406" s="16">
        <f t="shared" si="4"/>
        <v>4989.6</v>
      </c>
      <c r="N406" s="16">
        <f t="shared" si="5"/>
        <v>4781.7</v>
      </c>
      <c r="O406" s="16">
        <f t="shared" si="6"/>
        <v>4573.8</v>
      </c>
    </row>
    <row r="407">
      <c r="A407" s="11" t="s">
        <v>99</v>
      </c>
      <c r="B407" s="11" t="s">
        <v>20</v>
      </c>
      <c r="C407" s="11" t="s">
        <v>323</v>
      </c>
      <c r="D407" s="11" t="s">
        <v>159</v>
      </c>
      <c r="E407" s="11" t="s">
        <v>754</v>
      </c>
      <c r="F407" s="11" t="s">
        <v>755</v>
      </c>
      <c r="G407" s="22"/>
      <c r="H407" s="24">
        <v>44.5</v>
      </c>
      <c r="I407" s="21">
        <f t="shared" si="7"/>
        <v>2803.5</v>
      </c>
      <c r="J407" s="16">
        <f t="shared" si="1"/>
        <v>4205.25</v>
      </c>
      <c r="K407" s="16">
        <f t="shared" si="2"/>
        <v>3644.55</v>
      </c>
      <c r="L407" s="16">
        <f t="shared" si="3"/>
        <v>3644.55</v>
      </c>
      <c r="M407" s="16">
        <f t="shared" si="4"/>
        <v>3364.2</v>
      </c>
      <c r="N407" s="16">
        <f t="shared" si="5"/>
        <v>3224.025</v>
      </c>
      <c r="O407" s="16">
        <f t="shared" si="6"/>
        <v>3083.85</v>
      </c>
    </row>
    <row r="408">
      <c r="A408" s="11" t="s">
        <v>99</v>
      </c>
      <c r="B408" s="11" t="s">
        <v>20</v>
      </c>
      <c r="C408" s="11" t="s">
        <v>562</v>
      </c>
      <c r="D408" s="11" t="s">
        <v>101</v>
      </c>
      <c r="E408" s="11" t="s">
        <v>756</v>
      </c>
      <c r="F408" s="11" t="s">
        <v>757</v>
      </c>
      <c r="G408" s="22"/>
      <c r="H408" s="24">
        <v>25.5</v>
      </c>
      <c r="I408" s="21">
        <f t="shared" si="7"/>
        <v>1606.5</v>
      </c>
      <c r="J408" s="16">
        <f t="shared" si="1"/>
        <v>2409.75</v>
      </c>
      <c r="K408" s="16">
        <f t="shared" si="2"/>
        <v>2088.45</v>
      </c>
      <c r="L408" s="16">
        <f t="shared" si="3"/>
        <v>2088.45</v>
      </c>
      <c r="M408" s="16">
        <f t="shared" si="4"/>
        <v>1927.8</v>
      </c>
      <c r="N408" s="16">
        <f t="shared" si="5"/>
        <v>1847.475</v>
      </c>
      <c r="O408" s="16">
        <f t="shared" si="6"/>
        <v>1767.15</v>
      </c>
    </row>
    <row r="409">
      <c r="A409" s="11" t="s">
        <v>99</v>
      </c>
      <c r="B409" s="11" t="s">
        <v>20</v>
      </c>
      <c r="C409" s="11" t="s">
        <v>562</v>
      </c>
      <c r="D409" s="11" t="s">
        <v>101</v>
      </c>
      <c r="E409" s="11" t="s">
        <v>758</v>
      </c>
      <c r="F409" s="11" t="s">
        <v>759</v>
      </c>
      <c r="G409" s="22"/>
      <c r="H409" s="24">
        <v>31.5</v>
      </c>
      <c r="I409" s="21">
        <f t="shared" si="7"/>
        <v>1984.5</v>
      </c>
      <c r="J409" s="16">
        <f t="shared" si="1"/>
        <v>2976.75</v>
      </c>
      <c r="K409" s="16">
        <f t="shared" si="2"/>
        <v>2579.85</v>
      </c>
      <c r="L409" s="16">
        <f t="shared" si="3"/>
        <v>2579.85</v>
      </c>
      <c r="M409" s="16">
        <f t="shared" si="4"/>
        <v>2381.4</v>
      </c>
      <c r="N409" s="16">
        <f t="shared" si="5"/>
        <v>2282.175</v>
      </c>
      <c r="O409" s="16">
        <f t="shared" si="6"/>
        <v>2182.95</v>
      </c>
    </row>
    <row r="410">
      <c r="A410" s="11" t="s">
        <v>99</v>
      </c>
      <c r="B410" s="11" t="s">
        <v>20</v>
      </c>
      <c r="C410" s="11" t="s">
        <v>562</v>
      </c>
      <c r="D410" s="11" t="s">
        <v>101</v>
      </c>
      <c r="E410" s="11" t="s">
        <v>760</v>
      </c>
      <c r="F410" s="11" t="s">
        <v>761</v>
      </c>
      <c r="G410" s="22"/>
      <c r="H410" s="24">
        <v>27.0</v>
      </c>
      <c r="I410" s="21">
        <f t="shared" si="7"/>
        <v>1701</v>
      </c>
      <c r="J410" s="16">
        <f t="shared" si="1"/>
        <v>2551.5</v>
      </c>
      <c r="K410" s="16">
        <f t="shared" si="2"/>
        <v>2211.3</v>
      </c>
      <c r="L410" s="16">
        <f t="shared" si="3"/>
        <v>2211.3</v>
      </c>
      <c r="M410" s="16">
        <f t="shared" si="4"/>
        <v>2041.2</v>
      </c>
      <c r="N410" s="16">
        <f t="shared" si="5"/>
        <v>1956.15</v>
      </c>
      <c r="O410" s="16">
        <f t="shared" si="6"/>
        <v>1871.1</v>
      </c>
    </row>
    <row r="411">
      <c r="A411" s="11" t="s">
        <v>99</v>
      </c>
      <c r="B411" s="11" t="s">
        <v>20</v>
      </c>
      <c r="C411" s="11" t="s">
        <v>562</v>
      </c>
      <c r="D411" s="11" t="s">
        <v>101</v>
      </c>
      <c r="E411" s="11" t="s">
        <v>762</v>
      </c>
      <c r="F411" s="11" t="s">
        <v>763</v>
      </c>
      <c r="G411" s="22"/>
      <c r="H411" s="24">
        <v>29.5</v>
      </c>
      <c r="I411" s="21">
        <f t="shared" si="7"/>
        <v>1858.5</v>
      </c>
      <c r="J411" s="16">
        <f t="shared" si="1"/>
        <v>2787.75</v>
      </c>
      <c r="K411" s="16">
        <f t="shared" si="2"/>
        <v>2416.05</v>
      </c>
      <c r="L411" s="16">
        <f t="shared" si="3"/>
        <v>2416.05</v>
      </c>
      <c r="M411" s="16">
        <f t="shared" si="4"/>
        <v>2230.2</v>
      </c>
      <c r="N411" s="16">
        <f t="shared" si="5"/>
        <v>2137.275</v>
      </c>
      <c r="O411" s="16">
        <f t="shared" si="6"/>
        <v>2044.35</v>
      </c>
    </row>
    <row r="412">
      <c r="A412" s="11" t="s">
        <v>99</v>
      </c>
      <c r="B412" s="11" t="s">
        <v>20</v>
      </c>
      <c r="C412" s="11" t="s">
        <v>562</v>
      </c>
      <c r="D412" s="11" t="s">
        <v>101</v>
      </c>
      <c r="E412" s="11" t="s">
        <v>764</v>
      </c>
      <c r="F412" s="11" t="s">
        <v>765</v>
      </c>
      <c r="G412" s="22"/>
      <c r="H412" s="24">
        <v>95.0</v>
      </c>
      <c r="I412" s="21">
        <f t="shared" si="7"/>
        <v>5985</v>
      </c>
      <c r="J412" s="16">
        <f t="shared" si="1"/>
        <v>8977.5</v>
      </c>
      <c r="K412" s="16">
        <f t="shared" si="2"/>
        <v>7780.5</v>
      </c>
      <c r="L412" s="16">
        <f t="shared" si="3"/>
        <v>7780.5</v>
      </c>
      <c r="M412" s="16">
        <f t="shared" si="4"/>
        <v>7182</v>
      </c>
      <c r="N412" s="16">
        <f t="shared" si="5"/>
        <v>6882.75</v>
      </c>
      <c r="O412" s="16">
        <f t="shared" si="6"/>
        <v>6583.5</v>
      </c>
    </row>
    <row r="413">
      <c r="A413" s="11" t="s">
        <v>99</v>
      </c>
      <c r="B413" s="11" t="s">
        <v>20</v>
      </c>
      <c r="C413" s="11" t="s">
        <v>562</v>
      </c>
      <c r="D413" s="11" t="s">
        <v>101</v>
      </c>
      <c r="E413" s="11" t="s">
        <v>766</v>
      </c>
      <c r="F413" s="11" t="s">
        <v>767</v>
      </c>
      <c r="G413" s="22"/>
      <c r="H413" s="24">
        <v>118.5</v>
      </c>
      <c r="I413" s="21">
        <f t="shared" si="7"/>
        <v>7465.5</v>
      </c>
      <c r="J413" s="16">
        <f t="shared" si="1"/>
        <v>11198.25</v>
      </c>
      <c r="K413" s="16">
        <f t="shared" si="2"/>
        <v>9705.15</v>
      </c>
      <c r="L413" s="16">
        <f t="shared" si="3"/>
        <v>9705.15</v>
      </c>
      <c r="M413" s="16">
        <f t="shared" si="4"/>
        <v>8958.6</v>
      </c>
      <c r="N413" s="16">
        <f t="shared" si="5"/>
        <v>8585.325</v>
      </c>
      <c r="O413" s="16">
        <f t="shared" si="6"/>
        <v>8212.05</v>
      </c>
    </row>
    <row r="414">
      <c r="A414" s="11" t="s">
        <v>99</v>
      </c>
      <c r="B414" s="11" t="s">
        <v>20</v>
      </c>
      <c r="C414" s="11" t="s">
        <v>562</v>
      </c>
      <c r="D414" s="11" t="s">
        <v>101</v>
      </c>
      <c r="E414" s="11" t="s">
        <v>768</v>
      </c>
      <c r="F414" s="11" t="s">
        <v>769</v>
      </c>
      <c r="G414" s="22"/>
      <c r="H414" s="24">
        <v>147.0</v>
      </c>
      <c r="I414" s="21">
        <f t="shared" si="7"/>
        <v>9261</v>
      </c>
      <c r="J414" s="16">
        <f t="shared" si="1"/>
        <v>13891.5</v>
      </c>
      <c r="K414" s="16">
        <f t="shared" si="2"/>
        <v>12039.3</v>
      </c>
      <c r="L414" s="16">
        <f t="shared" si="3"/>
        <v>12039.3</v>
      </c>
      <c r="M414" s="16">
        <f t="shared" si="4"/>
        <v>11113.2</v>
      </c>
      <c r="N414" s="16">
        <f t="shared" si="5"/>
        <v>10650.15</v>
      </c>
      <c r="O414" s="16">
        <f t="shared" si="6"/>
        <v>10187.1</v>
      </c>
    </row>
    <row r="415">
      <c r="A415" s="11" t="s">
        <v>99</v>
      </c>
      <c r="B415" s="11" t="s">
        <v>20</v>
      </c>
      <c r="C415" s="11" t="s">
        <v>562</v>
      </c>
      <c r="D415" s="11" t="s">
        <v>101</v>
      </c>
      <c r="E415" s="11" t="s">
        <v>770</v>
      </c>
      <c r="F415" s="11" t="s">
        <v>771</v>
      </c>
      <c r="G415" s="22"/>
      <c r="H415" s="24">
        <v>170.0</v>
      </c>
      <c r="I415" s="21">
        <f t="shared" si="7"/>
        <v>10710</v>
      </c>
      <c r="J415" s="16">
        <f t="shared" si="1"/>
        <v>16065</v>
      </c>
      <c r="K415" s="16">
        <f t="shared" si="2"/>
        <v>13923</v>
      </c>
      <c r="L415" s="16">
        <f t="shared" si="3"/>
        <v>13923</v>
      </c>
      <c r="M415" s="16">
        <f t="shared" si="4"/>
        <v>12852</v>
      </c>
      <c r="N415" s="16">
        <f t="shared" si="5"/>
        <v>12316.5</v>
      </c>
      <c r="O415" s="16">
        <f t="shared" si="6"/>
        <v>11781</v>
      </c>
    </row>
    <row r="416">
      <c r="A416" s="11" t="s">
        <v>99</v>
      </c>
      <c r="B416" s="11" t="s">
        <v>20</v>
      </c>
      <c r="C416" s="11" t="s">
        <v>562</v>
      </c>
      <c r="D416" s="11" t="s">
        <v>101</v>
      </c>
      <c r="E416" s="11" t="s">
        <v>772</v>
      </c>
      <c r="F416" s="11" t="s">
        <v>773</v>
      </c>
      <c r="G416" s="22"/>
      <c r="H416" s="24">
        <v>226.0</v>
      </c>
      <c r="I416" s="21">
        <f t="shared" si="7"/>
        <v>14238</v>
      </c>
      <c r="J416" s="16">
        <f t="shared" si="1"/>
        <v>21357</v>
      </c>
      <c r="K416" s="16">
        <f t="shared" si="2"/>
        <v>18509.4</v>
      </c>
      <c r="L416" s="16">
        <f t="shared" si="3"/>
        <v>18509.4</v>
      </c>
      <c r="M416" s="16">
        <f t="shared" si="4"/>
        <v>17085.6</v>
      </c>
      <c r="N416" s="16">
        <f t="shared" si="5"/>
        <v>16373.7</v>
      </c>
      <c r="O416" s="16">
        <f t="shared" si="6"/>
        <v>15661.8</v>
      </c>
    </row>
    <row r="417">
      <c r="A417" s="11" t="s">
        <v>99</v>
      </c>
      <c r="B417" s="11" t="s">
        <v>20</v>
      </c>
      <c r="C417" s="11" t="s">
        <v>562</v>
      </c>
      <c r="D417" s="11" t="s">
        <v>101</v>
      </c>
      <c r="E417" s="11" t="s">
        <v>774</v>
      </c>
      <c r="F417" s="11" t="s">
        <v>775</v>
      </c>
      <c r="G417" s="22"/>
      <c r="H417" s="24">
        <v>278.0</v>
      </c>
      <c r="I417" s="21">
        <f t="shared" si="7"/>
        <v>17514</v>
      </c>
      <c r="J417" s="16">
        <f t="shared" si="1"/>
        <v>26271</v>
      </c>
      <c r="K417" s="16">
        <f t="shared" si="2"/>
        <v>22768.2</v>
      </c>
      <c r="L417" s="16">
        <f t="shared" si="3"/>
        <v>22768.2</v>
      </c>
      <c r="M417" s="16">
        <f t="shared" si="4"/>
        <v>21016.8</v>
      </c>
      <c r="N417" s="16">
        <f t="shared" si="5"/>
        <v>20141.1</v>
      </c>
      <c r="O417" s="16">
        <f t="shared" si="6"/>
        <v>19265.4</v>
      </c>
    </row>
    <row r="418">
      <c r="A418" s="11" t="s">
        <v>99</v>
      </c>
      <c r="B418" s="11" t="s">
        <v>20</v>
      </c>
      <c r="C418" s="11" t="s">
        <v>562</v>
      </c>
      <c r="D418" s="11" t="s">
        <v>101</v>
      </c>
      <c r="E418" s="11" t="s">
        <v>776</v>
      </c>
      <c r="F418" s="11" t="s">
        <v>777</v>
      </c>
      <c r="G418" s="22"/>
      <c r="H418" s="24">
        <v>330.0</v>
      </c>
      <c r="I418" s="21">
        <f t="shared" si="7"/>
        <v>20790</v>
      </c>
      <c r="J418" s="16">
        <f t="shared" si="1"/>
        <v>31185</v>
      </c>
      <c r="K418" s="16">
        <f t="shared" si="2"/>
        <v>27027</v>
      </c>
      <c r="L418" s="16">
        <f t="shared" si="3"/>
        <v>27027</v>
      </c>
      <c r="M418" s="16">
        <f t="shared" si="4"/>
        <v>24948</v>
      </c>
      <c r="N418" s="16">
        <f t="shared" si="5"/>
        <v>23908.5</v>
      </c>
      <c r="O418" s="16">
        <f t="shared" si="6"/>
        <v>22869</v>
      </c>
    </row>
    <row r="419">
      <c r="A419" s="11" t="s">
        <v>99</v>
      </c>
      <c r="B419" s="11" t="s">
        <v>20</v>
      </c>
      <c r="C419" s="11" t="s">
        <v>562</v>
      </c>
      <c r="D419" s="11" t="s">
        <v>101</v>
      </c>
      <c r="E419" s="11" t="s">
        <v>778</v>
      </c>
      <c r="F419" s="11" t="s">
        <v>779</v>
      </c>
      <c r="G419" s="22"/>
      <c r="H419" s="24">
        <v>377.5</v>
      </c>
      <c r="I419" s="21">
        <f t="shared" si="7"/>
        <v>23782.5</v>
      </c>
      <c r="J419" s="16">
        <f t="shared" si="1"/>
        <v>35673.75</v>
      </c>
      <c r="K419" s="16">
        <f t="shared" si="2"/>
        <v>30917.25</v>
      </c>
      <c r="L419" s="16">
        <f t="shared" si="3"/>
        <v>30917.25</v>
      </c>
      <c r="M419" s="16">
        <f t="shared" si="4"/>
        <v>28539</v>
      </c>
      <c r="N419" s="16">
        <f t="shared" si="5"/>
        <v>27349.875</v>
      </c>
      <c r="O419" s="16">
        <f t="shared" si="6"/>
        <v>26160.75</v>
      </c>
    </row>
    <row r="420">
      <c r="A420" s="11" t="s">
        <v>99</v>
      </c>
      <c r="B420" s="11" t="s">
        <v>20</v>
      </c>
      <c r="C420" s="11">
        <v>724.0</v>
      </c>
      <c r="D420" s="11" t="s">
        <v>101</v>
      </c>
      <c r="E420" s="11">
        <v>724.0</v>
      </c>
      <c r="F420" s="11" t="s">
        <v>780</v>
      </c>
      <c r="G420" s="22"/>
      <c r="H420" s="24">
        <v>30.0</v>
      </c>
      <c r="I420" s="21">
        <f t="shared" si="7"/>
        <v>1890</v>
      </c>
      <c r="J420" s="16">
        <f t="shared" si="1"/>
        <v>2835</v>
      </c>
      <c r="K420" s="16">
        <f t="shared" si="2"/>
        <v>2457</v>
      </c>
      <c r="L420" s="16">
        <f t="shared" si="3"/>
        <v>2457</v>
      </c>
      <c r="M420" s="16">
        <f t="shared" si="4"/>
        <v>2268</v>
      </c>
      <c r="N420" s="16">
        <f t="shared" si="5"/>
        <v>2173.5</v>
      </c>
      <c r="O420" s="16">
        <f t="shared" si="6"/>
        <v>2079</v>
      </c>
    </row>
    <row r="421">
      <c r="A421" s="11" t="s">
        <v>99</v>
      </c>
      <c r="B421" s="11" t="s">
        <v>20</v>
      </c>
      <c r="C421" s="11" t="s">
        <v>781</v>
      </c>
      <c r="D421" s="11" t="s">
        <v>159</v>
      </c>
      <c r="E421" s="11" t="s">
        <v>782</v>
      </c>
      <c r="F421" s="11" t="s">
        <v>783</v>
      </c>
      <c r="G421" s="22"/>
      <c r="H421" s="24">
        <v>28.5</v>
      </c>
      <c r="I421" s="21">
        <f t="shared" si="7"/>
        <v>1795.5</v>
      </c>
      <c r="J421" s="16">
        <f t="shared" si="1"/>
        <v>2693.25</v>
      </c>
      <c r="K421" s="16">
        <f t="shared" si="2"/>
        <v>2334.15</v>
      </c>
      <c r="L421" s="16">
        <f t="shared" si="3"/>
        <v>2334.15</v>
      </c>
      <c r="M421" s="16">
        <f t="shared" si="4"/>
        <v>2154.6</v>
      </c>
      <c r="N421" s="16">
        <f t="shared" si="5"/>
        <v>2064.825</v>
      </c>
      <c r="O421" s="16">
        <f t="shared" si="6"/>
        <v>1975.05</v>
      </c>
    </row>
    <row r="422">
      <c r="A422" s="11" t="s">
        <v>99</v>
      </c>
      <c r="B422" s="11" t="s">
        <v>20</v>
      </c>
      <c r="C422" s="11" t="s">
        <v>781</v>
      </c>
      <c r="D422" s="11" t="s">
        <v>159</v>
      </c>
      <c r="E422" s="11" t="s">
        <v>784</v>
      </c>
      <c r="F422" s="11" t="s">
        <v>785</v>
      </c>
      <c r="G422" s="22"/>
      <c r="H422" s="24">
        <v>29.5</v>
      </c>
      <c r="I422" s="21">
        <f t="shared" si="7"/>
        <v>1858.5</v>
      </c>
      <c r="J422" s="16">
        <f t="shared" si="1"/>
        <v>2787.75</v>
      </c>
      <c r="K422" s="16">
        <f t="shared" si="2"/>
        <v>2416.05</v>
      </c>
      <c r="L422" s="16">
        <f t="shared" si="3"/>
        <v>2416.05</v>
      </c>
      <c r="M422" s="16">
        <f t="shared" si="4"/>
        <v>2230.2</v>
      </c>
      <c r="N422" s="16">
        <f t="shared" si="5"/>
        <v>2137.275</v>
      </c>
      <c r="O422" s="16">
        <f t="shared" si="6"/>
        <v>2044.35</v>
      </c>
    </row>
    <row r="423">
      <c r="A423" s="11" t="s">
        <v>99</v>
      </c>
      <c r="B423" s="11" t="s">
        <v>20</v>
      </c>
      <c r="C423" s="11" t="s">
        <v>781</v>
      </c>
      <c r="D423" s="11" t="s">
        <v>159</v>
      </c>
      <c r="E423" s="11" t="s">
        <v>786</v>
      </c>
      <c r="F423" s="11" t="s">
        <v>787</v>
      </c>
      <c r="G423" s="22"/>
      <c r="H423" s="24">
        <v>36.0</v>
      </c>
      <c r="I423" s="21">
        <f t="shared" si="7"/>
        <v>2268</v>
      </c>
      <c r="J423" s="16">
        <f t="shared" si="1"/>
        <v>3402</v>
      </c>
      <c r="K423" s="16">
        <f t="shared" si="2"/>
        <v>2948.4</v>
      </c>
      <c r="L423" s="16">
        <f t="shared" si="3"/>
        <v>2948.4</v>
      </c>
      <c r="M423" s="16">
        <f t="shared" si="4"/>
        <v>2721.6</v>
      </c>
      <c r="N423" s="16">
        <f t="shared" si="5"/>
        <v>2608.2</v>
      </c>
      <c r="O423" s="16">
        <f t="shared" si="6"/>
        <v>2494.8</v>
      </c>
    </row>
    <row r="424">
      <c r="A424" s="11" t="s">
        <v>99</v>
      </c>
      <c r="B424" s="11" t="s">
        <v>20</v>
      </c>
      <c r="C424" s="11" t="s">
        <v>781</v>
      </c>
      <c r="D424" s="11" t="s">
        <v>159</v>
      </c>
      <c r="E424" s="11" t="s">
        <v>788</v>
      </c>
      <c r="F424" s="11" t="s">
        <v>789</v>
      </c>
      <c r="G424" s="22"/>
      <c r="H424" s="24">
        <v>41.505</v>
      </c>
      <c r="I424" s="21">
        <f t="shared" si="7"/>
        <v>2614.815</v>
      </c>
      <c r="J424" s="16">
        <f t="shared" si="1"/>
        <v>3922.2225</v>
      </c>
      <c r="K424" s="16">
        <f t="shared" si="2"/>
        <v>3399.2595</v>
      </c>
      <c r="L424" s="16">
        <f t="shared" si="3"/>
        <v>3399.2595</v>
      </c>
      <c r="M424" s="16">
        <f t="shared" si="4"/>
        <v>3137.778</v>
      </c>
      <c r="N424" s="16">
        <f t="shared" si="5"/>
        <v>3007.03725</v>
      </c>
      <c r="O424" s="16">
        <f t="shared" si="6"/>
        <v>2876.2965</v>
      </c>
    </row>
    <row r="425">
      <c r="A425" s="11" t="s">
        <v>99</v>
      </c>
      <c r="B425" s="11" t="s">
        <v>20</v>
      </c>
      <c r="C425" s="11" t="s">
        <v>781</v>
      </c>
      <c r="D425" s="11" t="s">
        <v>159</v>
      </c>
      <c r="E425" s="11" t="s">
        <v>790</v>
      </c>
      <c r="F425" s="11" t="s">
        <v>791</v>
      </c>
      <c r="G425" s="22"/>
      <c r="H425" s="24">
        <v>49.0</v>
      </c>
      <c r="I425" s="21">
        <f t="shared" si="7"/>
        <v>3087</v>
      </c>
      <c r="J425" s="16">
        <f t="shared" si="1"/>
        <v>4630.5</v>
      </c>
      <c r="K425" s="16">
        <f t="shared" si="2"/>
        <v>4013.1</v>
      </c>
      <c r="L425" s="16">
        <f t="shared" si="3"/>
        <v>4013.1</v>
      </c>
      <c r="M425" s="16">
        <f t="shared" si="4"/>
        <v>3704.4</v>
      </c>
      <c r="N425" s="16">
        <f t="shared" si="5"/>
        <v>3550.05</v>
      </c>
      <c r="O425" s="16">
        <f t="shared" si="6"/>
        <v>3395.7</v>
      </c>
    </row>
    <row r="426">
      <c r="A426" s="11" t="s">
        <v>99</v>
      </c>
      <c r="B426" s="11" t="s">
        <v>20</v>
      </c>
      <c r="C426" s="11" t="s">
        <v>781</v>
      </c>
      <c r="D426" s="11" t="s">
        <v>159</v>
      </c>
      <c r="E426" s="11" t="s">
        <v>792</v>
      </c>
      <c r="F426" s="11" t="s">
        <v>793</v>
      </c>
      <c r="G426" s="22"/>
      <c r="H426" s="24">
        <v>54.0</v>
      </c>
      <c r="I426" s="21">
        <f t="shared" si="7"/>
        <v>3402</v>
      </c>
      <c r="J426" s="16">
        <f t="shared" si="1"/>
        <v>5103</v>
      </c>
      <c r="K426" s="16">
        <f t="shared" si="2"/>
        <v>4422.6</v>
      </c>
      <c r="L426" s="16">
        <f t="shared" si="3"/>
        <v>4422.6</v>
      </c>
      <c r="M426" s="16">
        <f t="shared" si="4"/>
        <v>4082.4</v>
      </c>
      <c r="N426" s="16">
        <f t="shared" si="5"/>
        <v>3912.3</v>
      </c>
      <c r="O426" s="16">
        <f t="shared" si="6"/>
        <v>3742.2</v>
      </c>
    </row>
    <row r="427">
      <c r="A427" s="11" t="s">
        <v>99</v>
      </c>
      <c r="B427" s="11" t="s">
        <v>20</v>
      </c>
      <c r="C427" s="11" t="s">
        <v>781</v>
      </c>
      <c r="D427" s="11" t="s">
        <v>159</v>
      </c>
      <c r="E427" s="11" t="s">
        <v>794</v>
      </c>
      <c r="F427" s="11" t="s">
        <v>795</v>
      </c>
      <c r="G427" s="22"/>
      <c r="H427" s="24">
        <v>58.5</v>
      </c>
      <c r="I427" s="21">
        <f t="shared" si="7"/>
        <v>3685.5</v>
      </c>
      <c r="J427" s="16">
        <f t="shared" si="1"/>
        <v>5528.25</v>
      </c>
      <c r="K427" s="16">
        <f t="shared" si="2"/>
        <v>4791.15</v>
      </c>
      <c r="L427" s="16">
        <f t="shared" si="3"/>
        <v>4791.15</v>
      </c>
      <c r="M427" s="16">
        <f t="shared" si="4"/>
        <v>4422.6</v>
      </c>
      <c r="N427" s="16">
        <f t="shared" si="5"/>
        <v>4238.325</v>
      </c>
      <c r="O427" s="16">
        <f t="shared" si="6"/>
        <v>4054.05</v>
      </c>
    </row>
    <row r="428">
      <c r="A428" s="11" t="s">
        <v>99</v>
      </c>
      <c r="B428" s="11" t="s">
        <v>20</v>
      </c>
      <c r="C428" s="11" t="s">
        <v>781</v>
      </c>
      <c r="D428" s="11" t="s">
        <v>159</v>
      </c>
      <c r="E428" s="11" t="s">
        <v>796</v>
      </c>
      <c r="F428" s="11" t="s">
        <v>797</v>
      </c>
      <c r="G428" s="22"/>
      <c r="H428" s="24">
        <v>44.5</v>
      </c>
      <c r="I428" s="21">
        <f t="shared" si="7"/>
        <v>2803.5</v>
      </c>
      <c r="J428" s="16">
        <f t="shared" si="1"/>
        <v>4205.25</v>
      </c>
      <c r="K428" s="16">
        <f t="shared" si="2"/>
        <v>3644.55</v>
      </c>
      <c r="L428" s="16">
        <f t="shared" si="3"/>
        <v>3644.55</v>
      </c>
      <c r="M428" s="16">
        <f t="shared" si="4"/>
        <v>3364.2</v>
      </c>
      <c r="N428" s="16">
        <f t="shared" si="5"/>
        <v>3224.025</v>
      </c>
      <c r="O428" s="16">
        <f t="shared" si="6"/>
        <v>3083.85</v>
      </c>
    </row>
    <row r="429">
      <c r="A429" s="11" t="s">
        <v>99</v>
      </c>
      <c r="B429" s="11" t="s">
        <v>20</v>
      </c>
      <c r="C429" s="11" t="s">
        <v>781</v>
      </c>
      <c r="D429" s="11" t="s">
        <v>159</v>
      </c>
      <c r="E429" s="11" t="s">
        <v>798</v>
      </c>
      <c r="F429" s="11" t="s">
        <v>799</v>
      </c>
      <c r="G429" s="22"/>
      <c r="H429" s="24">
        <v>51.0</v>
      </c>
      <c r="I429" s="21">
        <f t="shared" si="7"/>
        <v>3213</v>
      </c>
      <c r="J429" s="16">
        <f t="shared" si="1"/>
        <v>4819.5</v>
      </c>
      <c r="K429" s="16">
        <f t="shared" si="2"/>
        <v>4176.9</v>
      </c>
      <c r="L429" s="16">
        <f t="shared" si="3"/>
        <v>4176.9</v>
      </c>
      <c r="M429" s="16">
        <f t="shared" si="4"/>
        <v>3855.6</v>
      </c>
      <c r="N429" s="16">
        <f t="shared" si="5"/>
        <v>3694.95</v>
      </c>
      <c r="O429" s="16">
        <f t="shared" si="6"/>
        <v>3534.3</v>
      </c>
    </row>
    <row r="430">
      <c r="A430" s="11" t="s">
        <v>99</v>
      </c>
      <c r="B430" s="11" t="s">
        <v>20</v>
      </c>
      <c r="C430" s="11" t="s">
        <v>781</v>
      </c>
      <c r="D430" s="11" t="s">
        <v>159</v>
      </c>
      <c r="E430" s="11" t="s">
        <v>800</v>
      </c>
      <c r="F430" s="11" t="s">
        <v>801</v>
      </c>
      <c r="G430" s="22"/>
      <c r="H430" s="24">
        <v>57.5</v>
      </c>
      <c r="I430" s="21">
        <f t="shared" si="7"/>
        <v>3622.5</v>
      </c>
      <c r="J430" s="16">
        <f t="shared" si="1"/>
        <v>5433.75</v>
      </c>
      <c r="K430" s="16">
        <f t="shared" si="2"/>
        <v>4709.25</v>
      </c>
      <c r="L430" s="16">
        <f t="shared" si="3"/>
        <v>4709.25</v>
      </c>
      <c r="M430" s="16">
        <f t="shared" si="4"/>
        <v>4347</v>
      </c>
      <c r="N430" s="16">
        <f t="shared" si="5"/>
        <v>4165.875</v>
      </c>
      <c r="O430" s="16">
        <f t="shared" si="6"/>
        <v>3984.75</v>
      </c>
    </row>
    <row r="431">
      <c r="A431" s="11" t="s">
        <v>99</v>
      </c>
      <c r="B431" s="11" t="s">
        <v>20</v>
      </c>
      <c r="C431" s="11" t="s">
        <v>781</v>
      </c>
      <c r="D431" s="11" t="s">
        <v>159</v>
      </c>
      <c r="E431" s="11" t="s">
        <v>802</v>
      </c>
      <c r="F431" s="11" t="s">
        <v>803</v>
      </c>
      <c r="G431" s="22"/>
      <c r="H431" s="24">
        <v>64.0</v>
      </c>
      <c r="I431" s="21">
        <f t="shared" si="7"/>
        <v>4032</v>
      </c>
      <c r="J431" s="16">
        <f t="shared" si="1"/>
        <v>6048</v>
      </c>
      <c r="K431" s="16">
        <f t="shared" si="2"/>
        <v>5241.6</v>
      </c>
      <c r="L431" s="16">
        <f t="shared" si="3"/>
        <v>5241.6</v>
      </c>
      <c r="M431" s="16">
        <f t="shared" si="4"/>
        <v>4838.4</v>
      </c>
      <c r="N431" s="16">
        <f t="shared" si="5"/>
        <v>4636.8</v>
      </c>
      <c r="O431" s="16">
        <f t="shared" si="6"/>
        <v>4435.2</v>
      </c>
    </row>
    <row r="432">
      <c r="A432" s="11" t="s">
        <v>99</v>
      </c>
      <c r="B432" s="11" t="s">
        <v>20</v>
      </c>
      <c r="C432" s="11" t="s">
        <v>781</v>
      </c>
      <c r="D432" s="11" t="s">
        <v>159</v>
      </c>
      <c r="E432" s="11" t="s">
        <v>804</v>
      </c>
      <c r="F432" s="11" t="s">
        <v>805</v>
      </c>
      <c r="G432" s="22"/>
      <c r="H432" s="24">
        <v>39.0</v>
      </c>
      <c r="I432" s="21">
        <f t="shared" si="7"/>
        <v>2457</v>
      </c>
      <c r="J432" s="16">
        <f t="shared" si="1"/>
        <v>3685.5</v>
      </c>
      <c r="K432" s="16">
        <f t="shared" si="2"/>
        <v>3194.1</v>
      </c>
      <c r="L432" s="16">
        <f t="shared" si="3"/>
        <v>3194.1</v>
      </c>
      <c r="M432" s="16">
        <f t="shared" si="4"/>
        <v>2948.4</v>
      </c>
      <c r="N432" s="16">
        <f t="shared" si="5"/>
        <v>2825.55</v>
      </c>
      <c r="O432" s="16">
        <f t="shared" si="6"/>
        <v>2702.7</v>
      </c>
    </row>
    <row r="433">
      <c r="A433" s="11" t="s">
        <v>99</v>
      </c>
      <c r="B433" s="11" t="s">
        <v>20</v>
      </c>
      <c r="C433" s="11" t="s">
        <v>323</v>
      </c>
      <c r="D433" s="11" t="s">
        <v>159</v>
      </c>
      <c r="E433" s="11" t="s">
        <v>474</v>
      </c>
      <c r="F433" s="11" t="s">
        <v>475</v>
      </c>
      <c r="G433" s="22"/>
      <c r="H433" s="24">
        <v>29.0</v>
      </c>
      <c r="I433" s="21">
        <f t="shared" si="7"/>
        <v>1827</v>
      </c>
      <c r="J433" s="16">
        <f t="shared" si="1"/>
        <v>2740.5</v>
      </c>
      <c r="K433" s="16">
        <f t="shared" si="2"/>
        <v>2375.1</v>
      </c>
      <c r="L433" s="16">
        <f t="shared" si="3"/>
        <v>2375.1</v>
      </c>
      <c r="M433" s="16">
        <f t="shared" si="4"/>
        <v>2192.4</v>
      </c>
      <c r="N433" s="16">
        <f t="shared" si="5"/>
        <v>2101.05</v>
      </c>
      <c r="O433" s="16">
        <f t="shared" si="6"/>
        <v>2009.7</v>
      </c>
    </row>
    <row r="434">
      <c r="A434" s="11" t="s">
        <v>99</v>
      </c>
      <c r="B434" s="11" t="s">
        <v>20</v>
      </c>
      <c r="C434" s="11" t="s">
        <v>323</v>
      </c>
      <c r="D434" s="11" t="s">
        <v>159</v>
      </c>
      <c r="E434" s="11" t="s">
        <v>806</v>
      </c>
      <c r="F434" s="11" t="s">
        <v>807</v>
      </c>
      <c r="G434" s="22"/>
      <c r="H434" s="24">
        <v>51.5</v>
      </c>
      <c r="I434" s="21">
        <f t="shared" si="7"/>
        <v>3244.5</v>
      </c>
      <c r="J434" s="16">
        <f t="shared" si="1"/>
        <v>4866.75</v>
      </c>
      <c r="K434" s="16">
        <f t="shared" si="2"/>
        <v>4217.85</v>
      </c>
      <c r="L434" s="16">
        <f t="shared" si="3"/>
        <v>4217.85</v>
      </c>
      <c r="M434" s="16">
        <f t="shared" si="4"/>
        <v>3893.4</v>
      </c>
      <c r="N434" s="16">
        <f t="shared" si="5"/>
        <v>3731.175</v>
      </c>
      <c r="O434" s="16">
        <f t="shared" si="6"/>
        <v>3568.95</v>
      </c>
    </row>
    <row r="435">
      <c r="A435" s="11" t="s">
        <v>99</v>
      </c>
      <c r="B435" s="11" t="s">
        <v>20</v>
      </c>
      <c r="C435" s="11" t="s">
        <v>323</v>
      </c>
      <c r="D435" s="11" t="s">
        <v>159</v>
      </c>
      <c r="E435" s="11" t="s">
        <v>808</v>
      </c>
      <c r="F435" s="11" t="s">
        <v>809</v>
      </c>
      <c r="G435" s="22"/>
      <c r="H435" s="24">
        <v>96.505</v>
      </c>
      <c r="I435" s="21">
        <f t="shared" si="7"/>
        <v>6079.815</v>
      </c>
      <c r="J435" s="16">
        <f t="shared" si="1"/>
        <v>9119.7225</v>
      </c>
      <c r="K435" s="16">
        <f t="shared" si="2"/>
        <v>7903.7595</v>
      </c>
      <c r="L435" s="16">
        <f t="shared" si="3"/>
        <v>7903.7595</v>
      </c>
      <c r="M435" s="16">
        <f t="shared" si="4"/>
        <v>7295.778</v>
      </c>
      <c r="N435" s="16">
        <f t="shared" si="5"/>
        <v>6991.78725</v>
      </c>
      <c r="O435" s="16">
        <f t="shared" si="6"/>
        <v>6687.7965</v>
      </c>
    </row>
    <row r="436">
      <c r="A436" s="11" t="s">
        <v>99</v>
      </c>
      <c r="B436" s="11" t="s">
        <v>20</v>
      </c>
      <c r="C436" s="11" t="s">
        <v>323</v>
      </c>
      <c r="D436" s="11" t="s">
        <v>159</v>
      </c>
      <c r="E436" s="11" t="s">
        <v>810</v>
      </c>
      <c r="F436" s="11" t="s">
        <v>811</v>
      </c>
      <c r="G436" s="22"/>
      <c r="H436" s="24">
        <v>16.5</v>
      </c>
      <c r="I436" s="21">
        <f t="shared" si="7"/>
        <v>1039.5</v>
      </c>
      <c r="J436" s="16">
        <f t="shared" si="1"/>
        <v>1559.25</v>
      </c>
      <c r="K436" s="16">
        <f t="shared" si="2"/>
        <v>1351.35</v>
      </c>
      <c r="L436" s="16">
        <f t="shared" si="3"/>
        <v>1351.35</v>
      </c>
      <c r="M436" s="16">
        <f t="shared" si="4"/>
        <v>1247.4</v>
      </c>
      <c r="N436" s="16">
        <f t="shared" si="5"/>
        <v>1195.425</v>
      </c>
      <c r="O436" s="16">
        <f t="shared" si="6"/>
        <v>1143.45</v>
      </c>
    </row>
    <row r="437">
      <c r="A437" s="11" t="s">
        <v>99</v>
      </c>
      <c r="B437" s="11" t="s">
        <v>20</v>
      </c>
      <c r="C437" s="11" t="s">
        <v>179</v>
      </c>
      <c r="D437" s="11" t="s">
        <v>159</v>
      </c>
      <c r="E437" s="11" t="s">
        <v>812</v>
      </c>
      <c r="F437" s="11" t="s">
        <v>813</v>
      </c>
      <c r="G437" s="22"/>
      <c r="H437" s="24">
        <v>215.0</v>
      </c>
      <c r="I437" s="21">
        <f t="shared" si="7"/>
        <v>13545</v>
      </c>
      <c r="J437" s="16">
        <f t="shared" si="1"/>
        <v>20317.5</v>
      </c>
      <c r="K437" s="16">
        <f t="shared" si="2"/>
        <v>17608.5</v>
      </c>
      <c r="L437" s="16">
        <f t="shared" si="3"/>
        <v>17608.5</v>
      </c>
      <c r="M437" s="16">
        <f t="shared" si="4"/>
        <v>16254</v>
      </c>
      <c r="N437" s="16">
        <f t="shared" si="5"/>
        <v>15576.75</v>
      </c>
      <c r="O437" s="16">
        <f t="shared" si="6"/>
        <v>14899.5</v>
      </c>
    </row>
    <row r="438">
      <c r="A438" s="11" t="s">
        <v>99</v>
      </c>
      <c r="B438" s="11" t="s">
        <v>20</v>
      </c>
      <c r="C438" s="11" t="s">
        <v>179</v>
      </c>
      <c r="D438" s="11" t="s">
        <v>159</v>
      </c>
      <c r="E438" s="11" t="s">
        <v>184</v>
      </c>
      <c r="F438" s="11" t="s">
        <v>185</v>
      </c>
      <c r="G438" s="22"/>
      <c r="H438" s="24">
        <v>96.5</v>
      </c>
      <c r="I438" s="21">
        <f t="shared" si="7"/>
        <v>6079.5</v>
      </c>
      <c r="J438" s="16">
        <f t="shared" si="1"/>
        <v>9119.25</v>
      </c>
      <c r="K438" s="16">
        <f t="shared" si="2"/>
        <v>7903.35</v>
      </c>
      <c r="L438" s="16">
        <f t="shared" si="3"/>
        <v>7903.35</v>
      </c>
      <c r="M438" s="16">
        <f t="shared" si="4"/>
        <v>7295.4</v>
      </c>
      <c r="N438" s="16">
        <f t="shared" si="5"/>
        <v>6991.425</v>
      </c>
      <c r="O438" s="16">
        <f t="shared" si="6"/>
        <v>6687.45</v>
      </c>
    </row>
    <row r="439">
      <c r="A439" s="11" t="s">
        <v>99</v>
      </c>
      <c r="B439" s="11" t="s">
        <v>20</v>
      </c>
      <c r="C439" s="11" t="s">
        <v>179</v>
      </c>
      <c r="D439" s="11" t="s">
        <v>159</v>
      </c>
      <c r="E439" s="11" t="s">
        <v>814</v>
      </c>
      <c r="F439" s="11" t="s">
        <v>815</v>
      </c>
      <c r="G439" s="22"/>
      <c r="H439" s="24">
        <v>64.5</v>
      </c>
      <c r="I439" s="21">
        <f t="shared" si="7"/>
        <v>4063.5</v>
      </c>
      <c r="J439" s="16">
        <f t="shared" si="1"/>
        <v>6095.25</v>
      </c>
      <c r="K439" s="16">
        <f t="shared" si="2"/>
        <v>5282.55</v>
      </c>
      <c r="L439" s="16">
        <f t="shared" si="3"/>
        <v>5282.55</v>
      </c>
      <c r="M439" s="16">
        <f t="shared" si="4"/>
        <v>4876.2</v>
      </c>
      <c r="N439" s="16">
        <f t="shared" si="5"/>
        <v>4673.025</v>
      </c>
      <c r="O439" s="16">
        <f t="shared" si="6"/>
        <v>4469.85</v>
      </c>
    </row>
    <row r="440">
      <c r="A440" s="11" t="s">
        <v>99</v>
      </c>
      <c r="B440" s="11" t="s">
        <v>20</v>
      </c>
      <c r="C440" s="11" t="s">
        <v>179</v>
      </c>
      <c r="D440" s="11" t="s">
        <v>159</v>
      </c>
      <c r="E440" s="11" t="s">
        <v>816</v>
      </c>
      <c r="F440" s="11" t="s">
        <v>817</v>
      </c>
      <c r="G440" s="22"/>
      <c r="H440" s="24">
        <v>24.5</v>
      </c>
      <c r="I440" s="21">
        <f t="shared" si="7"/>
        <v>1543.5</v>
      </c>
      <c r="J440" s="16">
        <f t="shared" si="1"/>
        <v>2315.25</v>
      </c>
      <c r="K440" s="16">
        <f t="shared" si="2"/>
        <v>2006.55</v>
      </c>
      <c r="L440" s="16">
        <f t="shared" si="3"/>
        <v>2006.55</v>
      </c>
      <c r="M440" s="16">
        <f t="shared" si="4"/>
        <v>1852.2</v>
      </c>
      <c r="N440" s="16">
        <f t="shared" si="5"/>
        <v>1775.025</v>
      </c>
      <c r="O440" s="16">
        <f t="shared" si="6"/>
        <v>1697.85</v>
      </c>
    </row>
    <row r="441">
      <c r="A441" s="11" t="s">
        <v>99</v>
      </c>
      <c r="B441" s="11" t="s">
        <v>20</v>
      </c>
      <c r="C441" s="11" t="s">
        <v>179</v>
      </c>
      <c r="D441" s="11" t="s">
        <v>159</v>
      </c>
      <c r="E441" s="11" t="s">
        <v>818</v>
      </c>
      <c r="F441" s="11" t="s">
        <v>819</v>
      </c>
      <c r="G441" s="22"/>
      <c r="H441" s="24">
        <v>247.5</v>
      </c>
      <c r="I441" s="21">
        <f t="shared" si="7"/>
        <v>15592.5</v>
      </c>
      <c r="J441" s="16">
        <f t="shared" si="1"/>
        <v>23388.75</v>
      </c>
      <c r="K441" s="16">
        <f t="shared" si="2"/>
        <v>20270.25</v>
      </c>
      <c r="L441" s="16">
        <f t="shared" si="3"/>
        <v>20270.25</v>
      </c>
      <c r="M441" s="16">
        <f t="shared" si="4"/>
        <v>18711</v>
      </c>
      <c r="N441" s="16">
        <f t="shared" si="5"/>
        <v>17931.375</v>
      </c>
      <c r="O441" s="16">
        <f t="shared" si="6"/>
        <v>17151.75</v>
      </c>
    </row>
    <row r="442">
      <c r="A442" s="11" t="s">
        <v>99</v>
      </c>
      <c r="B442" s="11" t="s">
        <v>20</v>
      </c>
      <c r="C442" s="11" t="s">
        <v>179</v>
      </c>
      <c r="D442" s="11" t="s">
        <v>159</v>
      </c>
      <c r="E442" s="11" t="s">
        <v>820</v>
      </c>
      <c r="F442" s="11" t="s">
        <v>821</v>
      </c>
      <c r="G442" s="22"/>
      <c r="H442" s="24">
        <v>269.0</v>
      </c>
      <c r="I442" s="21">
        <f t="shared" si="7"/>
        <v>16947</v>
      </c>
      <c r="J442" s="16">
        <f t="shared" si="1"/>
        <v>25420.5</v>
      </c>
      <c r="K442" s="16">
        <f t="shared" si="2"/>
        <v>22031.1</v>
      </c>
      <c r="L442" s="16">
        <f t="shared" si="3"/>
        <v>22031.1</v>
      </c>
      <c r="M442" s="16">
        <f t="shared" si="4"/>
        <v>20336.4</v>
      </c>
      <c r="N442" s="16">
        <f t="shared" si="5"/>
        <v>19489.05</v>
      </c>
      <c r="O442" s="16">
        <f t="shared" si="6"/>
        <v>18641.7</v>
      </c>
    </row>
    <row r="443">
      <c r="A443" s="11" t="s">
        <v>99</v>
      </c>
      <c r="B443" s="11" t="s">
        <v>20</v>
      </c>
      <c r="C443" s="11" t="s">
        <v>179</v>
      </c>
      <c r="D443" s="11" t="s">
        <v>159</v>
      </c>
      <c r="E443" s="11" t="s">
        <v>822</v>
      </c>
      <c r="F443" s="11" t="s">
        <v>823</v>
      </c>
      <c r="G443" s="22"/>
      <c r="H443" s="24">
        <v>366.5</v>
      </c>
      <c r="I443" s="21">
        <f t="shared" si="7"/>
        <v>23089.5</v>
      </c>
      <c r="J443" s="16">
        <f t="shared" si="1"/>
        <v>34634.25</v>
      </c>
      <c r="K443" s="16">
        <f t="shared" si="2"/>
        <v>30016.35</v>
      </c>
      <c r="L443" s="16">
        <f t="shared" si="3"/>
        <v>30016.35</v>
      </c>
      <c r="M443" s="16">
        <f t="shared" si="4"/>
        <v>27707.4</v>
      </c>
      <c r="N443" s="16">
        <f t="shared" si="5"/>
        <v>26552.925</v>
      </c>
      <c r="O443" s="16">
        <f t="shared" si="6"/>
        <v>25398.45</v>
      </c>
    </row>
    <row r="444">
      <c r="A444" s="11" t="s">
        <v>99</v>
      </c>
      <c r="B444" s="11" t="s">
        <v>20</v>
      </c>
      <c r="C444" s="11" t="s">
        <v>323</v>
      </c>
      <c r="D444" s="11" t="s">
        <v>159</v>
      </c>
      <c r="E444" s="11" t="s">
        <v>824</v>
      </c>
      <c r="F444" s="11" t="s">
        <v>825</v>
      </c>
      <c r="G444" s="22"/>
      <c r="H444" s="24">
        <v>659.0</v>
      </c>
      <c r="I444" s="21">
        <f t="shared" si="7"/>
        <v>41517</v>
      </c>
      <c r="J444" s="16">
        <f t="shared" si="1"/>
        <v>62275.5</v>
      </c>
      <c r="K444" s="16">
        <f t="shared" si="2"/>
        <v>53972.1</v>
      </c>
      <c r="L444" s="16">
        <f t="shared" si="3"/>
        <v>53972.1</v>
      </c>
      <c r="M444" s="16">
        <f t="shared" si="4"/>
        <v>49820.4</v>
      </c>
      <c r="N444" s="16">
        <f t="shared" si="5"/>
        <v>47744.55</v>
      </c>
      <c r="O444" s="16">
        <f t="shared" si="6"/>
        <v>45668.7</v>
      </c>
    </row>
    <row r="445">
      <c r="A445" s="11" t="s">
        <v>99</v>
      </c>
      <c r="B445" s="11" t="s">
        <v>20</v>
      </c>
      <c r="C445" s="11" t="s">
        <v>323</v>
      </c>
      <c r="D445" s="11" t="s">
        <v>159</v>
      </c>
      <c r="E445" s="11" t="s">
        <v>826</v>
      </c>
      <c r="F445" s="11" t="s">
        <v>827</v>
      </c>
      <c r="G445" s="22"/>
      <c r="H445" s="24">
        <v>215.0</v>
      </c>
      <c r="I445" s="21">
        <f t="shared" si="7"/>
        <v>13545</v>
      </c>
      <c r="J445" s="16">
        <f t="shared" si="1"/>
        <v>20317.5</v>
      </c>
      <c r="K445" s="16">
        <f t="shared" si="2"/>
        <v>17608.5</v>
      </c>
      <c r="L445" s="16">
        <f t="shared" si="3"/>
        <v>17608.5</v>
      </c>
      <c r="M445" s="16">
        <f t="shared" si="4"/>
        <v>16254</v>
      </c>
      <c r="N445" s="16">
        <f t="shared" si="5"/>
        <v>15576.75</v>
      </c>
      <c r="O445" s="16">
        <f t="shared" si="6"/>
        <v>14899.5</v>
      </c>
    </row>
    <row r="446">
      <c r="A446" s="11" t="s">
        <v>99</v>
      </c>
      <c r="B446" s="11" t="s">
        <v>20</v>
      </c>
      <c r="C446" s="11" t="s">
        <v>323</v>
      </c>
      <c r="D446" s="11" t="s">
        <v>159</v>
      </c>
      <c r="E446" s="11" t="s">
        <v>828</v>
      </c>
      <c r="F446" s="11" t="s">
        <v>829</v>
      </c>
      <c r="G446" s="22"/>
      <c r="H446" s="24">
        <v>486.0</v>
      </c>
      <c r="I446" s="21">
        <f t="shared" si="7"/>
        <v>30618</v>
      </c>
      <c r="J446" s="16">
        <f t="shared" si="1"/>
        <v>45927</v>
      </c>
      <c r="K446" s="16">
        <f t="shared" si="2"/>
        <v>39803.4</v>
      </c>
      <c r="L446" s="16">
        <f t="shared" si="3"/>
        <v>39803.4</v>
      </c>
      <c r="M446" s="16">
        <f t="shared" si="4"/>
        <v>36741.6</v>
      </c>
      <c r="N446" s="16">
        <f t="shared" si="5"/>
        <v>35210.7</v>
      </c>
      <c r="O446" s="16">
        <f t="shared" si="6"/>
        <v>33679.8</v>
      </c>
    </row>
    <row r="447">
      <c r="A447" s="11" t="s">
        <v>99</v>
      </c>
      <c r="B447" s="11" t="s">
        <v>20</v>
      </c>
      <c r="C447" s="11" t="s">
        <v>323</v>
      </c>
      <c r="D447" s="11" t="s">
        <v>159</v>
      </c>
      <c r="E447" s="11" t="s">
        <v>830</v>
      </c>
      <c r="F447" s="11" t="s">
        <v>831</v>
      </c>
      <c r="G447" s="22"/>
      <c r="H447" s="24">
        <v>193.5</v>
      </c>
      <c r="I447" s="21">
        <f t="shared" si="7"/>
        <v>12190.5</v>
      </c>
      <c r="J447" s="16">
        <f t="shared" si="1"/>
        <v>18285.75</v>
      </c>
      <c r="K447" s="16">
        <f t="shared" si="2"/>
        <v>15847.65</v>
      </c>
      <c r="L447" s="16">
        <f t="shared" si="3"/>
        <v>15847.65</v>
      </c>
      <c r="M447" s="16">
        <f t="shared" si="4"/>
        <v>14628.6</v>
      </c>
      <c r="N447" s="16">
        <f t="shared" si="5"/>
        <v>14019.075</v>
      </c>
      <c r="O447" s="16">
        <f t="shared" si="6"/>
        <v>13409.55</v>
      </c>
    </row>
    <row r="448">
      <c r="A448" s="11" t="s">
        <v>99</v>
      </c>
      <c r="B448" s="11" t="s">
        <v>20</v>
      </c>
      <c r="C448" s="11" t="s">
        <v>832</v>
      </c>
      <c r="D448" s="11" t="s">
        <v>159</v>
      </c>
      <c r="E448" s="11" t="s">
        <v>833</v>
      </c>
      <c r="F448" s="11" t="s">
        <v>834</v>
      </c>
      <c r="G448" s="22"/>
      <c r="H448" s="24">
        <v>50.0</v>
      </c>
      <c r="I448" s="21">
        <f t="shared" si="7"/>
        <v>3150</v>
      </c>
      <c r="J448" s="16">
        <f t="shared" si="1"/>
        <v>4725</v>
      </c>
      <c r="K448" s="16">
        <f t="shared" si="2"/>
        <v>4095</v>
      </c>
      <c r="L448" s="16">
        <f t="shared" si="3"/>
        <v>4095</v>
      </c>
      <c r="M448" s="16">
        <f t="shared" si="4"/>
        <v>3780</v>
      </c>
      <c r="N448" s="16">
        <f t="shared" si="5"/>
        <v>3622.5</v>
      </c>
      <c r="O448" s="16">
        <f t="shared" si="6"/>
        <v>3465</v>
      </c>
    </row>
    <row r="449">
      <c r="A449" s="11" t="s">
        <v>99</v>
      </c>
      <c r="B449" s="11" t="s">
        <v>20</v>
      </c>
      <c r="C449" s="11" t="s">
        <v>832</v>
      </c>
      <c r="D449" s="11" t="s">
        <v>159</v>
      </c>
      <c r="E449" s="11" t="s">
        <v>835</v>
      </c>
      <c r="F449" s="11" t="s">
        <v>836</v>
      </c>
      <c r="G449" s="22"/>
      <c r="H449" s="24">
        <v>107.0</v>
      </c>
      <c r="I449" s="21">
        <f t="shared" si="7"/>
        <v>6741</v>
      </c>
      <c r="J449" s="16">
        <f t="shared" si="1"/>
        <v>10111.5</v>
      </c>
      <c r="K449" s="16">
        <f t="shared" si="2"/>
        <v>8763.3</v>
      </c>
      <c r="L449" s="16">
        <f t="shared" si="3"/>
        <v>8763.3</v>
      </c>
      <c r="M449" s="16">
        <f t="shared" si="4"/>
        <v>8089.2</v>
      </c>
      <c r="N449" s="16">
        <f t="shared" si="5"/>
        <v>7752.15</v>
      </c>
      <c r="O449" s="16">
        <f t="shared" si="6"/>
        <v>7415.1</v>
      </c>
    </row>
    <row r="450">
      <c r="A450" s="11" t="s">
        <v>99</v>
      </c>
      <c r="B450" s="11" t="s">
        <v>20</v>
      </c>
      <c r="C450" s="11" t="s">
        <v>832</v>
      </c>
      <c r="D450" s="11" t="s">
        <v>159</v>
      </c>
      <c r="E450" s="11" t="s">
        <v>837</v>
      </c>
      <c r="F450" s="11" t="s">
        <v>838</v>
      </c>
      <c r="G450" s="22"/>
      <c r="H450" s="24">
        <v>150.5</v>
      </c>
      <c r="I450" s="21">
        <f t="shared" si="7"/>
        <v>9481.5</v>
      </c>
      <c r="J450" s="16">
        <f t="shared" si="1"/>
        <v>14222.25</v>
      </c>
      <c r="K450" s="16">
        <f t="shared" si="2"/>
        <v>12325.95</v>
      </c>
      <c r="L450" s="16">
        <f t="shared" si="3"/>
        <v>12325.95</v>
      </c>
      <c r="M450" s="16">
        <f t="shared" si="4"/>
        <v>11377.8</v>
      </c>
      <c r="N450" s="16">
        <f t="shared" si="5"/>
        <v>10903.725</v>
      </c>
      <c r="O450" s="16">
        <f t="shared" si="6"/>
        <v>10429.65</v>
      </c>
    </row>
    <row r="451">
      <c r="A451" s="11" t="s">
        <v>99</v>
      </c>
      <c r="B451" s="11" t="s">
        <v>20</v>
      </c>
      <c r="C451" s="11" t="s">
        <v>179</v>
      </c>
      <c r="D451" s="11" t="s">
        <v>159</v>
      </c>
      <c r="E451" s="11" t="s">
        <v>822</v>
      </c>
      <c r="F451" s="11" t="s">
        <v>823</v>
      </c>
      <c r="G451" s="22"/>
      <c r="H451" s="24">
        <v>366.5</v>
      </c>
      <c r="I451" s="21">
        <f t="shared" si="7"/>
        <v>23089.5</v>
      </c>
      <c r="J451" s="16">
        <f t="shared" si="1"/>
        <v>34634.25</v>
      </c>
      <c r="K451" s="16">
        <f t="shared" si="2"/>
        <v>30016.35</v>
      </c>
      <c r="L451" s="16">
        <f t="shared" si="3"/>
        <v>30016.35</v>
      </c>
      <c r="M451" s="16">
        <f t="shared" si="4"/>
        <v>27707.4</v>
      </c>
      <c r="N451" s="16">
        <f t="shared" si="5"/>
        <v>26552.925</v>
      </c>
      <c r="O451" s="16">
        <f t="shared" si="6"/>
        <v>25398.45</v>
      </c>
    </row>
    <row r="452">
      <c r="A452" s="11" t="s">
        <v>99</v>
      </c>
      <c r="B452" s="11" t="s">
        <v>20</v>
      </c>
      <c r="C452" s="11" t="s">
        <v>271</v>
      </c>
      <c r="D452" s="11" t="s">
        <v>159</v>
      </c>
      <c r="E452" s="11" t="s">
        <v>839</v>
      </c>
      <c r="F452" s="11" t="s">
        <v>840</v>
      </c>
      <c r="G452" s="22"/>
      <c r="H452" s="24">
        <v>161.0</v>
      </c>
      <c r="I452" s="21">
        <f t="shared" si="7"/>
        <v>10143</v>
      </c>
      <c r="J452" s="16">
        <f t="shared" si="1"/>
        <v>15214.5</v>
      </c>
      <c r="K452" s="16">
        <f t="shared" si="2"/>
        <v>13185.9</v>
      </c>
      <c r="L452" s="16">
        <f t="shared" si="3"/>
        <v>13185.9</v>
      </c>
      <c r="M452" s="16">
        <f t="shared" si="4"/>
        <v>12171.6</v>
      </c>
      <c r="N452" s="16">
        <f t="shared" si="5"/>
        <v>11664.45</v>
      </c>
      <c r="O452" s="16">
        <f t="shared" si="6"/>
        <v>11157.3</v>
      </c>
    </row>
    <row r="453">
      <c r="A453" s="11" t="s">
        <v>99</v>
      </c>
      <c r="B453" s="11" t="s">
        <v>20</v>
      </c>
      <c r="C453" s="11" t="s">
        <v>306</v>
      </c>
      <c r="D453" s="11" t="s">
        <v>159</v>
      </c>
      <c r="E453" s="11" t="s">
        <v>841</v>
      </c>
      <c r="F453" s="11" t="s">
        <v>842</v>
      </c>
      <c r="G453" s="22"/>
      <c r="H453" s="24">
        <v>193.5</v>
      </c>
      <c r="I453" s="21">
        <f t="shared" si="7"/>
        <v>12190.5</v>
      </c>
      <c r="J453" s="16">
        <f t="shared" si="1"/>
        <v>18285.75</v>
      </c>
      <c r="K453" s="16">
        <f t="shared" si="2"/>
        <v>15847.65</v>
      </c>
      <c r="L453" s="16">
        <f t="shared" si="3"/>
        <v>15847.65</v>
      </c>
      <c r="M453" s="16">
        <f t="shared" si="4"/>
        <v>14628.6</v>
      </c>
      <c r="N453" s="16">
        <f t="shared" si="5"/>
        <v>14019.075</v>
      </c>
      <c r="O453" s="16">
        <f t="shared" si="6"/>
        <v>13409.55</v>
      </c>
    </row>
    <row r="454">
      <c r="A454" s="11" t="s">
        <v>99</v>
      </c>
      <c r="B454" s="11" t="s">
        <v>20</v>
      </c>
      <c r="C454" s="11" t="s">
        <v>306</v>
      </c>
      <c r="D454" s="11" t="s">
        <v>159</v>
      </c>
      <c r="E454" s="11" t="s">
        <v>843</v>
      </c>
      <c r="F454" s="11" t="s">
        <v>844</v>
      </c>
      <c r="G454" s="22"/>
      <c r="H454" s="24">
        <v>124.5</v>
      </c>
      <c r="I454" s="21">
        <f t="shared" si="7"/>
        <v>7843.5</v>
      </c>
      <c r="J454" s="16">
        <f t="shared" si="1"/>
        <v>11765.25</v>
      </c>
      <c r="K454" s="16">
        <f t="shared" si="2"/>
        <v>10196.55</v>
      </c>
      <c r="L454" s="16">
        <f t="shared" si="3"/>
        <v>10196.55</v>
      </c>
      <c r="M454" s="16">
        <f t="shared" si="4"/>
        <v>9412.2</v>
      </c>
      <c r="N454" s="16">
        <f t="shared" si="5"/>
        <v>9020.025</v>
      </c>
      <c r="O454" s="16">
        <f t="shared" si="6"/>
        <v>8627.85</v>
      </c>
    </row>
    <row r="455">
      <c r="A455" s="11" t="s">
        <v>99</v>
      </c>
      <c r="B455" s="11" t="s">
        <v>20</v>
      </c>
      <c r="C455" s="11" t="s">
        <v>589</v>
      </c>
      <c r="D455" s="11" t="s">
        <v>159</v>
      </c>
      <c r="E455" s="11" t="s">
        <v>845</v>
      </c>
      <c r="F455" s="11" t="s">
        <v>846</v>
      </c>
      <c r="G455" s="22"/>
      <c r="H455" s="24">
        <v>58.5</v>
      </c>
      <c r="I455" s="21">
        <f t="shared" si="7"/>
        <v>3685.5</v>
      </c>
      <c r="J455" s="16">
        <f t="shared" si="1"/>
        <v>5528.25</v>
      </c>
      <c r="K455" s="16">
        <f t="shared" si="2"/>
        <v>4791.15</v>
      </c>
      <c r="L455" s="16">
        <f t="shared" si="3"/>
        <v>4791.15</v>
      </c>
      <c r="M455" s="16">
        <f t="shared" si="4"/>
        <v>4422.6</v>
      </c>
      <c r="N455" s="16">
        <f t="shared" si="5"/>
        <v>4238.325</v>
      </c>
      <c r="O455" s="16">
        <f t="shared" si="6"/>
        <v>4054.05</v>
      </c>
    </row>
    <row r="456">
      <c r="A456" s="11" t="s">
        <v>99</v>
      </c>
      <c r="B456" s="11" t="s">
        <v>20</v>
      </c>
      <c r="C456" s="11" t="s">
        <v>589</v>
      </c>
      <c r="D456" s="11" t="s">
        <v>159</v>
      </c>
      <c r="E456" s="11" t="s">
        <v>847</v>
      </c>
      <c r="F456" s="11" t="s">
        <v>848</v>
      </c>
      <c r="G456" s="22"/>
      <c r="H456" s="24">
        <v>60.5</v>
      </c>
      <c r="I456" s="21">
        <f t="shared" si="7"/>
        <v>3811.5</v>
      </c>
      <c r="J456" s="16">
        <f t="shared" si="1"/>
        <v>5717.25</v>
      </c>
      <c r="K456" s="16">
        <f t="shared" si="2"/>
        <v>4954.95</v>
      </c>
      <c r="L456" s="16">
        <f t="shared" si="3"/>
        <v>4954.95</v>
      </c>
      <c r="M456" s="16">
        <f t="shared" si="4"/>
        <v>4573.8</v>
      </c>
      <c r="N456" s="16">
        <f t="shared" si="5"/>
        <v>4383.225</v>
      </c>
      <c r="O456" s="16">
        <f t="shared" si="6"/>
        <v>4192.65</v>
      </c>
    </row>
    <row r="457">
      <c r="A457" s="11" t="s">
        <v>99</v>
      </c>
      <c r="B457" s="11" t="s">
        <v>20</v>
      </c>
      <c r="C457" s="11" t="s">
        <v>589</v>
      </c>
      <c r="D457" s="11" t="s">
        <v>159</v>
      </c>
      <c r="E457" s="11" t="s">
        <v>849</v>
      </c>
      <c r="F457" s="11" t="s">
        <v>850</v>
      </c>
      <c r="G457" s="22"/>
      <c r="H457" s="24">
        <v>107.0</v>
      </c>
      <c r="I457" s="21">
        <f t="shared" si="7"/>
        <v>6741</v>
      </c>
      <c r="J457" s="16">
        <f t="shared" si="1"/>
        <v>10111.5</v>
      </c>
      <c r="K457" s="16">
        <f t="shared" si="2"/>
        <v>8763.3</v>
      </c>
      <c r="L457" s="16">
        <f t="shared" si="3"/>
        <v>8763.3</v>
      </c>
      <c r="M457" s="16">
        <f t="shared" si="4"/>
        <v>8089.2</v>
      </c>
      <c r="N457" s="16">
        <f t="shared" si="5"/>
        <v>7752.15</v>
      </c>
      <c r="O457" s="16">
        <f t="shared" si="6"/>
        <v>7415.1</v>
      </c>
    </row>
    <row r="458">
      <c r="A458" s="11" t="s">
        <v>851</v>
      </c>
      <c r="B458" s="11" t="s">
        <v>852</v>
      </c>
      <c r="C458" s="5" t="s">
        <v>853</v>
      </c>
      <c r="D458" s="5" t="s">
        <v>382</v>
      </c>
      <c r="E458" s="32" t="s">
        <v>854</v>
      </c>
      <c r="F458" s="12" t="s">
        <v>855</v>
      </c>
      <c r="G458" s="22"/>
      <c r="H458" s="33"/>
      <c r="I458" s="16">
        <v>5400.0</v>
      </c>
      <c r="J458" s="16">
        <f t="shared" si="1"/>
        <v>8100</v>
      </c>
      <c r="K458" s="16">
        <f t="shared" si="2"/>
        <v>7020</v>
      </c>
      <c r="L458" s="16">
        <f t="shared" si="3"/>
        <v>7020</v>
      </c>
      <c r="M458" s="16">
        <f t="shared" si="4"/>
        <v>6480</v>
      </c>
      <c r="N458" s="16">
        <f t="shared" si="5"/>
        <v>6210</v>
      </c>
      <c r="O458" s="16">
        <f t="shared" si="6"/>
        <v>5940</v>
      </c>
    </row>
    <row r="459">
      <c r="A459" s="11" t="s">
        <v>851</v>
      </c>
      <c r="B459" s="11" t="s">
        <v>852</v>
      </c>
      <c r="C459" s="5" t="s">
        <v>853</v>
      </c>
      <c r="D459" s="5" t="s">
        <v>382</v>
      </c>
      <c r="E459" s="32" t="s">
        <v>856</v>
      </c>
      <c r="F459" s="12" t="s">
        <v>857</v>
      </c>
      <c r="G459" s="22"/>
      <c r="H459" s="33"/>
      <c r="I459" s="16">
        <v>4850.0</v>
      </c>
      <c r="J459" s="16">
        <f t="shared" si="1"/>
        <v>7275</v>
      </c>
      <c r="K459" s="16">
        <f t="shared" si="2"/>
        <v>6305</v>
      </c>
      <c r="L459" s="16">
        <f t="shared" si="3"/>
        <v>6305</v>
      </c>
      <c r="M459" s="16">
        <f t="shared" si="4"/>
        <v>5820</v>
      </c>
      <c r="N459" s="16">
        <f t="shared" si="5"/>
        <v>5577.5</v>
      </c>
      <c r="O459" s="16">
        <f t="shared" si="6"/>
        <v>5335</v>
      </c>
    </row>
    <row r="460">
      <c r="A460" s="11" t="s">
        <v>851</v>
      </c>
      <c r="B460" s="11" t="s">
        <v>852</v>
      </c>
      <c r="C460" s="5" t="s">
        <v>853</v>
      </c>
      <c r="D460" s="5" t="s">
        <v>858</v>
      </c>
      <c r="E460" s="32" t="s">
        <v>859</v>
      </c>
      <c r="F460" s="12" t="s">
        <v>860</v>
      </c>
      <c r="G460" s="22"/>
      <c r="H460" s="33"/>
      <c r="I460" s="16">
        <v>3900.0</v>
      </c>
      <c r="J460" s="16">
        <f t="shared" si="1"/>
        <v>5850</v>
      </c>
      <c r="K460" s="16">
        <f t="shared" si="2"/>
        <v>5070</v>
      </c>
      <c r="L460" s="16">
        <f t="shared" si="3"/>
        <v>5070</v>
      </c>
      <c r="M460" s="16">
        <f t="shared" si="4"/>
        <v>4680</v>
      </c>
      <c r="N460" s="16">
        <f t="shared" si="5"/>
        <v>4485</v>
      </c>
      <c r="O460" s="16">
        <f t="shared" si="6"/>
        <v>4290</v>
      </c>
    </row>
    <row r="461">
      <c r="A461" s="11" t="s">
        <v>851</v>
      </c>
      <c r="B461" s="11" t="s">
        <v>852</v>
      </c>
      <c r="C461" s="5" t="s">
        <v>853</v>
      </c>
      <c r="D461" s="5" t="s">
        <v>858</v>
      </c>
      <c r="E461" s="32" t="s">
        <v>861</v>
      </c>
      <c r="F461" s="12" t="s">
        <v>862</v>
      </c>
      <c r="G461" s="22"/>
      <c r="H461" s="33"/>
      <c r="I461" s="16">
        <v>3800.0</v>
      </c>
      <c r="J461" s="16">
        <f t="shared" si="1"/>
        <v>5700</v>
      </c>
      <c r="K461" s="16">
        <f t="shared" si="2"/>
        <v>4940</v>
      </c>
      <c r="L461" s="16">
        <f t="shared" si="3"/>
        <v>4940</v>
      </c>
      <c r="M461" s="16">
        <f t="shared" si="4"/>
        <v>4560</v>
      </c>
      <c r="N461" s="16">
        <f t="shared" si="5"/>
        <v>4370</v>
      </c>
      <c r="O461" s="16">
        <f t="shared" si="6"/>
        <v>4180</v>
      </c>
    </row>
    <row r="462">
      <c r="A462" s="11" t="s">
        <v>851</v>
      </c>
      <c r="B462" s="11" t="s">
        <v>852</v>
      </c>
      <c r="C462" s="5" t="s">
        <v>853</v>
      </c>
      <c r="D462" s="5" t="s">
        <v>382</v>
      </c>
      <c r="E462" s="34" t="s">
        <v>863</v>
      </c>
      <c r="F462" s="12" t="s">
        <v>864</v>
      </c>
      <c r="G462" s="22"/>
      <c r="H462" s="33"/>
      <c r="I462" s="16">
        <v>5100.0</v>
      </c>
      <c r="J462" s="16">
        <f t="shared" si="1"/>
        <v>7650</v>
      </c>
      <c r="K462" s="16">
        <f t="shared" si="2"/>
        <v>6630</v>
      </c>
      <c r="L462" s="16">
        <f t="shared" si="3"/>
        <v>6630</v>
      </c>
      <c r="M462" s="16">
        <f t="shared" si="4"/>
        <v>6120</v>
      </c>
      <c r="N462" s="16">
        <f t="shared" si="5"/>
        <v>5865</v>
      </c>
      <c r="O462" s="16">
        <f t="shared" si="6"/>
        <v>5610</v>
      </c>
    </row>
    <row r="463">
      <c r="A463" s="11" t="s">
        <v>851</v>
      </c>
      <c r="B463" s="11" t="s">
        <v>852</v>
      </c>
      <c r="C463" s="5" t="s">
        <v>853</v>
      </c>
      <c r="D463" s="5" t="s">
        <v>382</v>
      </c>
      <c r="E463" s="34" t="s">
        <v>865</v>
      </c>
      <c r="F463" s="12" t="s">
        <v>866</v>
      </c>
      <c r="G463" s="22"/>
      <c r="H463" s="33"/>
      <c r="I463" s="16">
        <v>7000.0</v>
      </c>
      <c r="J463" s="16">
        <f t="shared" si="1"/>
        <v>10500</v>
      </c>
      <c r="K463" s="16">
        <f t="shared" si="2"/>
        <v>9100</v>
      </c>
      <c r="L463" s="16">
        <f t="shared" si="3"/>
        <v>9100</v>
      </c>
      <c r="M463" s="16">
        <f t="shared" si="4"/>
        <v>8400</v>
      </c>
      <c r="N463" s="16">
        <f t="shared" si="5"/>
        <v>8050</v>
      </c>
      <c r="O463" s="16">
        <f t="shared" si="6"/>
        <v>7700</v>
      </c>
    </row>
    <row r="464">
      <c r="A464" s="11" t="s">
        <v>851</v>
      </c>
      <c r="B464" s="11" t="s">
        <v>852</v>
      </c>
      <c r="C464" s="5" t="s">
        <v>867</v>
      </c>
      <c r="D464" s="5" t="s">
        <v>382</v>
      </c>
      <c r="E464" s="34" t="s">
        <v>868</v>
      </c>
      <c r="F464" s="13" t="s">
        <v>869</v>
      </c>
      <c r="G464" s="22"/>
      <c r="H464" s="33"/>
      <c r="I464" s="16">
        <v>10700.0</v>
      </c>
      <c r="J464" s="16">
        <f t="shared" si="1"/>
        <v>16050</v>
      </c>
      <c r="K464" s="16">
        <f t="shared" si="2"/>
        <v>13910</v>
      </c>
      <c r="L464" s="16">
        <f t="shared" si="3"/>
        <v>13910</v>
      </c>
      <c r="M464" s="16">
        <f t="shared" si="4"/>
        <v>12840</v>
      </c>
      <c r="N464" s="16">
        <f t="shared" si="5"/>
        <v>12305</v>
      </c>
      <c r="O464" s="16">
        <f t="shared" si="6"/>
        <v>11770</v>
      </c>
    </row>
    <row r="465">
      <c r="A465" s="11" t="s">
        <v>851</v>
      </c>
      <c r="B465" s="11" t="s">
        <v>852</v>
      </c>
      <c r="C465" s="5" t="s">
        <v>853</v>
      </c>
      <c r="D465" s="5" t="s">
        <v>858</v>
      </c>
      <c r="E465" s="34" t="s">
        <v>870</v>
      </c>
      <c r="F465" s="13" t="s">
        <v>871</v>
      </c>
      <c r="G465" s="22"/>
      <c r="H465" s="33"/>
      <c r="I465" s="16">
        <v>3450.0</v>
      </c>
      <c r="J465" s="16">
        <f t="shared" si="1"/>
        <v>5175</v>
      </c>
      <c r="K465" s="16">
        <f t="shared" si="2"/>
        <v>4485</v>
      </c>
      <c r="L465" s="16">
        <f t="shared" si="3"/>
        <v>4485</v>
      </c>
      <c r="M465" s="16">
        <f t="shared" si="4"/>
        <v>4140</v>
      </c>
      <c r="N465" s="16">
        <f t="shared" si="5"/>
        <v>3967.5</v>
      </c>
      <c r="O465" s="16">
        <f t="shared" si="6"/>
        <v>3795</v>
      </c>
    </row>
    <row r="466">
      <c r="A466" s="11" t="s">
        <v>851</v>
      </c>
      <c r="B466" s="11" t="s">
        <v>852</v>
      </c>
      <c r="C466" s="5" t="s">
        <v>853</v>
      </c>
      <c r="D466" s="5" t="s">
        <v>858</v>
      </c>
      <c r="E466" s="34" t="s">
        <v>872</v>
      </c>
      <c r="F466" s="13" t="s">
        <v>873</v>
      </c>
      <c r="G466" s="22"/>
      <c r="H466" s="33"/>
      <c r="I466" s="16">
        <v>4850.0</v>
      </c>
      <c r="J466" s="16">
        <f t="shared" si="1"/>
        <v>7275</v>
      </c>
      <c r="K466" s="16">
        <f t="shared" si="2"/>
        <v>6305</v>
      </c>
      <c r="L466" s="16">
        <f t="shared" si="3"/>
        <v>6305</v>
      </c>
      <c r="M466" s="16">
        <f t="shared" si="4"/>
        <v>5820</v>
      </c>
      <c r="N466" s="16">
        <f t="shared" si="5"/>
        <v>5577.5</v>
      </c>
      <c r="O466" s="16">
        <f t="shared" si="6"/>
        <v>5335</v>
      </c>
    </row>
    <row r="467">
      <c r="A467" s="11" t="s">
        <v>851</v>
      </c>
      <c r="B467" s="11" t="s">
        <v>852</v>
      </c>
      <c r="C467" s="5" t="s">
        <v>867</v>
      </c>
      <c r="D467" s="5" t="s">
        <v>858</v>
      </c>
      <c r="E467" s="34" t="s">
        <v>874</v>
      </c>
      <c r="F467" s="13" t="s">
        <v>875</v>
      </c>
      <c r="G467" s="22"/>
      <c r="H467" s="33"/>
      <c r="I467" s="16">
        <v>8400.0</v>
      </c>
      <c r="J467" s="16">
        <f t="shared" si="1"/>
        <v>12600</v>
      </c>
      <c r="K467" s="16">
        <f t="shared" si="2"/>
        <v>10920</v>
      </c>
      <c r="L467" s="16">
        <f t="shared" si="3"/>
        <v>10920</v>
      </c>
      <c r="M467" s="16">
        <f t="shared" si="4"/>
        <v>10080</v>
      </c>
      <c r="N467" s="16">
        <f t="shared" si="5"/>
        <v>9660</v>
      </c>
      <c r="O467" s="16">
        <f t="shared" si="6"/>
        <v>9240</v>
      </c>
    </row>
    <row r="468">
      <c r="A468" s="11" t="s">
        <v>851</v>
      </c>
      <c r="B468" s="11" t="s">
        <v>852</v>
      </c>
      <c r="C468" s="5" t="s">
        <v>853</v>
      </c>
      <c r="D468" s="5" t="s">
        <v>876</v>
      </c>
      <c r="E468" s="34" t="s">
        <v>877</v>
      </c>
      <c r="F468" s="13" t="s">
        <v>878</v>
      </c>
      <c r="G468" s="22"/>
      <c r="H468" s="33"/>
      <c r="I468" s="16">
        <v>3150.0</v>
      </c>
      <c r="J468" s="16">
        <f t="shared" si="1"/>
        <v>4725</v>
      </c>
      <c r="K468" s="16">
        <f t="shared" si="2"/>
        <v>4095</v>
      </c>
      <c r="L468" s="16">
        <f t="shared" si="3"/>
        <v>4095</v>
      </c>
      <c r="M468" s="16">
        <f t="shared" si="4"/>
        <v>3780</v>
      </c>
      <c r="N468" s="16">
        <f t="shared" si="5"/>
        <v>3622.5</v>
      </c>
      <c r="O468" s="16">
        <f t="shared" si="6"/>
        <v>3465</v>
      </c>
    </row>
    <row r="469">
      <c r="A469" s="11" t="s">
        <v>851</v>
      </c>
      <c r="B469" s="11" t="s">
        <v>852</v>
      </c>
      <c r="C469" s="5" t="s">
        <v>853</v>
      </c>
      <c r="D469" s="5" t="s">
        <v>876</v>
      </c>
      <c r="E469" s="34" t="s">
        <v>879</v>
      </c>
      <c r="F469" s="13" t="s">
        <v>880</v>
      </c>
      <c r="G469" s="22"/>
      <c r="H469" s="33"/>
      <c r="I469" s="16">
        <v>3250.0</v>
      </c>
      <c r="J469" s="16">
        <f t="shared" si="1"/>
        <v>4875</v>
      </c>
      <c r="K469" s="16">
        <f t="shared" si="2"/>
        <v>4225</v>
      </c>
      <c r="L469" s="16">
        <f t="shared" si="3"/>
        <v>4225</v>
      </c>
      <c r="M469" s="16">
        <f t="shared" si="4"/>
        <v>3900</v>
      </c>
      <c r="N469" s="16">
        <f t="shared" si="5"/>
        <v>3737.5</v>
      </c>
      <c r="O469" s="16">
        <f t="shared" si="6"/>
        <v>3575</v>
      </c>
    </row>
    <row r="470">
      <c r="A470" s="11" t="s">
        <v>851</v>
      </c>
      <c r="B470" s="11" t="s">
        <v>852</v>
      </c>
      <c r="C470" s="5" t="s">
        <v>853</v>
      </c>
      <c r="D470" s="5" t="s">
        <v>876</v>
      </c>
      <c r="E470" s="34" t="s">
        <v>881</v>
      </c>
      <c r="F470" s="13" t="s">
        <v>882</v>
      </c>
      <c r="G470" s="22"/>
      <c r="H470" s="33"/>
      <c r="I470" s="16">
        <v>3350.0</v>
      </c>
      <c r="J470" s="16">
        <f t="shared" si="1"/>
        <v>5025</v>
      </c>
      <c r="K470" s="16">
        <f t="shared" si="2"/>
        <v>4355</v>
      </c>
      <c r="L470" s="16">
        <f t="shared" si="3"/>
        <v>4355</v>
      </c>
      <c r="M470" s="16">
        <f t="shared" si="4"/>
        <v>4020</v>
      </c>
      <c r="N470" s="16">
        <f t="shared" si="5"/>
        <v>3852.5</v>
      </c>
      <c r="O470" s="16">
        <f t="shared" si="6"/>
        <v>3685</v>
      </c>
    </row>
    <row r="471">
      <c r="A471" s="11" t="s">
        <v>851</v>
      </c>
      <c r="B471" s="11" t="s">
        <v>852</v>
      </c>
      <c r="C471" s="5" t="s">
        <v>853</v>
      </c>
      <c r="D471" s="5" t="s">
        <v>876</v>
      </c>
      <c r="E471" s="34" t="s">
        <v>883</v>
      </c>
      <c r="F471" s="13" t="s">
        <v>884</v>
      </c>
      <c r="G471" s="22"/>
      <c r="H471" s="33"/>
      <c r="I471" s="16">
        <v>3450.0</v>
      </c>
      <c r="J471" s="16">
        <f t="shared" si="1"/>
        <v>5175</v>
      </c>
      <c r="K471" s="16">
        <f t="shared" si="2"/>
        <v>4485</v>
      </c>
      <c r="L471" s="16">
        <f t="shared" si="3"/>
        <v>4485</v>
      </c>
      <c r="M471" s="16">
        <f t="shared" si="4"/>
        <v>4140</v>
      </c>
      <c r="N471" s="16">
        <f t="shared" si="5"/>
        <v>3967.5</v>
      </c>
      <c r="O471" s="16">
        <f t="shared" si="6"/>
        <v>3795</v>
      </c>
    </row>
    <row r="472">
      <c r="A472" s="11" t="s">
        <v>851</v>
      </c>
      <c r="B472" s="11" t="s">
        <v>852</v>
      </c>
      <c r="C472" s="5" t="s">
        <v>853</v>
      </c>
      <c r="D472" s="5" t="s">
        <v>876</v>
      </c>
      <c r="E472" s="34" t="s">
        <v>885</v>
      </c>
      <c r="F472" s="12" t="s">
        <v>886</v>
      </c>
      <c r="G472" s="22"/>
      <c r="H472" s="33"/>
      <c r="I472" s="16">
        <v>3700.0</v>
      </c>
      <c r="J472" s="16">
        <f t="shared" si="1"/>
        <v>5550</v>
      </c>
      <c r="K472" s="16">
        <f t="shared" si="2"/>
        <v>4810</v>
      </c>
      <c r="L472" s="16">
        <f t="shared" si="3"/>
        <v>4810</v>
      </c>
      <c r="M472" s="16">
        <f t="shared" si="4"/>
        <v>4440</v>
      </c>
      <c r="N472" s="16">
        <f t="shared" si="5"/>
        <v>4255</v>
      </c>
      <c r="O472" s="16">
        <f t="shared" si="6"/>
        <v>4070</v>
      </c>
    </row>
    <row r="473">
      <c r="A473" s="11" t="s">
        <v>851</v>
      </c>
      <c r="B473" s="11" t="s">
        <v>852</v>
      </c>
      <c r="C473" s="5" t="s">
        <v>853</v>
      </c>
      <c r="D473" s="5" t="s">
        <v>876</v>
      </c>
      <c r="E473" s="34" t="s">
        <v>887</v>
      </c>
      <c r="F473" s="12" t="s">
        <v>888</v>
      </c>
      <c r="G473" s="22"/>
      <c r="H473" s="33"/>
      <c r="I473" s="16">
        <v>3700.0</v>
      </c>
      <c r="J473" s="16">
        <f t="shared" si="1"/>
        <v>5550</v>
      </c>
      <c r="K473" s="16">
        <f t="shared" si="2"/>
        <v>4810</v>
      </c>
      <c r="L473" s="16">
        <f t="shared" si="3"/>
        <v>4810</v>
      </c>
      <c r="M473" s="16">
        <f t="shared" si="4"/>
        <v>4440</v>
      </c>
      <c r="N473" s="16">
        <f t="shared" si="5"/>
        <v>4255</v>
      </c>
      <c r="O473" s="16">
        <f t="shared" si="6"/>
        <v>4070</v>
      </c>
    </row>
    <row r="474">
      <c r="A474" s="11" t="s">
        <v>851</v>
      </c>
      <c r="B474" s="11" t="s">
        <v>852</v>
      </c>
      <c r="C474" s="5" t="s">
        <v>853</v>
      </c>
      <c r="D474" s="5" t="s">
        <v>876</v>
      </c>
      <c r="E474" s="34" t="s">
        <v>889</v>
      </c>
      <c r="F474" s="12" t="s">
        <v>890</v>
      </c>
      <c r="G474" s="22"/>
      <c r="H474" s="33"/>
      <c r="I474" s="16">
        <v>4450.0</v>
      </c>
      <c r="J474" s="16">
        <f t="shared" si="1"/>
        <v>6675</v>
      </c>
      <c r="K474" s="16">
        <f t="shared" si="2"/>
        <v>5785</v>
      </c>
      <c r="L474" s="16">
        <f t="shared" si="3"/>
        <v>5785</v>
      </c>
      <c r="M474" s="16">
        <f t="shared" si="4"/>
        <v>5340</v>
      </c>
      <c r="N474" s="16">
        <f t="shared" si="5"/>
        <v>5117.5</v>
      </c>
      <c r="O474" s="16">
        <f t="shared" si="6"/>
        <v>4895</v>
      </c>
    </row>
    <row r="475">
      <c r="A475" s="11" t="s">
        <v>851</v>
      </c>
      <c r="B475" s="11" t="s">
        <v>852</v>
      </c>
      <c r="C475" s="5" t="s">
        <v>853</v>
      </c>
      <c r="D475" s="5" t="s">
        <v>876</v>
      </c>
      <c r="E475" s="34" t="s">
        <v>891</v>
      </c>
      <c r="F475" s="12" t="s">
        <v>892</v>
      </c>
      <c r="G475" s="22"/>
      <c r="H475" s="33"/>
      <c r="I475" s="16">
        <v>4450.0</v>
      </c>
      <c r="J475" s="16">
        <f t="shared" si="1"/>
        <v>6675</v>
      </c>
      <c r="K475" s="16">
        <f t="shared" si="2"/>
        <v>5785</v>
      </c>
      <c r="L475" s="16">
        <f t="shared" si="3"/>
        <v>5785</v>
      </c>
      <c r="M475" s="16">
        <f t="shared" si="4"/>
        <v>5340</v>
      </c>
      <c r="N475" s="16">
        <f t="shared" si="5"/>
        <v>5117.5</v>
      </c>
      <c r="O475" s="16">
        <f t="shared" si="6"/>
        <v>4895</v>
      </c>
    </row>
    <row r="476">
      <c r="A476" s="11" t="s">
        <v>851</v>
      </c>
      <c r="B476" s="11" t="s">
        <v>852</v>
      </c>
      <c r="C476" s="5" t="s">
        <v>853</v>
      </c>
      <c r="D476" s="5" t="s">
        <v>876</v>
      </c>
      <c r="E476" s="34" t="s">
        <v>893</v>
      </c>
      <c r="F476" s="12" t="s">
        <v>894</v>
      </c>
      <c r="G476" s="22"/>
      <c r="H476" s="33"/>
      <c r="I476" s="16">
        <v>5300.0</v>
      </c>
      <c r="J476" s="16">
        <f t="shared" si="1"/>
        <v>7950</v>
      </c>
      <c r="K476" s="16">
        <f t="shared" si="2"/>
        <v>6890</v>
      </c>
      <c r="L476" s="16">
        <f t="shared" si="3"/>
        <v>6890</v>
      </c>
      <c r="M476" s="16">
        <f t="shared" si="4"/>
        <v>6360</v>
      </c>
      <c r="N476" s="16">
        <f t="shared" si="5"/>
        <v>6095</v>
      </c>
      <c r="O476" s="16">
        <f t="shared" si="6"/>
        <v>5830</v>
      </c>
    </row>
    <row r="477">
      <c r="A477" s="11" t="s">
        <v>851</v>
      </c>
      <c r="B477" s="11" t="s">
        <v>852</v>
      </c>
      <c r="C477" s="5" t="s">
        <v>853</v>
      </c>
      <c r="D477" s="5" t="s">
        <v>876</v>
      </c>
      <c r="E477" s="34" t="s">
        <v>895</v>
      </c>
      <c r="F477" s="12" t="s">
        <v>896</v>
      </c>
      <c r="G477" s="22"/>
      <c r="H477" s="33"/>
      <c r="I477" s="16">
        <v>5300.0</v>
      </c>
      <c r="J477" s="16">
        <f t="shared" si="1"/>
        <v>7950</v>
      </c>
      <c r="K477" s="16">
        <f t="shared" si="2"/>
        <v>6890</v>
      </c>
      <c r="L477" s="16">
        <f t="shared" si="3"/>
        <v>6890</v>
      </c>
      <c r="M477" s="16">
        <f t="shared" si="4"/>
        <v>6360</v>
      </c>
      <c r="N477" s="16">
        <f t="shared" si="5"/>
        <v>6095</v>
      </c>
      <c r="O477" s="16">
        <f t="shared" si="6"/>
        <v>5830</v>
      </c>
    </row>
    <row r="478">
      <c r="A478" s="11" t="s">
        <v>851</v>
      </c>
      <c r="B478" s="11" t="s">
        <v>852</v>
      </c>
      <c r="C478" s="5" t="s">
        <v>853</v>
      </c>
      <c r="D478" s="5" t="s">
        <v>876</v>
      </c>
      <c r="E478" s="34" t="s">
        <v>897</v>
      </c>
      <c r="F478" s="12" t="s">
        <v>898</v>
      </c>
      <c r="G478" s="22"/>
      <c r="H478" s="33"/>
      <c r="I478" s="16">
        <v>5300.0</v>
      </c>
      <c r="J478" s="16">
        <f t="shared" si="1"/>
        <v>7950</v>
      </c>
      <c r="K478" s="16">
        <f t="shared" si="2"/>
        <v>6890</v>
      </c>
      <c r="L478" s="16">
        <f t="shared" si="3"/>
        <v>6890</v>
      </c>
      <c r="M478" s="16">
        <f t="shared" si="4"/>
        <v>6360</v>
      </c>
      <c r="N478" s="16">
        <f t="shared" si="5"/>
        <v>6095</v>
      </c>
      <c r="O478" s="16">
        <f t="shared" si="6"/>
        <v>5830</v>
      </c>
    </row>
  </sheetData>
  <autoFilter ref="$A$2:$O$478"/>
  <mergeCells count="4">
    <mergeCell ref="A1:I1"/>
    <mergeCell ref="J1:K1"/>
    <mergeCell ref="L1:M1"/>
    <mergeCell ref="N1:O1"/>
  </mergeCells>
  <dataValidations>
    <dataValidation type="custom" allowBlank="1" showErrorMessage="1" sqref="A3:A31">
      <formula1>LTE(LEN(A3),(45))</formula1>
    </dataValidation>
    <dataValidation type="custom" allowBlank="1" showErrorMessage="1" sqref="E3:E31">
      <formula1>LTE(LEN(E3),(22))</formula1>
    </dataValidation>
  </dataValidations>
  <drawing r:id="rId1"/>
</worksheet>
</file>