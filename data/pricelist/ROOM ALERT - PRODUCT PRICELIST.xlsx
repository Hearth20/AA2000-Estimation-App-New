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Sheet1!$A$2:$L$65</definedName>
  </definedNames>
  <calcPr/>
</workbook>
</file>

<file path=xl/sharedStrings.xml><?xml version="1.0" encoding="utf-8"?>
<sst xmlns="http://schemas.openxmlformats.org/spreadsheetml/2006/main" count="268" uniqueCount="148">
  <si>
    <t>PRODUCT INFORMATION</t>
  </si>
  <si>
    <t>SRP (End-User)</t>
  </si>
  <si>
    <t>DEALER's PRICE</t>
  </si>
  <si>
    <t>CONTRACTOR's PRICE</t>
  </si>
  <si>
    <t>BRAND</t>
  </si>
  <si>
    <t>CATEGORY</t>
  </si>
  <si>
    <t>MODEL</t>
  </si>
  <si>
    <t>ITEM DESCRIPTION</t>
  </si>
  <si>
    <t>PURCHASE AMOUNT IN USD</t>
  </si>
  <si>
    <t>UPDATED PRICE</t>
  </si>
  <si>
    <t xml:space="preserve"> Small Volume
(50% Mark-Up) </t>
  </si>
  <si>
    <t xml:space="preserve"> Big Volume
(30% Mark-Up) </t>
  </si>
  <si>
    <t xml:space="preserve"> Small Volume
(30% Mark-Up) </t>
  </si>
  <si>
    <t xml:space="preserve"> Big Volume
(20% Mark-Up) </t>
  </si>
  <si>
    <t xml:space="preserve"> Small Volume
(15% Mark-Up) </t>
  </si>
  <si>
    <t xml:space="preserve"> Big Volume
(10% Mark-Up) </t>
  </si>
  <si>
    <t>AVTECH</t>
  </si>
  <si>
    <t>Environment Monitor</t>
  </si>
  <si>
    <t>RA32S-DAP-RAS</t>
  </si>
  <si>
    <t>Room Alert 32S Monitor</t>
  </si>
  <si>
    <t>RA12S-DAP-RAS</t>
  </si>
  <si>
    <t>Room Alert 12SR Monitor</t>
  </si>
  <si>
    <t>RA12S-DAP-WAS</t>
  </si>
  <si>
    <t>Room Alert 12S Monitor</t>
  </si>
  <si>
    <t>RA3S-ES0-BAS</t>
  </si>
  <si>
    <t>Room Alert 3S Monitor</t>
  </si>
  <si>
    <t>RA32E-TH1-RAS</t>
  </si>
  <si>
    <t>Room Alert 32E Monitor</t>
  </si>
  <si>
    <t>RA12E-TH1-RAS</t>
  </si>
  <si>
    <t>Room Alert 12ER Monitor</t>
  </si>
  <si>
    <t>RA12E-TH1-WAS</t>
  </si>
  <si>
    <t>Room Alert 12E Monitor</t>
  </si>
  <si>
    <t>RA3E-ES0-BAS</t>
  </si>
  <si>
    <t>Room Alert 3E Monitor</t>
  </si>
  <si>
    <t>RA3W-ES0-BAS</t>
  </si>
  <si>
    <t>Room Alert 3 Wi-Fi Monitor</t>
  </si>
  <si>
    <t>Sensors</t>
  </si>
  <si>
    <t>RMA-DAP-SEN</t>
  </si>
  <si>
    <t>Digital Active Power Sensor w/Temperature (10')</t>
  </si>
  <si>
    <t>RMA-DAP-SEN25</t>
  </si>
  <si>
    <t>Digital Active Power Sensor w/Temperature (25')</t>
  </si>
  <si>
    <t>RMA-DAP-SEN50</t>
  </si>
  <si>
    <t>Digital Active Power Sensor w/Temperature (50')</t>
  </si>
  <si>
    <t>RMA-DAP-SEN100</t>
  </si>
  <si>
    <t>Digital Active Power Sensor w/Temperature (100')</t>
  </si>
  <si>
    <t>TMP-SDT-SEN</t>
  </si>
  <si>
    <t>Digital Temperature Sensor (25')</t>
  </si>
  <si>
    <t>TMP-DT50-SEN</t>
  </si>
  <si>
    <t>Digital Temperature Sensor (50')</t>
  </si>
  <si>
    <t>TMP-DT100-SEN</t>
  </si>
  <si>
    <t>Digital Temperature Sensor (100')</t>
  </si>
  <si>
    <t>TMP-DOT-SEN</t>
  </si>
  <si>
    <t>Digital Outdoor Temperature Sensor (25')</t>
  </si>
  <si>
    <t>TMP-DOT50-SEN</t>
  </si>
  <si>
    <t>Digital Outdoor Temperature Sensor (50')</t>
  </si>
  <si>
    <t>TMP-DOT100-SEN</t>
  </si>
  <si>
    <t>Digital Outdoor Temperature Sensor (100')</t>
  </si>
  <si>
    <t>TMP-DFT-SEN</t>
  </si>
  <si>
    <t>Digital Fluid Temperature Sensor (25')</t>
  </si>
  <si>
    <t>TMP-DFT50-SEN</t>
  </si>
  <si>
    <t>Digital Fluid Temperature Sensor (50')</t>
  </si>
  <si>
    <t>TMP-DFT100-SEN</t>
  </si>
  <si>
    <t>Digital Fluid Temperature Sensor (100')</t>
  </si>
  <si>
    <t>RMA-DTH-SEN</t>
  </si>
  <si>
    <t>Digital Temperature &amp; Humidity (25')</t>
  </si>
  <si>
    <t>RMA-DTH50-SEN</t>
  </si>
  <si>
    <t>Digital Temperature &amp; Humidity (50')</t>
  </si>
  <si>
    <t>RMA-DTH100-SEN</t>
  </si>
  <si>
    <t>Digital Temperature &amp; Humidity (100')</t>
  </si>
  <si>
    <t>RMA-DTHS-SEN</t>
  </si>
  <si>
    <t>Digital Shielded Temperature &amp; Humidity (25')</t>
  </si>
  <si>
    <t>RMA-DTHS50-SEN</t>
  </si>
  <si>
    <t>Digital Shielded Temperature &amp; Humidity (50')</t>
  </si>
  <si>
    <t>RMA-DTHS100-SEN</t>
  </si>
  <si>
    <t>Digital Shielded Temperature &amp; Humidity (100')</t>
  </si>
  <si>
    <t>RMA-DET-SEN</t>
  </si>
  <si>
    <t>Digital Extreme Temperature Sensor</t>
  </si>
  <si>
    <t>RMA-DTA-SEN</t>
  </si>
  <si>
    <t>Digital Temperature &amp; Analog Sensor</t>
  </si>
  <si>
    <t>RMA-PSA-SEN</t>
  </si>
  <si>
    <t>Power Sensor</t>
  </si>
  <si>
    <t>RMA-MUPS-SEN</t>
  </si>
  <si>
    <t>Mini UPS &amp; Power Sensor</t>
  </si>
  <si>
    <t>RMA-F008-SEN</t>
  </si>
  <si>
    <t>Flood Sensor w/8' Cable</t>
  </si>
  <si>
    <t>RMA-F024-SEN</t>
  </si>
  <si>
    <t>Flood Sensor w/24' Cable</t>
  </si>
  <si>
    <t>RMA-F050-SEN</t>
  </si>
  <si>
    <t>Flood Sensor w/50' Cable</t>
  </si>
  <si>
    <t>RMA-F050-EXT</t>
  </si>
  <si>
    <t>Flood Cable Extension (50')</t>
  </si>
  <si>
    <t>RMA-FS2-SEN</t>
  </si>
  <si>
    <t>Flood Sensor (Spot)</t>
  </si>
  <si>
    <t>RMA-SS1-SEN</t>
  </si>
  <si>
    <t>Smoke Sensor w/Escape Light</t>
  </si>
  <si>
    <t>RMA-AF1-SEN</t>
  </si>
  <si>
    <t>Air Flow 1 (NC)</t>
  </si>
  <si>
    <t>RMA-AF2-SEN</t>
  </si>
  <si>
    <t>Air Flow 2 (NO)</t>
  </si>
  <si>
    <t>RMA-RE1-SEN</t>
  </si>
  <si>
    <t>Room Entry Sensor</t>
  </si>
  <si>
    <t>RMA-MOT2-SEN</t>
  </si>
  <si>
    <t>Motion Sensor</t>
  </si>
  <si>
    <t>RMA-RELAY-SEN</t>
  </si>
  <si>
    <t>Relay Switch Sensor</t>
  </si>
  <si>
    <t>RMA-CL1-SEN</t>
  </si>
  <si>
    <t>Current Loop 1 Sensor (50A)</t>
  </si>
  <si>
    <t>RMA-CL2-SEN</t>
  </si>
  <si>
    <t>Current Loop 2 Sensor (250A)</t>
  </si>
  <si>
    <t>RMA-FTL1-SEN</t>
  </si>
  <si>
    <t>Fuel Tank Level 1 (NC)</t>
  </si>
  <si>
    <t>RMA-FTL2-SEN</t>
  </si>
  <si>
    <t>Fuel Tank Level 2 (NO)</t>
  </si>
  <si>
    <t>RMA-WTL1-SEN</t>
  </si>
  <si>
    <t>Water Tank Level 1 (NC)</t>
  </si>
  <si>
    <t>RMA-WTL2-SEN</t>
  </si>
  <si>
    <t>Water Tank Level 2 (NO)</t>
  </si>
  <si>
    <t>Power Control</t>
  </si>
  <si>
    <t>IBO-IO-REL</t>
  </si>
  <si>
    <t>iBoot IO</t>
  </si>
  <si>
    <t>IBO-G2S-SWI</t>
  </si>
  <si>
    <t>iBoot G2S</t>
  </si>
  <si>
    <t>Health and Safety</t>
  </si>
  <si>
    <t>AVT-MUVS1-USA</t>
  </si>
  <si>
    <t>Room Alert Mobile UV System</t>
  </si>
  <si>
    <t>Accessories For Room Alert</t>
  </si>
  <si>
    <t>RMA-FPC-KTS</t>
  </si>
  <si>
    <t>Flood Protect &amp; Control Kit (Small)</t>
  </si>
  <si>
    <t>RMA-FPC-KTL</t>
  </si>
  <si>
    <t>Flood Protect &amp; Control Kit (Large)</t>
  </si>
  <si>
    <t>MOD-GSM-2</t>
  </si>
  <si>
    <t>GSM Modem w/USB</t>
  </si>
  <si>
    <t>ST-RYG-LT</t>
  </si>
  <si>
    <t>Light Tower w/Audio</t>
  </si>
  <si>
    <t>PoE-ADP-01</t>
  </si>
  <si>
    <t>PoE Active Splitter (5V)</t>
  </si>
  <si>
    <t>LT-32-ADP</t>
  </si>
  <si>
    <t>Light Tower &amp; Relay Adapter</t>
  </si>
  <si>
    <t>ST-025G2-CAB</t>
  </si>
  <si>
    <t>25' Light Tower w/Audio Extension Cable</t>
  </si>
  <si>
    <t>PWR-ADP-A</t>
  </si>
  <si>
    <t>Power Adapter - A (USA/Can, 5V)</t>
  </si>
  <si>
    <t>PWR-ADP-INTL</t>
  </si>
  <si>
    <t>International Power Adapter (INT, 5V)</t>
  </si>
  <si>
    <t>PWR-ADP-C14</t>
  </si>
  <si>
    <t>C14 Power Adapter (Fits C13), 5V</t>
  </si>
  <si>
    <t>RMA-DTAF-SEN</t>
  </si>
  <si>
    <t>Digital temperature and air flow sensor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</si>
</sst>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* #,##0.00_);_(* \(#,##0.00\);_(* &quot;-&quot;??_);_(@_)"/>
  </numFmts>
  <fonts count="6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theme="1"/>
      <name val="Arial"/>
    </font>
    <font>
      <color theme="1"/>
      <name val="Calibri"/>
    </font>
    <font>
      <b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E598"/>
        <bgColor rgb="FFFFE59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4" fillId="0" fontId="4" numFmtId="0" xfId="0" applyBorder="1" applyFont="1"/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0" fontId="4" numFmtId="4" xfId="0" applyAlignment="1" applyBorder="1" applyFont="1" applyNumberFormat="1">
      <alignment horizontal="right" vertical="bottom"/>
    </xf>
    <xf borderId="5" fillId="3" fontId="5" numFmtId="165" xfId="0" applyAlignment="1" applyBorder="1" applyFill="1" applyFont="1" applyNumberFormat="1">
      <alignment horizontal="center"/>
    </xf>
    <xf borderId="6" fillId="3" fontId="5" numFmtId="165" xfId="0" applyAlignment="1" applyBorder="1" applyFont="1" applyNumberFormat="1">
      <alignment horizontal="center"/>
    </xf>
    <xf borderId="7" fillId="0" fontId="4" numFmtId="165" xfId="0" applyAlignment="1" applyBorder="1" applyFont="1" applyNumberFormat="1">
      <alignment horizontal="center"/>
    </xf>
    <xf borderId="8" fillId="0" fontId="4" numFmtId="165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1" t="s">
        <v>1</v>
      </c>
      <c r="H1" s="3"/>
      <c r="I1" s="1" t="s">
        <v>2</v>
      </c>
      <c r="J1" s="3"/>
      <c r="K1" s="1" t="s">
        <v>3</v>
      </c>
      <c r="L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</row>
    <row r="3">
      <c r="A3" s="5" t="s">
        <v>16</v>
      </c>
      <c r="B3" s="6" t="s">
        <v>17</v>
      </c>
      <c r="C3" s="7" t="s">
        <v>18</v>
      </c>
      <c r="D3" s="6" t="s">
        <v>19</v>
      </c>
      <c r="E3" s="8">
        <v>1359.0</v>
      </c>
      <c r="F3" s="9">
        <f t="shared" ref="F3:F65" si="1">E3*53</f>
        <v>72027</v>
      </c>
      <c r="G3" s="10">
        <f t="shared" ref="G3:G65" si="2">F3*1.5</f>
        <v>108040.5</v>
      </c>
      <c r="H3" s="11">
        <f t="shared" ref="H3:H65" si="3">F3*1.3</f>
        <v>93635.1</v>
      </c>
      <c r="I3" s="12">
        <f t="shared" ref="I3:I65" si="4">F3*1.3</f>
        <v>93635.1</v>
      </c>
      <c r="J3" s="13">
        <f t="shared" ref="J3:J65" si="5">F3*1.2</f>
        <v>86432.4</v>
      </c>
      <c r="K3" s="12">
        <f t="shared" ref="K3:K65" si="6">F3*1.15</f>
        <v>82831.05</v>
      </c>
      <c r="L3" s="13">
        <f t="shared" ref="L3:L65" si="7">F3*1.1</f>
        <v>79229.7</v>
      </c>
    </row>
    <row r="4">
      <c r="A4" s="5" t="s">
        <v>16</v>
      </c>
      <c r="B4" s="6" t="s">
        <v>17</v>
      </c>
      <c r="C4" s="7" t="s">
        <v>20</v>
      </c>
      <c r="D4" s="6" t="s">
        <v>21</v>
      </c>
      <c r="E4" s="8">
        <v>795.0</v>
      </c>
      <c r="F4" s="9">
        <f t="shared" si="1"/>
        <v>42135</v>
      </c>
      <c r="G4" s="10">
        <f t="shared" si="2"/>
        <v>63202.5</v>
      </c>
      <c r="H4" s="11">
        <f t="shared" si="3"/>
        <v>54775.5</v>
      </c>
      <c r="I4" s="12">
        <f t="shared" si="4"/>
        <v>54775.5</v>
      </c>
      <c r="J4" s="13">
        <f t="shared" si="5"/>
        <v>50562</v>
      </c>
      <c r="K4" s="12">
        <f t="shared" si="6"/>
        <v>48455.25</v>
      </c>
      <c r="L4" s="13">
        <f t="shared" si="7"/>
        <v>46348.5</v>
      </c>
    </row>
    <row r="5">
      <c r="A5" s="5" t="s">
        <v>16</v>
      </c>
      <c r="B5" s="6" t="s">
        <v>17</v>
      </c>
      <c r="C5" s="7" t="s">
        <v>22</v>
      </c>
      <c r="D5" s="6" t="s">
        <v>23</v>
      </c>
      <c r="E5" s="8">
        <v>775.0</v>
      </c>
      <c r="F5" s="9">
        <f t="shared" si="1"/>
        <v>41075</v>
      </c>
      <c r="G5" s="10">
        <f t="shared" si="2"/>
        <v>61612.5</v>
      </c>
      <c r="H5" s="11">
        <f t="shared" si="3"/>
        <v>53397.5</v>
      </c>
      <c r="I5" s="12">
        <f t="shared" si="4"/>
        <v>53397.5</v>
      </c>
      <c r="J5" s="13">
        <f t="shared" si="5"/>
        <v>49290</v>
      </c>
      <c r="K5" s="12">
        <f t="shared" si="6"/>
        <v>47236.25</v>
      </c>
      <c r="L5" s="13">
        <f t="shared" si="7"/>
        <v>45182.5</v>
      </c>
    </row>
    <row r="6">
      <c r="A6" s="5" t="s">
        <v>16</v>
      </c>
      <c r="B6" s="6" t="s">
        <v>17</v>
      </c>
      <c r="C6" s="7" t="s">
        <v>24</v>
      </c>
      <c r="D6" s="6" t="s">
        <v>25</v>
      </c>
      <c r="E6" s="8">
        <v>295.0</v>
      </c>
      <c r="F6" s="9">
        <f t="shared" si="1"/>
        <v>15635</v>
      </c>
      <c r="G6" s="10">
        <f t="shared" si="2"/>
        <v>23452.5</v>
      </c>
      <c r="H6" s="11">
        <f t="shared" si="3"/>
        <v>20325.5</v>
      </c>
      <c r="I6" s="12">
        <f t="shared" si="4"/>
        <v>20325.5</v>
      </c>
      <c r="J6" s="13">
        <f t="shared" si="5"/>
        <v>18762</v>
      </c>
      <c r="K6" s="12">
        <f t="shared" si="6"/>
        <v>17980.25</v>
      </c>
      <c r="L6" s="13">
        <f t="shared" si="7"/>
        <v>17198.5</v>
      </c>
    </row>
    <row r="7">
      <c r="A7" s="5" t="s">
        <v>16</v>
      </c>
      <c r="B7" s="6" t="s">
        <v>17</v>
      </c>
      <c r="C7" s="7" t="s">
        <v>26</v>
      </c>
      <c r="D7" s="6" t="s">
        <v>27</v>
      </c>
      <c r="E7" s="8">
        <v>995.0</v>
      </c>
      <c r="F7" s="9">
        <f t="shared" si="1"/>
        <v>52735</v>
      </c>
      <c r="G7" s="10">
        <f t="shared" si="2"/>
        <v>79102.5</v>
      </c>
      <c r="H7" s="11">
        <f t="shared" si="3"/>
        <v>68555.5</v>
      </c>
      <c r="I7" s="12">
        <f t="shared" si="4"/>
        <v>68555.5</v>
      </c>
      <c r="J7" s="13">
        <f t="shared" si="5"/>
        <v>63282</v>
      </c>
      <c r="K7" s="12">
        <f t="shared" si="6"/>
        <v>60645.25</v>
      </c>
      <c r="L7" s="13">
        <f t="shared" si="7"/>
        <v>58008.5</v>
      </c>
    </row>
    <row r="8">
      <c r="A8" s="5" t="s">
        <v>16</v>
      </c>
      <c r="B8" s="6" t="s">
        <v>17</v>
      </c>
      <c r="C8" s="7" t="s">
        <v>28</v>
      </c>
      <c r="D8" s="6" t="s">
        <v>29</v>
      </c>
      <c r="E8" s="8">
        <v>645.0</v>
      </c>
      <c r="F8" s="9">
        <f t="shared" si="1"/>
        <v>34185</v>
      </c>
      <c r="G8" s="10">
        <f t="shared" si="2"/>
        <v>51277.5</v>
      </c>
      <c r="H8" s="11">
        <f t="shared" si="3"/>
        <v>44440.5</v>
      </c>
      <c r="I8" s="12">
        <f t="shared" si="4"/>
        <v>44440.5</v>
      </c>
      <c r="J8" s="13">
        <f t="shared" si="5"/>
        <v>41022</v>
      </c>
      <c r="K8" s="12">
        <f t="shared" si="6"/>
        <v>39312.75</v>
      </c>
      <c r="L8" s="13">
        <f t="shared" si="7"/>
        <v>37603.5</v>
      </c>
    </row>
    <row r="9">
      <c r="A9" s="5" t="s">
        <v>16</v>
      </c>
      <c r="B9" s="6" t="s">
        <v>17</v>
      </c>
      <c r="C9" s="7" t="s">
        <v>30</v>
      </c>
      <c r="D9" s="6" t="s">
        <v>31</v>
      </c>
      <c r="E9" s="8">
        <v>625.0</v>
      </c>
      <c r="F9" s="9">
        <f t="shared" si="1"/>
        <v>33125</v>
      </c>
      <c r="G9" s="10">
        <f t="shared" si="2"/>
        <v>49687.5</v>
      </c>
      <c r="H9" s="11">
        <f t="shared" si="3"/>
        <v>43062.5</v>
      </c>
      <c r="I9" s="12">
        <f t="shared" si="4"/>
        <v>43062.5</v>
      </c>
      <c r="J9" s="13">
        <f t="shared" si="5"/>
        <v>39750</v>
      </c>
      <c r="K9" s="12">
        <f t="shared" si="6"/>
        <v>38093.75</v>
      </c>
      <c r="L9" s="13">
        <f t="shared" si="7"/>
        <v>36437.5</v>
      </c>
    </row>
    <row r="10">
      <c r="A10" s="5" t="s">
        <v>16</v>
      </c>
      <c r="B10" s="6" t="s">
        <v>17</v>
      </c>
      <c r="C10" s="7" t="s">
        <v>32</v>
      </c>
      <c r="D10" s="6" t="s">
        <v>33</v>
      </c>
      <c r="E10" s="8">
        <v>195.0</v>
      </c>
      <c r="F10" s="9">
        <f t="shared" si="1"/>
        <v>10335</v>
      </c>
      <c r="G10" s="10">
        <f t="shared" si="2"/>
        <v>15502.5</v>
      </c>
      <c r="H10" s="11">
        <f t="shared" si="3"/>
        <v>13435.5</v>
      </c>
      <c r="I10" s="12">
        <f t="shared" si="4"/>
        <v>13435.5</v>
      </c>
      <c r="J10" s="13">
        <f t="shared" si="5"/>
        <v>12402</v>
      </c>
      <c r="K10" s="12">
        <f t="shared" si="6"/>
        <v>11885.25</v>
      </c>
      <c r="L10" s="13">
        <f t="shared" si="7"/>
        <v>11368.5</v>
      </c>
    </row>
    <row r="11">
      <c r="A11" s="5" t="s">
        <v>16</v>
      </c>
      <c r="B11" s="6" t="s">
        <v>17</v>
      </c>
      <c r="C11" s="7" t="s">
        <v>34</v>
      </c>
      <c r="D11" s="6" t="s">
        <v>35</v>
      </c>
      <c r="E11" s="8">
        <v>195.0</v>
      </c>
      <c r="F11" s="9">
        <f t="shared" si="1"/>
        <v>10335</v>
      </c>
      <c r="G11" s="10">
        <f t="shared" si="2"/>
        <v>15502.5</v>
      </c>
      <c r="H11" s="11">
        <f t="shared" si="3"/>
        <v>13435.5</v>
      </c>
      <c r="I11" s="12">
        <f t="shared" si="4"/>
        <v>13435.5</v>
      </c>
      <c r="J11" s="13">
        <f t="shared" si="5"/>
        <v>12402</v>
      </c>
      <c r="K11" s="12">
        <f t="shared" si="6"/>
        <v>11885.25</v>
      </c>
      <c r="L11" s="13">
        <f t="shared" si="7"/>
        <v>11368.5</v>
      </c>
    </row>
    <row r="12">
      <c r="A12" s="5" t="s">
        <v>16</v>
      </c>
      <c r="B12" s="6" t="s">
        <v>36</v>
      </c>
      <c r="C12" s="7" t="s">
        <v>37</v>
      </c>
      <c r="D12" s="6" t="s">
        <v>38</v>
      </c>
      <c r="E12" s="8">
        <v>95.0</v>
      </c>
      <c r="F12" s="9">
        <f t="shared" si="1"/>
        <v>5035</v>
      </c>
      <c r="G12" s="10">
        <f t="shared" si="2"/>
        <v>7552.5</v>
      </c>
      <c r="H12" s="11">
        <f t="shared" si="3"/>
        <v>6545.5</v>
      </c>
      <c r="I12" s="12">
        <f t="shared" si="4"/>
        <v>6545.5</v>
      </c>
      <c r="J12" s="13">
        <f t="shared" si="5"/>
        <v>6042</v>
      </c>
      <c r="K12" s="12">
        <f t="shared" si="6"/>
        <v>5790.25</v>
      </c>
      <c r="L12" s="13">
        <f t="shared" si="7"/>
        <v>5538.5</v>
      </c>
    </row>
    <row r="13">
      <c r="A13" s="5" t="s">
        <v>16</v>
      </c>
      <c r="B13" s="6" t="s">
        <v>36</v>
      </c>
      <c r="C13" s="7" t="s">
        <v>39</v>
      </c>
      <c r="D13" s="6" t="s">
        <v>40</v>
      </c>
      <c r="E13" s="8">
        <v>110.0</v>
      </c>
      <c r="F13" s="9">
        <f t="shared" si="1"/>
        <v>5830</v>
      </c>
      <c r="G13" s="10">
        <f t="shared" si="2"/>
        <v>8745</v>
      </c>
      <c r="H13" s="11">
        <f t="shared" si="3"/>
        <v>7579</v>
      </c>
      <c r="I13" s="12">
        <f t="shared" si="4"/>
        <v>7579</v>
      </c>
      <c r="J13" s="13">
        <f t="shared" si="5"/>
        <v>6996</v>
      </c>
      <c r="K13" s="12">
        <f t="shared" si="6"/>
        <v>6704.5</v>
      </c>
      <c r="L13" s="13">
        <f t="shared" si="7"/>
        <v>6413</v>
      </c>
    </row>
    <row r="14">
      <c r="A14" s="5" t="s">
        <v>16</v>
      </c>
      <c r="B14" s="6" t="s">
        <v>36</v>
      </c>
      <c r="C14" s="7" t="s">
        <v>41</v>
      </c>
      <c r="D14" s="6" t="s">
        <v>42</v>
      </c>
      <c r="E14" s="8">
        <v>120.0</v>
      </c>
      <c r="F14" s="9">
        <f t="shared" si="1"/>
        <v>6360</v>
      </c>
      <c r="G14" s="10">
        <f t="shared" si="2"/>
        <v>9540</v>
      </c>
      <c r="H14" s="11">
        <f t="shared" si="3"/>
        <v>8268</v>
      </c>
      <c r="I14" s="12">
        <f t="shared" si="4"/>
        <v>8268</v>
      </c>
      <c r="J14" s="13">
        <f t="shared" si="5"/>
        <v>7632</v>
      </c>
      <c r="K14" s="12">
        <f t="shared" si="6"/>
        <v>7314</v>
      </c>
      <c r="L14" s="13">
        <f t="shared" si="7"/>
        <v>6996</v>
      </c>
    </row>
    <row r="15">
      <c r="A15" s="5" t="s">
        <v>16</v>
      </c>
      <c r="B15" s="6" t="s">
        <v>36</v>
      </c>
      <c r="C15" s="7" t="s">
        <v>43</v>
      </c>
      <c r="D15" s="6" t="s">
        <v>44</v>
      </c>
      <c r="E15" s="8">
        <v>130.0</v>
      </c>
      <c r="F15" s="9">
        <f t="shared" si="1"/>
        <v>6890</v>
      </c>
      <c r="G15" s="10">
        <f t="shared" si="2"/>
        <v>10335</v>
      </c>
      <c r="H15" s="11">
        <f t="shared" si="3"/>
        <v>8957</v>
      </c>
      <c r="I15" s="12">
        <f t="shared" si="4"/>
        <v>8957</v>
      </c>
      <c r="J15" s="13">
        <f t="shared" si="5"/>
        <v>8268</v>
      </c>
      <c r="K15" s="12">
        <f t="shared" si="6"/>
        <v>7923.5</v>
      </c>
      <c r="L15" s="13">
        <f t="shared" si="7"/>
        <v>7579</v>
      </c>
    </row>
    <row r="16">
      <c r="A16" s="5" t="s">
        <v>16</v>
      </c>
      <c r="B16" s="6" t="s">
        <v>36</v>
      </c>
      <c r="C16" s="7" t="s">
        <v>45</v>
      </c>
      <c r="D16" s="6" t="s">
        <v>46</v>
      </c>
      <c r="E16" s="8">
        <v>60.0</v>
      </c>
      <c r="F16" s="9">
        <f t="shared" si="1"/>
        <v>3180</v>
      </c>
      <c r="G16" s="10">
        <f t="shared" si="2"/>
        <v>4770</v>
      </c>
      <c r="H16" s="11">
        <f t="shared" si="3"/>
        <v>4134</v>
      </c>
      <c r="I16" s="12">
        <f t="shared" si="4"/>
        <v>4134</v>
      </c>
      <c r="J16" s="13">
        <f t="shared" si="5"/>
        <v>3816</v>
      </c>
      <c r="K16" s="12">
        <f t="shared" si="6"/>
        <v>3657</v>
      </c>
      <c r="L16" s="13">
        <f t="shared" si="7"/>
        <v>3498</v>
      </c>
    </row>
    <row r="17">
      <c r="A17" s="5" t="s">
        <v>16</v>
      </c>
      <c r="B17" s="6" t="s">
        <v>36</v>
      </c>
      <c r="C17" s="7" t="s">
        <v>47</v>
      </c>
      <c r="D17" s="6" t="s">
        <v>48</v>
      </c>
      <c r="E17" s="8">
        <v>75.0</v>
      </c>
      <c r="F17" s="9">
        <f t="shared" si="1"/>
        <v>3975</v>
      </c>
      <c r="G17" s="10">
        <f t="shared" si="2"/>
        <v>5962.5</v>
      </c>
      <c r="H17" s="11">
        <f t="shared" si="3"/>
        <v>5167.5</v>
      </c>
      <c r="I17" s="12">
        <f t="shared" si="4"/>
        <v>5167.5</v>
      </c>
      <c r="J17" s="13">
        <f t="shared" si="5"/>
        <v>4770</v>
      </c>
      <c r="K17" s="12">
        <f t="shared" si="6"/>
        <v>4571.25</v>
      </c>
      <c r="L17" s="13">
        <f t="shared" si="7"/>
        <v>4372.5</v>
      </c>
    </row>
    <row r="18">
      <c r="A18" s="5" t="s">
        <v>16</v>
      </c>
      <c r="B18" s="6" t="s">
        <v>36</v>
      </c>
      <c r="C18" s="7" t="s">
        <v>49</v>
      </c>
      <c r="D18" s="6" t="s">
        <v>50</v>
      </c>
      <c r="E18" s="8">
        <v>90.0</v>
      </c>
      <c r="F18" s="9">
        <f t="shared" si="1"/>
        <v>4770</v>
      </c>
      <c r="G18" s="10">
        <f t="shared" si="2"/>
        <v>7155</v>
      </c>
      <c r="H18" s="11">
        <f t="shared" si="3"/>
        <v>6201</v>
      </c>
      <c r="I18" s="12">
        <f t="shared" si="4"/>
        <v>6201</v>
      </c>
      <c r="J18" s="13">
        <f t="shared" si="5"/>
        <v>5724</v>
      </c>
      <c r="K18" s="12">
        <f t="shared" si="6"/>
        <v>5485.5</v>
      </c>
      <c r="L18" s="13">
        <f t="shared" si="7"/>
        <v>5247</v>
      </c>
    </row>
    <row r="19">
      <c r="A19" s="5" t="s">
        <v>16</v>
      </c>
      <c r="B19" s="6" t="s">
        <v>36</v>
      </c>
      <c r="C19" s="7" t="s">
        <v>51</v>
      </c>
      <c r="D19" s="6" t="s">
        <v>52</v>
      </c>
      <c r="E19" s="8">
        <v>75.0</v>
      </c>
      <c r="F19" s="9">
        <f t="shared" si="1"/>
        <v>3975</v>
      </c>
      <c r="G19" s="10">
        <f t="shared" si="2"/>
        <v>5962.5</v>
      </c>
      <c r="H19" s="11">
        <f t="shared" si="3"/>
        <v>5167.5</v>
      </c>
      <c r="I19" s="12">
        <f t="shared" si="4"/>
        <v>5167.5</v>
      </c>
      <c r="J19" s="13">
        <f t="shared" si="5"/>
        <v>4770</v>
      </c>
      <c r="K19" s="12">
        <f t="shared" si="6"/>
        <v>4571.25</v>
      </c>
      <c r="L19" s="13">
        <f t="shared" si="7"/>
        <v>4372.5</v>
      </c>
    </row>
    <row r="20">
      <c r="A20" s="5" t="s">
        <v>16</v>
      </c>
      <c r="B20" s="6" t="s">
        <v>36</v>
      </c>
      <c r="C20" s="7" t="s">
        <v>53</v>
      </c>
      <c r="D20" s="6" t="s">
        <v>54</v>
      </c>
      <c r="E20" s="8">
        <v>90.0</v>
      </c>
      <c r="F20" s="9">
        <f t="shared" si="1"/>
        <v>4770</v>
      </c>
      <c r="G20" s="10">
        <f t="shared" si="2"/>
        <v>7155</v>
      </c>
      <c r="H20" s="11">
        <f t="shared" si="3"/>
        <v>6201</v>
      </c>
      <c r="I20" s="12">
        <f t="shared" si="4"/>
        <v>6201</v>
      </c>
      <c r="J20" s="13">
        <f t="shared" si="5"/>
        <v>5724</v>
      </c>
      <c r="K20" s="12">
        <f t="shared" si="6"/>
        <v>5485.5</v>
      </c>
      <c r="L20" s="13">
        <f t="shared" si="7"/>
        <v>5247</v>
      </c>
    </row>
    <row r="21">
      <c r="A21" s="5" t="s">
        <v>16</v>
      </c>
      <c r="B21" s="6" t="s">
        <v>36</v>
      </c>
      <c r="C21" s="7" t="s">
        <v>55</v>
      </c>
      <c r="D21" s="6" t="s">
        <v>56</v>
      </c>
      <c r="E21" s="8">
        <v>105.0</v>
      </c>
      <c r="F21" s="9">
        <f t="shared" si="1"/>
        <v>5565</v>
      </c>
      <c r="G21" s="10">
        <f t="shared" si="2"/>
        <v>8347.5</v>
      </c>
      <c r="H21" s="11">
        <f t="shared" si="3"/>
        <v>7234.5</v>
      </c>
      <c r="I21" s="12">
        <f t="shared" si="4"/>
        <v>7234.5</v>
      </c>
      <c r="J21" s="13">
        <f t="shared" si="5"/>
        <v>6678</v>
      </c>
      <c r="K21" s="12">
        <f t="shared" si="6"/>
        <v>6399.75</v>
      </c>
      <c r="L21" s="13">
        <f t="shared" si="7"/>
        <v>6121.5</v>
      </c>
    </row>
    <row r="22">
      <c r="A22" s="5" t="s">
        <v>16</v>
      </c>
      <c r="B22" s="6" t="s">
        <v>36</v>
      </c>
      <c r="C22" s="7" t="s">
        <v>57</v>
      </c>
      <c r="D22" s="6" t="s">
        <v>58</v>
      </c>
      <c r="E22" s="8">
        <v>105.0</v>
      </c>
      <c r="F22" s="9">
        <f t="shared" si="1"/>
        <v>5565</v>
      </c>
      <c r="G22" s="10">
        <f t="shared" si="2"/>
        <v>8347.5</v>
      </c>
      <c r="H22" s="11">
        <f t="shared" si="3"/>
        <v>7234.5</v>
      </c>
      <c r="I22" s="12">
        <f t="shared" si="4"/>
        <v>7234.5</v>
      </c>
      <c r="J22" s="13">
        <f t="shared" si="5"/>
        <v>6678</v>
      </c>
      <c r="K22" s="12">
        <f t="shared" si="6"/>
        <v>6399.75</v>
      </c>
      <c r="L22" s="13">
        <f t="shared" si="7"/>
        <v>6121.5</v>
      </c>
    </row>
    <row r="23">
      <c r="A23" s="5" t="s">
        <v>16</v>
      </c>
      <c r="B23" s="6" t="s">
        <v>36</v>
      </c>
      <c r="C23" s="7" t="s">
        <v>59</v>
      </c>
      <c r="D23" s="6" t="s">
        <v>60</v>
      </c>
      <c r="E23" s="8">
        <v>120.0</v>
      </c>
      <c r="F23" s="9">
        <f t="shared" si="1"/>
        <v>6360</v>
      </c>
      <c r="G23" s="10">
        <f t="shared" si="2"/>
        <v>9540</v>
      </c>
      <c r="H23" s="11">
        <f t="shared" si="3"/>
        <v>8268</v>
      </c>
      <c r="I23" s="12">
        <f t="shared" si="4"/>
        <v>8268</v>
      </c>
      <c r="J23" s="13">
        <f t="shared" si="5"/>
        <v>7632</v>
      </c>
      <c r="K23" s="12">
        <f t="shared" si="6"/>
        <v>7314</v>
      </c>
      <c r="L23" s="13">
        <f t="shared" si="7"/>
        <v>6996</v>
      </c>
    </row>
    <row r="24">
      <c r="A24" s="5" t="s">
        <v>16</v>
      </c>
      <c r="B24" s="6" t="s">
        <v>36</v>
      </c>
      <c r="C24" s="7" t="s">
        <v>61</v>
      </c>
      <c r="D24" s="6" t="s">
        <v>62</v>
      </c>
      <c r="E24" s="8">
        <v>135.0</v>
      </c>
      <c r="F24" s="9">
        <f t="shared" si="1"/>
        <v>7155</v>
      </c>
      <c r="G24" s="10">
        <f t="shared" si="2"/>
        <v>10732.5</v>
      </c>
      <c r="H24" s="11">
        <f t="shared" si="3"/>
        <v>9301.5</v>
      </c>
      <c r="I24" s="12">
        <f t="shared" si="4"/>
        <v>9301.5</v>
      </c>
      <c r="J24" s="13">
        <f t="shared" si="5"/>
        <v>8586</v>
      </c>
      <c r="K24" s="12">
        <f t="shared" si="6"/>
        <v>8228.25</v>
      </c>
      <c r="L24" s="13">
        <f t="shared" si="7"/>
        <v>7870.5</v>
      </c>
    </row>
    <row r="25">
      <c r="A25" s="5" t="s">
        <v>16</v>
      </c>
      <c r="B25" s="6" t="s">
        <v>36</v>
      </c>
      <c r="C25" s="7" t="s">
        <v>63</v>
      </c>
      <c r="D25" s="6" t="s">
        <v>64</v>
      </c>
      <c r="E25" s="8">
        <v>95.0</v>
      </c>
      <c r="F25" s="9">
        <f t="shared" si="1"/>
        <v>5035</v>
      </c>
      <c r="G25" s="10">
        <f t="shared" si="2"/>
        <v>7552.5</v>
      </c>
      <c r="H25" s="11">
        <f t="shared" si="3"/>
        <v>6545.5</v>
      </c>
      <c r="I25" s="12">
        <f t="shared" si="4"/>
        <v>6545.5</v>
      </c>
      <c r="J25" s="13">
        <f t="shared" si="5"/>
        <v>6042</v>
      </c>
      <c r="K25" s="12">
        <f t="shared" si="6"/>
        <v>5790.25</v>
      </c>
      <c r="L25" s="13">
        <f t="shared" si="7"/>
        <v>5538.5</v>
      </c>
    </row>
    <row r="26">
      <c r="A26" s="5" t="s">
        <v>16</v>
      </c>
      <c r="B26" s="6" t="s">
        <v>36</v>
      </c>
      <c r="C26" s="7" t="s">
        <v>65</v>
      </c>
      <c r="D26" s="6" t="s">
        <v>66</v>
      </c>
      <c r="E26" s="8">
        <v>110.0</v>
      </c>
      <c r="F26" s="9">
        <f t="shared" si="1"/>
        <v>5830</v>
      </c>
      <c r="G26" s="10">
        <f t="shared" si="2"/>
        <v>8745</v>
      </c>
      <c r="H26" s="11">
        <f t="shared" si="3"/>
        <v>7579</v>
      </c>
      <c r="I26" s="12">
        <f t="shared" si="4"/>
        <v>7579</v>
      </c>
      <c r="J26" s="13">
        <f t="shared" si="5"/>
        <v>6996</v>
      </c>
      <c r="K26" s="12">
        <f t="shared" si="6"/>
        <v>6704.5</v>
      </c>
      <c r="L26" s="13">
        <f t="shared" si="7"/>
        <v>6413</v>
      </c>
    </row>
    <row r="27">
      <c r="A27" s="5" t="s">
        <v>16</v>
      </c>
      <c r="B27" s="6" t="s">
        <v>36</v>
      </c>
      <c r="C27" s="7" t="s">
        <v>67</v>
      </c>
      <c r="D27" s="6" t="s">
        <v>68</v>
      </c>
      <c r="E27" s="8">
        <v>125.0</v>
      </c>
      <c r="F27" s="9">
        <f t="shared" si="1"/>
        <v>6625</v>
      </c>
      <c r="G27" s="10">
        <f t="shared" si="2"/>
        <v>9937.5</v>
      </c>
      <c r="H27" s="11">
        <f t="shared" si="3"/>
        <v>8612.5</v>
      </c>
      <c r="I27" s="12">
        <f t="shared" si="4"/>
        <v>8612.5</v>
      </c>
      <c r="J27" s="13">
        <f t="shared" si="5"/>
        <v>7950</v>
      </c>
      <c r="K27" s="12">
        <f t="shared" si="6"/>
        <v>7618.75</v>
      </c>
      <c r="L27" s="13">
        <f t="shared" si="7"/>
        <v>7287.5</v>
      </c>
    </row>
    <row r="28">
      <c r="A28" s="5" t="s">
        <v>16</v>
      </c>
      <c r="B28" s="6" t="s">
        <v>36</v>
      </c>
      <c r="C28" s="7" t="s">
        <v>69</v>
      </c>
      <c r="D28" s="6" t="s">
        <v>70</v>
      </c>
      <c r="E28" s="8">
        <v>155.0</v>
      </c>
      <c r="F28" s="9">
        <f t="shared" si="1"/>
        <v>8215</v>
      </c>
      <c r="G28" s="10">
        <f t="shared" si="2"/>
        <v>12322.5</v>
      </c>
      <c r="H28" s="11">
        <f t="shared" si="3"/>
        <v>10679.5</v>
      </c>
      <c r="I28" s="12">
        <f t="shared" si="4"/>
        <v>10679.5</v>
      </c>
      <c r="J28" s="13">
        <f t="shared" si="5"/>
        <v>9858</v>
      </c>
      <c r="K28" s="12">
        <f t="shared" si="6"/>
        <v>9447.25</v>
      </c>
      <c r="L28" s="13">
        <f t="shared" si="7"/>
        <v>9036.5</v>
      </c>
    </row>
    <row r="29">
      <c r="A29" s="5" t="s">
        <v>16</v>
      </c>
      <c r="B29" s="6" t="s">
        <v>36</v>
      </c>
      <c r="C29" s="7" t="s">
        <v>71</v>
      </c>
      <c r="D29" s="6" t="s">
        <v>72</v>
      </c>
      <c r="E29" s="8">
        <v>225.0</v>
      </c>
      <c r="F29" s="9">
        <f t="shared" si="1"/>
        <v>11925</v>
      </c>
      <c r="G29" s="10">
        <f t="shared" si="2"/>
        <v>17887.5</v>
      </c>
      <c r="H29" s="11">
        <f t="shared" si="3"/>
        <v>15502.5</v>
      </c>
      <c r="I29" s="12">
        <f t="shared" si="4"/>
        <v>15502.5</v>
      </c>
      <c r="J29" s="13">
        <f t="shared" si="5"/>
        <v>14310</v>
      </c>
      <c r="K29" s="12">
        <f t="shared" si="6"/>
        <v>13713.75</v>
      </c>
      <c r="L29" s="13">
        <f t="shared" si="7"/>
        <v>13117.5</v>
      </c>
    </row>
    <row r="30">
      <c r="A30" s="5" t="s">
        <v>16</v>
      </c>
      <c r="B30" s="6" t="s">
        <v>36</v>
      </c>
      <c r="C30" s="7" t="s">
        <v>73</v>
      </c>
      <c r="D30" s="6" t="s">
        <v>74</v>
      </c>
      <c r="E30" s="8">
        <v>295.0</v>
      </c>
      <c r="F30" s="9">
        <f t="shared" si="1"/>
        <v>15635</v>
      </c>
      <c r="G30" s="10">
        <f t="shared" si="2"/>
        <v>23452.5</v>
      </c>
      <c r="H30" s="11">
        <f t="shared" si="3"/>
        <v>20325.5</v>
      </c>
      <c r="I30" s="12">
        <f t="shared" si="4"/>
        <v>20325.5</v>
      </c>
      <c r="J30" s="13">
        <f t="shared" si="5"/>
        <v>18762</v>
      </c>
      <c r="K30" s="12">
        <f t="shared" si="6"/>
        <v>17980.25</v>
      </c>
      <c r="L30" s="13">
        <f t="shared" si="7"/>
        <v>17198.5</v>
      </c>
    </row>
    <row r="31">
      <c r="A31" s="5" t="s">
        <v>16</v>
      </c>
      <c r="B31" s="6" t="s">
        <v>36</v>
      </c>
      <c r="C31" s="7" t="s">
        <v>75</v>
      </c>
      <c r="D31" s="6" t="s">
        <v>76</v>
      </c>
      <c r="E31" s="8">
        <v>195.0</v>
      </c>
      <c r="F31" s="9">
        <f t="shared" si="1"/>
        <v>10335</v>
      </c>
      <c r="G31" s="10">
        <f t="shared" si="2"/>
        <v>15502.5</v>
      </c>
      <c r="H31" s="11">
        <f t="shared" si="3"/>
        <v>13435.5</v>
      </c>
      <c r="I31" s="12">
        <f t="shared" si="4"/>
        <v>13435.5</v>
      </c>
      <c r="J31" s="13">
        <f t="shared" si="5"/>
        <v>12402</v>
      </c>
      <c r="K31" s="12">
        <f t="shared" si="6"/>
        <v>11885.25</v>
      </c>
      <c r="L31" s="13">
        <f t="shared" si="7"/>
        <v>11368.5</v>
      </c>
    </row>
    <row r="32">
      <c r="A32" s="5" t="s">
        <v>16</v>
      </c>
      <c r="B32" s="6" t="s">
        <v>36</v>
      </c>
      <c r="C32" s="7" t="s">
        <v>77</v>
      </c>
      <c r="D32" s="6" t="s">
        <v>78</v>
      </c>
      <c r="E32" s="8">
        <v>95.0</v>
      </c>
      <c r="F32" s="9">
        <f t="shared" si="1"/>
        <v>5035</v>
      </c>
      <c r="G32" s="10">
        <f t="shared" si="2"/>
        <v>7552.5</v>
      </c>
      <c r="H32" s="11">
        <f t="shared" si="3"/>
        <v>6545.5</v>
      </c>
      <c r="I32" s="12">
        <f t="shared" si="4"/>
        <v>6545.5</v>
      </c>
      <c r="J32" s="13">
        <f t="shared" si="5"/>
        <v>6042</v>
      </c>
      <c r="K32" s="12">
        <f t="shared" si="6"/>
        <v>5790.25</v>
      </c>
      <c r="L32" s="13">
        <f t="shared" si="7"/>
        <v>5538.5</v>
      </c>
    </row>
    <row r="33">
      <c r="A33" s="5" t="s">
        <v>16</v>
      </c>
      <c r="B33" s="6" t="s">
        <v>36</v>
      </c>
      <c r="C33" s="7" t="s">
        <v>79</v>
      </c>
      <c r="D33" s="6" t="s">
        <v>80</v>
      </c>
      <c r="E33" s="8">
        <v>85.0</v>
      </c>
      <c r="F33" s="9">
        <f t="shared" si="1"/>
        <v>4505</v>
      </c>
      <c r="G33" s="10">
        <f t="shared" si="2"/>
        <v>6757.5</v>
      </c>
      <c r="H33" s="11">
        <f t="shared" si="3"/>
        <v>5856.5</v>
      </c>
      <c r="I33" s="12">
        <f t="shared" si="4"/>
        <v>5856.5</v>
      </c>
      <c r="J33" s="13">
        <f t="shared" si="5"/>
        <v>5406</v>
      </c>
      <c r="K33" s="12">
        <f t="shared" si="6"/>
        <v>5180.75</v>
      </c>
      <c r="L33" s="13">
        <f t="shared" si="7"/>
        <v>4955.5</v>
      </c>
    </row>
    <row r="34">
      <c r="A34" s="5" t="s">
        <v>16</v>
      </c>
      <c r="B34" s="6" t="s">
        <v>36</v>
      </c>
      <c r="C34" s="7" t="s">
        <v>81</v>
      </c>
      <c r="D34" s="6" t="s">
        <v>82</v>
      </c>
      <c r="E34" s="8">
        <v>175.0</v>
      </c>
      <c r="F34" s="9">
        <f t="shared" si="1"/>
        <v>9275</v>
      </c>
      <c r="G34" s="10">
        <f t="shared" si="2"/>
        <v>13912.5</v>
      </c>
      <c r="H34" s="11">
        <f t="shared" si="3"/>
        <v>12057.5</v>
      </c>
      <c r="I34" s="12">
        <f t="shared" si="4"/>
        <v>12057.5</v>
      </c>
      <c r="J34" s="13">
        <f t="shared" si="5"/>
        <v>11130</v>
      </c>
      <c r="K34" s="12">
        <f t="shared" si="6"/>
        <v>10666.25</v>
      </c>
      <c r="L34" s="13">
        <f t="shared" si="7"/>
        <v>10202.5</v>
      </c>
    </row>
    <row r="35">
      <c r="A35" s="5" t="s">
        <v>16</v>
      </c>
      <c r="B35" s="6" t="s">
        <v>36</v>
      </c>
      <c r="C35" s="7" t="s">
        <v>83</v>
      </c>
      <c r="D35" s="6" t="s">
        <v>84</v>
      </c>
      <c r="E35" s="8">
        <v>275.0</v>
      </c>
      <c r="F35" s="9">
        <f t="shared" si="1"/>
        <v>14575</v>
      </c>
      <c r="G35" s="10">
        <f t="shared" si="2"/>
        <v>21862.5</v>
      </c>
      <c r="H35" s="11">
        <f t="shared" si="3"/>
        <v>18947.5</v>
      </c>
      <c r="I35" s="12">
        <f t="shared" si="4"/>
        <v>18947.5</v>
      </c>
      <c r="J35" s="13">
        <f t="shared" si="5"/>
        <v>17490</v>
      </c>
      <c r="K35" s="12">
        <f t="shared" si="6"/>
        <v>16761.25</v>
      </c>
      <c r="L35" s="13">
        <f t="shared" si="7"/>
        <v>16032.5</v>
      </c>
    </row>
    <row r="36">
      <c r="A36" s="5" t="s">
        <v>16</v>
      </c>
      <c r="B36" s="6" t="s">
        <v>36</v>
      </c>
      <c r="C36" s="7" t="s">
        <v>85</v>
      </c>
      <c r="D36" s="6" t="s">
        <v>86</v>
      </c>
      <c r="E36" s="8">
        <v>375.0</v>
      </c>
      <c r="F36" s="9">
        <f t="shared" si="1"/>
        <v>19875</v>
      </c>
      <c r="G36" s="10">
        <f t="shared" si="2"/>
        <v>29812.5</v>
      </c>
      <c r="H36" s="11">
        <f t="shared" si="3"/>
        <v>25837.5</v>
      </c>
      <c r="I36" s="12">
        <f t="shared" si="4"/>
        <v>25837.5</v>
      </c>
      <c r="J36" s="13">
        <f t="shared" si="5"/>
        <v>23850</v>
      </c>
      <c r="K36" s="12">
        <f t="shared" si="6"/>
        <v>22856.25</v>
      </c>
      <c r="L36" s="13">
        <f t="shared" si="7"/>
        <v>21862.5</v>
      </c>
    </row>
    <row r="37">
      <c r="A37" s="5" t="s">
        <v>16</v>
      </c>
      <c r="B37" s="6" t="s">
        <v>36</v>
      </c>
      <c r="C37" s="7" t="s">
        <v>87</v>
      </c>
      <c r="D37" s="6" t="s">
        <v>88</v>
      </c>
      <c r="E37" s="8">
        <v>495.0</v>
      </c>
      <c r="F37" s="9">
        <f t="shared" si="1"/>
        <v>26235</v>
      </c>
      <c r="G37" s="10">
        <f t="shared" si="2"/>
        <v>39352.5</v>
      </c>
      <c r="H37" s="11">
        <f t="shared" si="3"/>
        <v>34105.5</v>
      </c>
      <c r="I37" s="12">
        <f t="shared" si="4"/>
        <v>34105.5</v>
      </c>
      <c r="J37" s="13">
        <f t="shared" si="5"/>
        <v>31482</v>
      </c>
      <c r="K37" s="12">
        <f t="shared" si="6"/>
        <v>30170.25</v>
      </c>
      <c r="L37" s="13">
        <f t="shared" si="7"/>
        <v>28858.5</v>
      </c>
    </row>
    <row r="38">
      <c r="A38" s="5" t="s">
        <v>16</v>
      </c>
      <c r="B38" s="6" t="s">
        <v>36</v>
      </c>
      <c r="C38" s="7" t="s">
        <v>89</v>
      </c>
      <c r="D38" s="6" t="s">
        <v>90</v>
      </c>
      <c r="E38" s="8">
        <v>245.0</v>
      </c>
      <c r="F38" s="9">
        <f t="shared" si="1"/>
        <v>12985</v>
      </c>
      <c r="G38" s="10">
        <f t="shared" si="2"/>
        <v>19477.5</v>
      </c>
      <c r="H38" s="11">
        <f t="shared" si="3"/>
        <v>16880.5</v>
      </c>
      <c r="I38" s="12">
        <f t="shared" si="4"/>
        <v>16880.5</v>
      </c>
      <c r="J38" s="13">
        <f t="shared" si="5"/>
        <v>15582</v>
      </c>
      <c r="K38" s="12">
        <f t="shared" si="6"/>
        <v>14932.75</v>
      </c>
      <c r="L38" s="13">
        <f t="shared" si="7"/>
        <v>14283.5</v>
      </c>
    </row>
    <row r="39">
      <c r="A39" s="5" t="s">
        <v>16</v>
      </c>
      <c r="B39" s="6" t="s">
        <v>36</v>
      </c>
      <c r="C39" s="7" t="s">
        <v>91</v>
      </c>
      <c r="D39" s="6" t="s">
        <v>92</v>
      </c>
      <c r="E39" s="8">
        <v>255.0</v>
      </c>
      <c r="F39" s="9">
        <f t="shared" si="1"/>
        <v>13515</v>
      </c>
      <c r="G39" s="10">
        <f t="shared" si="2"/>
        <v>20272.5</v>
      </c>
      <c r="H39" s="11">
        <f t="shared" si="3"/>
        <v>17569.5</v>
      </c>
      <c r="I39" s="12">
        <f t="shared" si="4"/>
        <v>17569.5</v>
      </c>
      <c r="J39" s="13">
        <f t="shared" si="5"/>
        <v>16218</v>
      </c>
      <c r="K39" s="12">
        <f t="shared" si="6"/>
        <v>15542.25</v>
      </c>
      <c r="L39" s="13">
        <f t="shared" si="7"/>
        <v>14866.5</v>
      </c>
    </row>
    <row r="40">
      <c r="A40" s="5" t="s">
        <v>16</v>
      </c>
      <c r="B40" s="6" t="s">
        <v>36</v>
      </c>
      <c r="C40" s="7" t="s">
        <v>93</v>
      </c>
      <c r="D40" s="6" t="s">
        <v>94</v>
      </c>
      <c r="E40" s="8">
        <v>75.0</v>
      </c>
      <c r="F40" s="9">
        <f t="shared" si="1"/>
        <v>3975</v>
      </c>
      <c r="G40" s="10">
        <f t="shared" si="2"/>
        <v>5962.5</v>
      </c>
      <c r="H40" s="11">
        <f t="shared" si="3"/>
        <v>5167.5</v>
      </c>
      <c r="I40" s="12">
        <f t="shared" si="4"/>
        <v>5167.5</v>
      </c>
      <c r="J40" s="13">
        <f t="shared" si="5"/>
        <v>4770</v>
      </c>
      <c r="K40" s="12">
        <f t="shared" si="6"/>
        <v>4571.25</v>
      </c>
      <c r="L40" s="13">
        <f t="shared" si="7"/>
        <v>4372.5</v>
      </c>
    </row>
    <row r="41">
      <c r="A41" s="5" t="s">
        <v>16</v>
      </c>
      <c r="B41" s="6" t="s">
        <v>36</v>
      </c>
      <c r="C41" s="7" t="s">
        <v>95</v>
      </c>
      <c r="D41" s="6" t="s">
        <v>96</v>
      </c>
      <c r="E41" s="8">
        <v>45.0</v>
      </c>
      <c r="F41" s="9">
        <f t="shared" si="1"/>
        <v>2385</v>
      </c>
      <c r="G41" s="10">
        <f t="shared" si="2"/>
        <v>3577.5</v>
      </c>
      <c r="H41" s="11">
        <f t="shared" si="3"/>
        <v>3100.5</v>
      </c>
      <c r="I41" s="12">
        <f t="shared" si="4"/>
        <v>3100.5</v>
      </c>
      <c r="J41" s="13">
        <f t="shared" si="5"/>
        <v>2862</v>
      </c>
      <c r="K41" s="12">
        <f t="shared" si="6"/>
        <v>2742.75</v>
      </c>
      <c r="L41" s="13">
        <f t="shared" si="7"/>
        <v>2623.5</v>
      </c>
    </row>
    <row r="42">
      <c r="A42" s="5" t="s">
        <v>16</v>
      </c>
      <c r="B42" s="6" t="s">
        <v>36</v>
      </c>
      <c r="C42" s="7" t="s">
        <v>97</v>
      </c>
      <c r="D42" s="6" t="s">
        <v>98</v>
      </c>
      <c r="E42" s="8">
        <v>45.0</v>
      </c>
      <c r="F42" s="9">
        <f t="shared" si="1"/>
        <v>2385</v>
      </c>
      <c r="G42" s="10">
        <f t="shared" si="2"/>
        <v>3577.5</v>
      </c>
      <c r="H42" s="11">
        <f t="shared" si="3"/>
        <v>3100.5</v>
      </c>
      <c r="I42" s="12">
        <f t="shared" si="4"/>
        <v>3100.5</v>
      </c>
      <c r="J42" s="13">
        <f t="shared" si="5"/>
        <v>2862</v>
      </c>
      <c r="K42" s="12">
        <f t="shared" si="6"/>
        <v>2742.75</v>
      </c>
      <c r="L42" s="13">
        <f t="shared" si="7"/>
        <v>2623.5</v>
      </c>
    </row>
    <row r="43">
      <c r="A43" s="5" t="s">
        <v>16</v>
      </c>
      <c r="B43" s="6" t="s">
        <v>36</v>
      </c>
      <c r="C43" s="7" t="s">
        <v>99</v>
      </c>
      <c r="D43" s="6" t="s">
        <v>100</v>
      </c>
      <c r="E43" s="8">
        <v>20.0</v>
      </c>
      <c r="F43" s="9">
        <f t="shared" si="1"/>
        <v>1060</v>
      </c>
      <c r="G43" s="10">
        <f t="shared" si="2"/>
        <v>1590</v>
      </c>
      <c r="H43" s="11">
        <f t="shared" si="3"/>
        <v>1378</v>
      </c>
      <c r="I43" s="12">
        <f t="shared" si="4"/>
        <v>1378</v>
      </c>
      <c r="J43" s="13">
        <f t="shared" si="5"/>
        <v>1272</v>
      </c>
      <c r="K43" s="12">
        <f t="shared" si="6"/>
        <v>1219</v>
      </c>
      <c r="L43" s="13">
        <f t="shared" si="7"/>
        <v>1166</v>
      </c>
    </row>
    <row r="44">
      <c r="A44" s="5" t="s">
        <v>16</v>
      </c>
      <c r="B44" s="6" t="s">
        <v>36</v>
      </c>
      <c r="C44" s="7" t="s">
        <v>101</v>
      </c>
      <c r="D44" s="6" t="s">
        <v>102</v>
      </c>
      <c r="E44" s="8">
        <v>75.0</v>
      </c>
      <c r="F44" s="9">
        <f t="shared" si="1"/>
        <v>3975</v>
      </c>
      <c r="G44" s="10">
        <f t="shared" si="2"/>
        <v>5962.5</v>
      </c>
      <c r="H44" s="11">
        <f t="shared" si="3"/>
        <v>5167.5</v>
      </c>
      <c r="I44" s="12">
        <f t="shared" si="4"/>
        <v>5167.5</v>
      </c>
      <c r="J44" s="13">
        <f t="shared" si="5"/>
        <v>4770</v>
      </c>
      <c r="K44" s="12">
        <f t="shared" si="6"/>
        <v>4571.25</v>
      </c>
      <c r="L44" s="13">
        <f t="shared" si="7"/>
        <v>4372.5</v>
      </c>
    </row>
    <row r="45">
      <c r="A45" s="5" t="s">
        <v>16</v>
      </c>
      <c r="B45" s="6" t="s">
        <v>36</v>
      </c>
      <c r="C45" s="7" t="s">
        <v>103</v>
      </c>
      <c r="D45" s="6" t="s">
        <v>104</v>
      </c>
      <c r="E45" s="8">
        <v>145.0</v>
      </c>
      <c r="F45" s="9">
        <f t="shared" si="1"/>
        <v>7685</v>
      </c>
      <c r="G45" s="10">
        <f t="shared" si="2"/>
        <v>11527.5</v>
      </c>
      <c r="H45" s="11">
        <f t="shared" si="3"/>
        <v>9990.5</v>
      </c>
      <c r="I45" s="12">
        <f t="shared" si="4"/>
        <v>9990.5</v>
      </c>
      <c r="J45" s="13">
        <f t="shared" si="5"/>
        <v>9222</v>
      </c>
      <c r="K45" s="12">
        <f t="shared" si="6"/>
        <v>8837.75</v>
      </c>
      <c r="L45" s="13">
        <f t="shared" si="7"/>
        <v>8453.5</v>
      </c>
    </row>
    <row r="46">
      <c r="A46" s="5" t="s">
        <v>16</v>
      </c>
      <c r="B46" s="6" t="s">
        <v>36</v>
      </c>
      <c r="C46" s="7" t="s">
        <v>105</v>
      </c>
      <c r="D46" s="6" t="s">
        <v>106</v>
      </c>
      <c r="E46" s="8">
        <v>95.0</v>
      </c>
      <c r="F46" s="9">
        <f t="shared" si="1"/>
        <v>5035</v>
      </c>
      <c r="G46" s="10">
        <f t="shared" si="2"/>
        <v>7552.5</v>
      </c>
      <c r="H46" s="11">
        <f t="shared" si="3"/>
        <v>6545.5</v>
      </c>
      <c r="I46" s="12">
        <f t="shared" si="4"/>
        <v>6545.5</v>
      </c>
      <c r="J46" s="13">
        <f t="shared" si="5"/>
        <v>6042</v>
      </c>
      <c r="K46" s="12">
        <f t="shared" si="6"/>
        <v>5790.25</v>
      </c>
      <c r="L46" s="13">
        <f t="shared" si="7"/>
        <v>5538.5</v>
      </c>
    </row>
    <row r="47">
      <c r="A47" s="5" t="s">
        <v>16</v>
      </c>
      <c r="B47" s="6" t="s">
        <v>36</v>
      </c>
      <c r="C47" s="7" t="s">
        <v>107</v>
      </c>
      <c r="D47" s="6" t="s">
        <v>108</v>
      </c>
      <c r="E47" s="8">
        <v>95.0</v>
      </c>
      <c r="F47" s="9">
        <f t="shared" si="1"/>
        <v>5035</v>
      </c>
      <c r="G47" s="10">
        <f t="shared" si="2"/>
        <v>7552.5</v>
      </c>
      <c r="H47" s="11">
        <f t="shared" si="3"/>
        <v>6545.5</v>
      </c>
      <c r="I47" s="12">
        <f t="shared" si="4"/>
        <v>6545.5</v>
      </c>
      <c r="J47" s="13">
        <f t="shared" si="5"/>
        <v>6042</v>
      </c>
      <c r="K47" s="12">
        <f t="shared" si="6"/>
        <v>5790.25</v>
      </c>
      <c r="L47" s="13">
        <f t="shared" si="7"/>
        <v>5538.5</v>
      </c>
    </row>
    <row r="48">
      <c r="A48" s="5" t="s">
        <v>16</v>
      </c>
      <c r="B48" s="6" t="s">
        <v>36</v>
      </c>
      <c r="C48" s="7" t="s">
        <v>109</v>
      </c>
      <c r="D48" s="6" t="s">
        <v>110</v>
      </c>
      <c r="E48" s="8">
        <v>245.0</v>
      </c>
      <c r="F48" s="9">
        <f t="shared" si="1"/>
        <v>12985</v>
      </c>
      <c r="G48" s="10">
        <f t="shared" si="2"/>
        <v>19477.5</v>
      </c>
      <c r="H48" s="11">
        <f t="shared" si="3"/>
        <v>16880.5</v>
      </c>
      <c r="I48" s="12">
        <f t="shared" si="4"/>
        <v>16880.5</v>
      </c>
      <c r="J48" s="13">
        <f t="shared" si="5"/>
        <v>15582</v>
      </c>
      <c r="K48" s="12">
        <f t="shared" si="6"/>
        <v>14932.75</v>
      </c>
      <c r="L48" s="13">
        <f t="shared" si="7"/>
        <v>14283.5</v>
      </c>
    </row>
    <row r="49">
      <c r="A49" s="5" t="s">
        <v>16</v>
      </c>
      <c r="B49" s="6" t="s">
        <v>36</v>
      </c>
      <c r="C49" s="7" t="s">
        <v>111</v>
      </c>
      <c r="D49" s="6" t="s">
        <v>112</v>
      </c>
      <c r="E49" s="8">
        <v>245.0</v>
      </c>
      <c r="F49" s="9">
        <f t="shared" si="1"/>
        <v>12985</v>
      </c>
      <c r="G49" s="10">
        <f t="shared" si="2"/>
        <v>19477.5</v>
      </c>
      <c r="H49" s="11">
        <f t="shared" si="3"/>
        <v>16880.5</v>
      </c>
      <c r="I49" s="12">
        <f t="shared" si="4"/>
        <v>16880.5</v>
      </c>
      <c r="J49" s="13">
        <f t="shared" si="5"/>
        <v>15582</v>
      </c>
      <c r="K49" s="12">
        <f t="shared" si="6"/>
        <v>14932.75</v>
      </c>
      <c r="L49" s="13">
        <f t="shared" si="7"/>
        <v>14283.5</v>
      </c>
    </row>
    <row r="50">
      <c r="A50" s="5" t="s">
        <v>16</v>
      </c>
      <c r="B50" s="6" t="s">
        <v>36</v>
      </c>
      <c r="C50" s="7" t="s">
        <v>113</v>
      </c>
      <c r="D50" s="6" t="s">
        <v>114</v>
      </c>
      <c r="E50" s="8">
        <v>195.0</v>
      </c>
      <c r="F50" s="9">
        <f t="shared" si="1"/>
        <v>10335</v>
      </c>
      <c r="G50" s="10">
        <f t="shared" si="2"/>
        <v>15502.5</v>
      </c>
      <c r="H50" s="11">
        <f t="shared" si="3"/>
        <v>13435.5</v>
      </c>
      <c r="I50" s="12">
        <f t="shared" si="4"/>
        <v>13435.5</v>
      </c>
      <c r="J50" s="13">
        <f t="shared" si="5"/>
        <v>12402</v>
      </c>
      <c r="K50" s="12">
        <f t="shared" si="6"/>
        <v>11885.25</v>
      </c>
      <c r="L50" s="13">
        <f t="shared" si="7"/>
        <v>11368.5</v>
      </c>
    </row>
    <row r="51">
      <c r="A51" s="5" t="s">
        <v>16</v>
      </c>
      <c r="B51" s="6" t="s">
        <v>36</v>
      </c>
      <c r="C51" s="7" t="s">
        <v>115</v>
      </c>
      <c r="D51" s="6" t="s">
        <v>116</v>
      </c>
      <c r="E51" s="8">
        <v>195.0</v>
      </c>
      <c r="F51" s="9">
        <f t="shared" si="1"/>
        <v>10335</v>
      </c>
      <c r="G51" s="10">
        <f t="shared" si="2"/>
        <v>15502.5</v>
      </c>
      <c r="H51" s="11">
        <f t="shared" si="3"/>
        <v>13435.5</v>
      </c>
      <c r="I51" s="12">
        <f t="shared" si="4"/>
        <v>13435.5</v>
      </c>
      <c r="J51" s="13">
        <f t="shared" si="5"/>
        <v>12402</v>
      </c>
      <c r="K51" s="12">
        <f t="shared" si="6"/>
        <v>11885.25</v>
      </c>
      <c r="L51" s="13">
        <f t="shared" si="7"/>
        <v>11368.5</v>
      </c>
    </row>
    <row r="52">
      <c r="A52" s="5" t="s">
        <v>16</v>
      </c>
      <c r="B52" s="6" t="s">
        <v>117</v>
      </c>
      <c r="C52" s="7" t="s">
        <v>118</v>
      </c>
      <c r="D52" s="6" t="s">
        <v>119</v>
      </c>
      <c r="E52" s="8">
        <v>155.0</v>
      </c>
      <c r="F52" s="9">
        <f t="shared" si="1"/>
        <v>8215</v>
      </c>
      <c r="G52" s="10">
        <f t="shared" si="2"/>
        <v>12322.5</v>
      </c>
      <c r="H52" s="11">
        <f t="shared" si="3"/>
        <v>10679.5</v>
      </c>
      <c r="I52" s="12">
        <f t="shared" si="4"/>
        <v>10679.5</v>
      </c>
      <c r="J52" s="13">
        <f t="shared" si="5"/>
        <v>9858</v>
      </c>
      <c r="K52" s="12">
        <f t="shared" si="6"/>
        <v>9447.25</v>
      </c>
      <c r="L52" s="13">
        <f t="shared" si="7"/>
        <v>9036.5</v>
      </c>
    </row>
    <row r="53">
      <c r="A53" s="5" t="s">
        <v>16</v>
      </c>
      <c r="B53" s="6" t="s">
        <v>117</v>
      </c>
      <c r="C53" s="7" t="s">
        <v>120</v>
      </c>
      <c r="D53" s="6" t="s">
        <v>121</v>
      </c>
      <c r="E53" s="8">
        <v>275.0</v>
      </c>
      <c r="F53" s="9">
        <f t="shared" si="1"/>
        <v>14575</v>
      </c>
      <c r="G53" s="10">
        <f t="shared" si="2"/>
        <v>21862.5</v>
      </c>
      <c r="H53" s="11">
        <f t="shared" si="3"/>
        <v>18947.5</v>
      </c>
      <c r="I53" s="12">
        <f t="shared" si="4"/>
        <v>18947.5</v>
      </c>
      <c r="J53" s="13">
        <f t="shared" si="5"/>
        <v>17490</v>
      </c>
      <c r="K53" s="12">
        <f t="shared" si="6"/>
        <v>16761.25</v>
      </c>
      <c r="L53" s="13">
        <f t="shared" si="7"/>
        <v>16032.5</v>
      </c>
    </row>
    <row r="54">
      <c r="A54" s="5" t="s">
        <v>16</v>
      </c>
      <c r="B54" s="6" t="s">
        <v>122</v>
      </c>
      <c r="C54" s="7" t="s">
        <v>123</v>
      </c>
      <c r="D54" s="6" t="s">
        <v>124</v>
      </c>
      <c r="E54" s="8">
        <v>4495.0</v>
      </c>
      <c r="F54" s="9">
        <f t="shared" si="1"/>
        <v>238235</v>
      </c>
      <c r="G54" s="10">
        <f t="shared" si="2"/>
        <v>357352.5</v>
      </c>
      <c r="H54" s="11">
        <f t="shared" si="3"/>
        <v>309705.5</v>
      </c>
      <c r="I54" s="12">
        <f t="shared" si="4"/>
        <v>309705.5</v>
      </c>
      <c r="J54" s="13">
        <f t="shared" si="5"/>
        <v>285882</v>
      </c>
      <c r="K54" s="12">
        <f t="shared" si="6"/>
        <v>273970.25</v>
      </c>
      <c r="L54" s="13">
        <f t="shared" si="7"/>
        <v>262058.5</v>
      </c>
    </row>
    <row r="55">
      <c r="A55" s="5" t="s">
        <v>16</v>
      </c>
      <c r="B55" s="6" t="s">
        <v>125</v>
      </c>
      <c r="C55" s="7" t="s">
        <v>126</v>
      </c>
      <c r="D55" s="6" t="s">
        <v>127</v>
      </c>
      <c r="E55" s="8">
        <v>85.0</v>
      </c>
      <c r="F55" s="9">
        <f t="shared" si="1"/>
        <v>4505</v>
      </c>
      <c r="G55" s="10">
        <f t="shared" si="2"/>
        <v>6757.5</v>
      </c>
      <c r="H55" s="11">
        <f t="shared" si="3"/>
        <v>5856.5</v>
      </c>
      <c r="I55" s="12">
        <f t="shared" si="4"/>
        <v>5856.5</v>
      </c>
      <c r="J55" s="13">
        <f t="shared" si="5"/>
        <v>5406</v>
      </c>
      <c r="K55" s="12">
        <f t="shared" si="6"/>
        <v>5180.75</v>
      </c>
      <c r="L55" s="13">
        <f t="shared" si="7"/>
        <v>4955.5</v>
      </c>
    </row>
    <row r="56">
      <c r="A56" s="5" t="s">
        <v>16</v>
      </c>
      <c r="B56" s="6" t="s">
        <v>125</v>
      </c>
      <c r="C56" s="7" t="s">
        <v>128</v>
      </c>
      <c r="D56" s="6" t="s">
        <v>129</v>
      </c>
      <c r="E56" s="8">
        <v>155.0</v>
      </c>
      <c r="F56" s="9">
        <f t="shared" si="1"/>
        <v>8215</v>
      </c>
      <c r="G56" s="10">
        <f t="shared" si="2"/>
        <v>12322.5</v>
      </c>
      <c r="H56" s="11">
        <f t="shared" si="3"/>
        <v>10679.5</v>
      </c>
      <c r="I56" s="12">
        <f t="shared" si="4"/>
        <v>10679.5</v>
      </c>
      <c r="J56" s="13">
        <f t="shared" si="5"/>
        <v>9858</v>
      </c>
      <c r="K56" s="12">
        <f t="shared" si="6"/>
        <v>9447.25</v>
      </c>
      <c r="L56" s="13">
        <f t="shared" si="7"/>
        <v>9036.5</v>
      </c>
    </row>
    <row r="57">
      <c r="A57" s="5" t="s">
        <v>16</v>
      </c>
      <c r="B57" s="6" t="s">
        <v>125</v>
      </c>
      <c r="C57" s="7" t="s">
        <v>130</v>
      </c>
      <c r="D57" s="6" t="s">
        <v>131</v>
      </c>
      <c r="E57" s="8">
        <v>195.0</v>
      </c>
      <c r="F57" s="9">
        <f t="shared" si="1"/>
        <v>10335</v>
      </c>
      <c r="G57" s="10">
        <f t="shared" si="2"/>
        <v>15502.5</v>
      </c>
      <c r="H57" s="11">
        <f t="shared" si="3"/>
        <v>13435.5</v>
      </c>
      <c r="I57" s="12">
        <f t="shared" si="4"/>
        <v>13435.5</v>
      </c>
      <c r="J57" s="13">
        <f t="shared" si="5"/>
        <v>12402</v>
      </c>
      <c r="K57" s="12">
        <f t="shared" si="6"/>
        <v>11885.25</v>
      </c>
      <c r="L57" s="13">
        <f t="shared" si="7"/>
        <v>11368.5</v>
      </c>
    </row>
    <row r="58">
      <c r="A58" s="5" t="s">
        <v>16</v>
      </c>
      <c r="B58" s="6" t="s">
        <v>125</v>
      </c>
      <c r="C58" s="7" t="s">
        <v>132</v>
      </c>
      <c r="D58" s="6" t="s">
        <v>133</v>
      </c>
      <c r="E58" s="8">
        <v>285.0</v>
      </c>
      <c r="F58" s="9">
        <f t="shared" si="1"/>
        <v>15105</v>
      </c>
      <c r="G58" s="10">
        <f t="shared" si="2"/>
        <v>22657.5</v>
      </c>
      <c r="H58" s="11">
        <f t="shared" si="3"/>
        <v>19636.5</v>
      </c>
      <c r="I58" s="12">
        <f t="shared" si="4"/>
        <v>19636.5</v>
      </c>
      <c r="J58" s="13">
        <f t="shared" si="5"/>
        <v>18126</v>
      </c>
      <c r="K58" s="12">
        <f t="shared" si="6"/>
        <v>17370.75</v>
      </c>
      <c r="L58" s="13">
        <f t="shared" si="7"/>
        <v>16615.5</v>
      </c>
    </row>
    <row r="59">
      <c r="A59" s="5" t="s">
        <v>16</v>
      </c>
      <c r="B59" s="6" t="s">
        <v>125</v>
      </c>
      <c r="C59" s="7" t="s">
        <v>134</v>
      </c>
      <c r="D59" s="6" t="s">
        <v>135</v>
      </c>
      <c r="E59" s="8">
        <v>70.0</v>
      </c>
      <c r="F59" s="9">
        <f t="shared" si="1"/>
        <v>3710</v>
      </c>
      <c r="G59" s="10">
        <f t="shared" si="2"/>
        <v>5565</v>
      </c>
      <c r="H59" s="11">
        <f t="shared" si="3"/>
        <v>4823</v>
      </c>
      <c r="I59" s="12">
        <f t="shared" si="4"/>
        <v>4823</v>
      </c>
      <c r="J59" s="13">
        <f t="shared" si="5"/>
        <v>4452</v>
      </c>
      <c r="K59" s="12">
        <f t="shared" si="6"/>
        <v>4266.5</v>
      </c>
      <c r="L59" s="13">
        <f t="shared" si="7"/>
        <v>4081</v>
      </c>
    </row>
    <row r="60">
      <c r="A60" s="5" t="s">
        <v>16</v>
      </c>
      <c r="B60" s="6" t="s">
        <v>125</v>
      </c>
      <c r="C60" s="7" t="s">
        <v>136</v>
      </c>
      <c r="D60" s="6" t="s">
        <v>137</v>
      </c>
      <c r="E60" s="8">
        <v>65.0</v>
      </c>
      <c r="F60" s="9">
        <f t="shared" si="1"/>
        <v>3445</v>
      </c>
      <c r="G60" s="10">
        <f t="shared" si="2"/>
        <v>5167.5</v>
      </c>
      <c r="H60" s="11">
        <f t="shared" si="3"/>
        <v>4478.5</v>
      </c>
      <c r="I60" s="12">
        <f t="shared" si="4"/>
        <v>4478.5</v>
      </c>
      <c r="J60" s="13">
        <f t="shared" si="5"/>
        <v>4134</v>
      </c>
      <c r="K60" s="12">
        <f t="shared" si="6"/>
        <v>3961.75</v>
      </c>
      <c r="L60" s="13">
        <f t="shared" si="7"/>
        <v>3789.5</v>
      </c>
    </row>
    <row r="61">
      <c r="A61" s="5" t="s">
        <v>16</v>
      </c>
      <c r="B61" s="6" t="s">
        <v>125</v>
      </c>
      <c r="C61" s="7" t="s">
        <v>138</v>
      </c>
      <c r="D61" s="6" t="s">
        <v>139</v>
      </c>
      <c r="E61" s="8">
        <v>75.0</v>
      </c>
      <c r="F61" s="9">
        <f t="shared" si="1"/>
        <v>3975</v>
      </c>
      <c r="G61" s="10">
        <f t="shared" si="2"/>
        <v>5962.5</v>
      </c>
      <c r="H61" s="11">
        <f t="shared" si="3"/>
        <v>5167.5</v>
      </c>
      <c r="I61" s="12">
        <f t="shared" si="4"/>
        <v>5167.5</v>
      </c>
      <c r="J61" s="13">
        <f t="shared" si="5"/>
        <v>4770</v>
      </c>
      <c r="K61" s="12">
        <f t="shared" si="6"/>
        <v>4571.25</v>
      </c>
      <c r="L61" s="13">
        <f t="shared" si="7"/>
        <v>4372.5</v>
      </c>
    </row>
    <row r="62">
      <c r="A62" s="5" t="s">
        <v>16</v>
      </c>
      <c r="B62" s="6" t="s">
        <v>125</v>
      </c>
      <c r="C62" s="7" t="s">
        <v>140</v>
      </c>
      <c r="D62" s="6" t="s">
        <v>141</v>
      </c>
      <c r="E62" s="8">
        <v>18.0</v>
      </c>
      <c r="F62" s="9">
        <f t="shared" si="1"/>
        <v>954</v>
      </c>
      <c r="G62" s="10">
        <f t="shared" si="2"/>
        <v>1431</v>
      </c>
      <c r="H62" s="11">
        <f t="shared" si="3"/>
        <v>1240.2</v>
      </c>
      <c r="I62" s="12">
        <f t="shared" si="4"/>
        <v>1240.2</v>
      </c>
      <c r="J62" s="13">
        <f t="shared" si="5"/>
        <v>1144.8</v>
      </c>
      <c r="K62" s="12">
        <f t="shared" si="6"/>
        <v>1097.1</v>
      </c>
      <c r="L62" s="13">
        <f t="shared" si="7"/>
        <v>1049.4</v>
      </c>
    </row>
    <row r="63">
      <c r="A63" s="5" t="s">
        <v>16</v>
      </c>
      <c r="B63" s="6" t="s">
        <v>125</v>
      </c>
      <c r="C63" s="7" t="s">
        <v>142</v>
      </c>
      <c r="D63" s="6" t="s">
        <v>143</v>
      </c>
      <c r="E63" s="8">
        <v>18.0</v>
      </c>
      <c r="F63" s="9">
        <f t="shared" si="1"/>
        <v>954</v>
      </c>
      <c r="G63" s="10">
        <f t="shared" si="2"/>
        <v>1431</v>
      </c>
      <c r="H63" s="11">
        <f t="shared" si="3"/>
        <v>1240.2</v>
      </c>
      <c r="I63" s="12">
        <f t="shared" si="4"/>
        <v>1240.2</v>
      </c>
      <c r="J63" s="13">
        <f t="shared" si="5"/>
        <v>1144.8</v>
      </c>
      <c r="K63" s="12">
        <f t="shared" si="6"/>
        <v>1097.1</v>
      </c>
      <c r="L63" s="13">
        <f t="shared" si="7"/>
        <v>1049.4</v>
      </c>
    </row>
    <row r="64">
      <c r="A64" s="5" t="s">
        <v>16</v>
      </c>
      <c r="B64" s="6" t="s">
        <v>125</v>
      </c>
      <c r="C64" s="7" t="s">
        <v>144</v>
      </c>
      <c r="D64" s="6" t="s">
        <v>145</v>
      </c>
      <c r="E64" s="8">
        <v>22.0</v>
      </c>
      <c r="F64" s="9">
        <f t="shared" si="1"/>
        <v>1166</v>
      </c>
      <c r="G64" s="10">
        <f t="shared" si="2"/>
        <v>1749</v>
      </c>
      <c r="H64" s="11">
        <f t="shared" si="3"/>
        <v>1515.8</v>
      </c>
      <c r="I64" s="12">
        <f t="shared" si="4"/>
        <v>1515.8</v>
      </c>
      <c r="J64" s="13">
        <f t="shared" si="5"/>
        <v>1399.2</v>
      </c>
      <c r="K64" s="12">
        <f t="shared" si="6"/>
        <v>1340.9</v>
      </c>
      <c r="L64" s="13">
        <f t="shared" si="7"/>
        <v>1282.6</v>
      </c>
    </row>
    <row r="65">
      <c r="A65" s="5" t="s">
        <v>16</v>
      </c>
      <c r="B65" s="6" t="s">
        <v>36</v>
      </c>
      <c r="C65" s="14" t="s">
        <v>146</v>
      </c>
      <c r="D65" s="5" t="s">
        <v>147</v>
      </c>
      <c r="E65" s="8">
        <v>195.0</v>
      </c>
      <c r="F65" s="9">
        <f t="shared" si="1"/>
        <v>10335</v>
      </c>
      <c r="G65" s="10">
        <f t="shared" si="2"/>
        <v>15502.5</v>
      </c>
      <c r="H65" s="11">
        <f t="shared" si="3"/>
        <v>13435.5</v>
      </c>
      <c r="I65" s="12">
        <f t="shared" si="4"/>
        <v>13435.5</v>
      </c>
      <c r="J65" s="13">
        <f t="shared" si="5"/>
        <v>12402</v>
      </c>
      <c r="K65" s="12">
        <f t="shared" si="6"/>
        <v>11885.25</v>
      </c>
      <c r="L65" s="13">
        <f t="shared" si="7"/>
        <v>11368.5</v>
      </c>
    </row>
  </sheetData>
  <autoFilter ref="$A$2:$L$65"/>
  <mergeCells count="4">
    <mergeCell ref="A1:F1"/>
    <mergeCell ref="G1:H1"/>
    <mergeCell ref="I1:J1"/>
    <mergeCell ref="K1:L1"/>
  </mergeCells>
  <dataValidations>
    <dataValidation type="custom" allowBlank="1" showErrorMessage="1" sqref="A3:A65">
      <formula1>LTE(LEN(A3),(45))</formula1>
    </dataValidation>
    <dataValidation type="custom" allowBlank="1" showErrorMessage="1" sqref="C3:C65">
      <formula1>LTE(LEN(C3),(22))</formula1>
    </dataValidation>
  </dataValidations>
  <drawing r:id="rId1"/>
</worksheet>
</file>